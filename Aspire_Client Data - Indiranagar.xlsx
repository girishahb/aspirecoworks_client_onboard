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3594" documentId="13_ncr:1_{B897A78D-6785-4524-9292-B76C40CEDB9B}" xr6:coauthVersionLast="47" xr6:coauthVersionMax="47" xr10:uidLastSave="{5C9CD09A-BD96-4CF0-BE2D-1953DD86CA41}"/>
  <bookViews>
    <workbookView xWindow="-110" yWindow="-110" windowWidth="19420" windowHeight="10300" firstSheet="1" activeTab="16" xr2:uid="{1CCF8F61-D92E-43A8-963B-16687287A9A5}"/>
  </bookViews>
  <sheets>
    <sheet name="Redocu &amp; signage" sheetId="22" r:id="rId1"/>
    <sheet name="Virtual_Insta" sheetId="3" r:id="rId2"/>
    <sheet name="Virtual_MyHq" sheetId="7" r:id="rId3"/>
    <sheet name="Virtual_Virtualxcel" sheetId="6" r:id="rId4"/>
    <sheet name="Virtual_EchoSpaces" sheetId="5" r:id="rId5"/>
    <sheet name="Virtual_Teamcoworks" sheetId="11" r:id="rId6"/>
    <sheet name="Virtual_Address.in" sheetId="9" r:id="rId7"/>
    <sheet name="Virtual_CollabSpace" sheetId="16" r:id="rId8"/>
    <sheet name="Virtual_VOSpaces" sheetId="17" r:id="rId9"/>
    <sheet name="Virtual_Rayafeel" sheetId="12" r:id="rId10"/>
    <sheet name="Virtual_Quickoffice24" sheetId="14" r:id="rId11"/>
    <sheet name="Virtual_Ioffice" sheetId="15" r:id="rId12"/>
    <sheet name="Virtual_Flash Space" sheetId="20" r:id="rId13"/>
    <sheet name="Virtual_SpaceN" sheetId="21" r:id="rId14"/>
    <sheet name="Virtual_Q-office" sheetId="10" r:id="rId15"/>
    <sheet name="Virtual_Juststart" sheetId="24" r:id="rId16"/>
    <sheet name="Virtual_Walkin" sheetId="8" r:id="rId17"/>
    <sheet name="Co-Hub" sheetId="27" r:id="rId18"/>
    <sheet name="Ofin Legal" sheetId="25" r:id="rId19"/>
    <sheet name="Namashte Office" sheetId="26" r:id="rId20"/>
    <sheet name="Tax_Source" sheetId="28" r:id="rId21"/>
    <sheet name="Getaspace" sheetId="29" r:id="rId22"/>
    <sheet name="WORK E-COMMERCE" sheetId="30" r:id="rId23"/>
    <sheet name="mosqood Luncherdesk" sheetId="31" r:id="rId24"/>
    <sheet name="Sheet1" sheetId="32" r:id="rId25"/>
  </sheets>
  <definedNames>
    <definedName name="_xlnm._FilterDatabase" localSheetId="18" hidden="1">'Ofin Legal'!$A$1:$V$1</definedName>
    <definedName name="_xlnm._FilterDatabase" localSheetId="0" hidden="1">'Redocu &amp; signage'!$A$2:$N$2</definedName>
    <definedName name="_xlnm._FilterDatabase" localSheetId="6" hidden="1">Virtual_Address.in!$A$1:$Z$1</definedName>
    <definedName name="_xlnm._FilterDatabase" localSheetId="5" hidden="1">Virtual_Teamcoworks!$A$1:$X$1</definedName>
    <definedName name="_xlnm._FilterDatabase" localSheetId="16" hidden="1">Virtual_Walkin!$A$1:$T$58</definedName>
    <definedName name="_xlnm._FilterDatabase" localSheetId="1" hidden="1">Virtual_Insta!$A$1:$AD$1</definedName>
    <definedName name="_xlnm._FilterDatabase" localSheetId="2" hidden="1">Virtual_MyHq!$A$1:$W$1</definedName>
    <definedName name="_xlnm._FilterDatabase" localSheetId="8" hidden="1">Virtual_VOSpaces!$A$1:$X$1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2" i="11" l="1"/>
  <c r="AV16" i="24"/>
  <c r="U53" i="24"/>
  <c r="T13" i="8"/>
  <c r="U13" i="8"/>
  <c r="V13" i="8" s="1"/>
  <c r="W154" i="7"/>
  <c r="T53" i="15" l="1"/>
  <c r="W50" i="14"/>
  <c r="X53" i="12"/>
  <c r="U53" i="10"/>
  <c r="T52" i="5"/>
  <c r="U53" i="6"/>
  <c r="V54" i="17"/>
  <c r="S46" i="16"/>
  <c r="R3" i="12" l="1"/>
  <c r="V3" i="12" s="1"/>
  <c r="R2" i="12"/>
  <c r="V2" i="12" s="1"/>
</calcChain>
</file>

<file path=xl/sharedStrings.xml><?xml version="1.0" encoding="utf-8"?>
<sst xmlns="http://schemas.openxmlformats.org/spreadsheetml/2006/main" count="14898" uniqueCount="6506">
  <si>
    <t>Redocumentation and Permenent signage details</t>
  </si>
  <si>
    <t>Sl.No</t>
  </si>
  <si>
    <t>Date</t>
  </si>
  <si>
    <t>Agreegator name</t>
  </si>
  <si>
    <t>Company name</t>
  </si>
  <si>
    <t>Description</t>
  </si>
  <si>
    <t>Booking ID</t>
  </si>
  <si>
    <t>Scope</t>
  </si>
  <si>
    <t>Location</t>
  </si>
  <si>
    <t>Remarks</t>
  </si>
  <si>
    <t>InstaSpaces Realtech Pvt. Ltd.</t>
  </si>
  <si>
    <t>AERONYX ADVANCED SYSTEMS PRIVATE LIMITED</t>
  </si>
  <si>
    <t>Permenent namebard display</t>
  </si>
  <si>
    <t>ISXBRGSSKA5539</t>
  </si>
  <si>
    <t xml:space="preserve">Permenent nameboard display </t>
  </si>
  <si>
    <t>Indiranagar</t>
  </si>
  <si>
    <t>DELTACMA PRIVATE LIMITED</t>
  </si>
  <si>
    <t>Redocumentation charges</t>
  </si>
  <si>
    <t>ISXGRKA6081</t>
  </si>
  <si>
    <t>PAN number updatation in one page</t>
  </si>
  <si>
    <t xml:space="preserve">Team Coworks </t>
  </si>
  <si>
    <t xml:space="preserve">Eines Healthcare Private Limited </t>
  </si>
  <si>
    <t>Displaying and design and printing</t>
  </si>
  <si>
    <t>TCWVO13912</t>
  </si>
  <si>
    <t>Printing and display</t>
  </si>
  <si>
    <t>Kormangala</t>
  </si>
  <si>
    <t xml:space="preserve">Vaikhari AI Pvt. Ltd. </t>
  </si>
  <si>
    <t>TCWVO14081</t>
  </si>
  <si>
    <t>LYTRAX DIGITALGIANT PRIVATE LIMITED</t>
  </si>
  <si>
    <t>ISXBRGSSKA5827</t>
  </si>
  <si>
    <t>Casotec E-Retail Private Limited</t>
  </si>
  <si>
    <t>ISX20GSS2514657</t>
  </si>
  <si>
    <t>Address.in</t>
  </si>
  <si>
    <t>IGNIZEUS TECHNOLOGIES LLP</t>
  </si>
  <si>
    <t>NSS00100046753</t>
  </si>
  <si>
    <t>Team coworks</t>
  </si>
  <si>
    <t>Cloud Core Consultancy Private Limited</t>
  </si>
  <si>
    <t>TCWVO14090</t>
  </si>
  <si>
    <t>EARTH AND SOUL WELLNESS PRIVATE LIMITED</t>
  </si>
  <si>
    <t>Company name change &amp; signing authority change from propriotor to director</t>
  </si>
  <si>
    <t>TCWVO13063</t>
  </si>
  <si>
    <t>Redocumentations</t>
  </si>
  <si>
    <t>THRIWE CONSULTING PRIVATE LIMITED</t>
  </si>
  <si>
    <t>ISXGRGSSLRKA4762</t>
  </si>
  <si>
    <t>Nutrifuture Solutions LLP</t>
  </si>
  <si>
    <t>ISXBLGSSGRKA5060</t>
  </si>
  <si>
    <t>Cipheronix Technologies.</t>
  </si>
  <si>
    <t>ISXBRGSSKA6259</t>
  </si>
  <si>
    <t>R.P. Locks Company</t>
  </si>
  <si>
    <t>ISXAZGSSKA1113</t>
  </si>
  <si>
    <t>HAMDA PLY MARKETING PRIVATE LIMITED</t>
  </si>
  <si>
    <t>ISXGRKA4879</t>
  </si>
  <si>
    <t>Redocumentations, company name change from SOLID MARK PLY PRIVATE LIMITED to HAMDA PLY MARKETING PRIVATE LIMITED</t>
  </si>
  <si>
    <t>Collabspace</t>
  </si>
  <si>
    <t>Pharmachemie engineering and consultant pvt ltd</t>
  </si>
  <si>
    <t>Changing authorised signatory details</t>
  </si>
  <si>
    <t>UNICORN INTEGRATED SERVICES PRIVATE LIMITED</t>
  </si>
  <si>
    <t>MyHq</t>
  </si>
  <si>
    <t>CLARITY1ONE SOLUTIONS PRIVATE LIMITED</t>
  </si>
  <si>
    <t xml:space="preserve"> INVK-2526-17580</t>
  </si>
  <si>
    <t>Changing the Company details</t>
  </si>
  <si>
    <t>NOVUS PROCURA INDIA PRIVATE LIMITED</t>
  </si>
  <si>
    <t>TCWVO13250</t>
  </si>
  <si>
    <t>Amalfi XP Marketing Private Limited</t>
  </si>
  <si>
    <t>Shimmer Lamps &amp; Shades Pvt Ltd</t>
  </si>
  <si>
    <t>Teamcoworks</t>
  </si>
  <si>
    <t>KUKKI INNOVATIONS LAB PRIVATE LIMITED​</t>
  </si>
  <si>
    <t>TCWVO14333</t>
  </si>
  <si>
    <t>changing company name from GUHA INNOVATIONS LAB PRIVATE LIMITED to KUKKI INNOVATIONS LAB PRIVATE LIMITED​ (as per name approved by MCA)</t>
  </si>
  <si>
    <t>Echospaces</t>
  </si>
  <si>
    <t>ONE DEGREES EDUCATORS</t>
  </si>
  <si>
    <t>ESRXVO100187</t>
  </si>
  <si>
    <t>changing company name to ONE DEGREES EDUCATORS</t>
  </si>
  <si>
    <t xml:space="preserve"> NEUOPTIC Private Limited</t>
  </si>
  <si>
    <t>ISXBRKA6233</t>
  </si>
  <si>
    <t>Company name change from NEUOPTIC to NEUOPTIC Private Limited</t>
  </si>
  <si>
    <t>Director's name change</t>
  </si>
  <si>
    <t>Rayafeel</t>
  </si>
  <si>
    <t xml:space="preserve">Senticore </t>
  </si>
  <si>
    <t>Address change Koramangala to Indiranagar</t>
  </si>
  <si>
    <t>Invoice raised  INV/AC25-26/0175</t>
  </si>
  <si>
    <t xml:space="preserve">JAX AND CREW LLP  </t>
  </si>
  <si>
    <t>Need to change Company name and Add One more Partner</t>
  </si>
  <si>
    <t>Fusion Grid Integrated Business Services(Old- Niranjan SS)</t>
  </si>
  <si>
    <t>TCWVO13914</t>
  </si>
  <si>
    <t>Changing company name as per RC</t>
  </si>
  <si>
    <t>Instaspace</t>
  </si>
  <si>
    <t xml:space="preserve"> ISXAZGRKA1109</t>
  </si>
  <si>
    <t>Authorised signatory change</t>
  </si>
  <si>
    <t>Vianaar Hospitality Private Limited</t>
  </si>
  <si>
    <t>ISXGRGSSKA7447</t>
  </si>
  <si>
    <t>Nameboard display</t>
  </si>
  <si>
    <t>INFINITY ENGINEERINGS</t>
  </si>
  <si>
    <t>TCWVO14402</t>
  </si>
  <si>
    <t>WORKFUTR SQUARE PRIVATE LIMITED</t>
  </si>
  <si>
    <t>14-01-2026</t>
  </si>
  <si>
    <t>A R KIDS LLP</t>
  </si>
  <si>
    <t xml:space="preserve">ISXGRGSSKA10002 </t>
  </si>
  <si>
    <t>29-01-2026</t>
  </si>
  <si>
    <t>Velthic Foods LLP</t>
  </si>
  <si>
    <t xml:space="preserve">ISXGRGSSKA10164R1 </t>
  </si>
  <si>
    <t>31-01-2026</t>
  </si>
  <si>
    <t xml:space="preserve">Software Solutions/SimpleLyft AI </t>
  </si>
  <si>
    <t xml:space="preserve">ISXVSGRKA1286 </t>
  </si>
  <si>
    <t>17-02-2026</t>
  </si>
  <si>
    <t>Deepti Bhaskaran</t>
  </si>
  <si>
    <t>Booking ID: ISXGRGSSKA5413</t>
  </si>
  <si>
    <t>24-03-2026</t>
  </si>
  <si>
    <t>Chill progenie </t>
  </si>
  <si>
    <t xml:space="preserve">Booking ID: TCWVO15268 </t>
  </si>
  <si>
    <t>25-03-2026</t>
  </si>
  <si>
    <t>ANANTUM SOOTRA PRIVATE LIMITED</t>
  </si>
  <si>
    <t>ISXGRGSSKA10406R1</t>
  </si>
  <si>
    <t>Miramo Private Limited</t>
  </si>
  <si>
    <t>ISXGRGSSKA1226</t>
  </si>
  <si>
    <t>ENTISI HOSPITALITY PRIVATE LIMITED</t>
  </si>
  <si>
    <t>Permenent namebard display(Renewal)</t>
  </si>
  <si>
    <t xml:space="preserve"> ISXGRRGSSKA12357R1R1</t>
  </si>
  <si>
    <t>28-04-2026</t>
  </si>
  <si>
    <t>B2B Hospitality Private Limited</t>
  </si>
  <si>
    <t>ISXGRRGSSKA12384R1R1</t>
  </si>
  <si>
    <t>renewal</t>
  </si>
  <si>
    <t>17-06-2026</t>
  </si>
  <si>
    <t xml:space="preserve"> Cambium Retail Pvt. Ltd</t>
  </si>
  <si>
    <t>ISXGRRGSSKA10007R5R1</t>
  </si>
  <si>
    <t>14-07-2026</t>
  </si>
  <si>
    <t>TRAVOLIER PAY INDIA PRIVATE LIMITED</t>
  </si>
  <si>
    <t>ISXGRKA8450R3</t>
  </si>
  <si>
    <t>21-07-2026</t>
  </si>
  <si>
    <t>NEUBERY PARTNERS LLP</t>
  </si>
  <si>
    <t>SANJEETH SHETTY ASSOCIATES</t>
  </si>
  <si>
    <t>WALKIN</t>
  </si>
  <si>
    <t>SLV AGENCIES</t>
  </si>
  <si>
    <t>PAID</t>
  </si>
  <si>
    <t>AIWA INDIA SALES &amp; PRIVATE LIMITED</t>
  </si>
  <si>
    <t>ISXGRKA0023</t>
  </si>
  <si>
    <t>NEED TO BILL</t>
  </si>
  <si>
    <t>PURELEARN EDUINFRA JAKKASANDRA PRIVATE LIMITED</t>
  </si>
  <si>
    <t>ISXGRGSSKA11653</t>
  </si>
  <si>
    <t>20-08-2026</t>
  </si>
  <si>
    <t>KERBSTONE INFRASTRUCTURE SERVICES LIMITED</t>
  </si>
  <si>
    <t>ISXBRGSSKA24759R1</t>
  </si>
  <si>
    <t>KO Innovation Software Solutions Private Limited</t>
  </si>
  <si>
    <t>ISXGRGSSKA0477</t>
  </si>
  <si>
    <t>TWSGLOBAL PRIVATE LIMITED</t>
  </si>
  <si>
    <t>Booking ID: ISXGRRGSSLRKA10840R1R1</t>
  </si>
  <si>
    <t>Renewal</t>
  </si>
  <si>
    <t>SL No</t>
  </si>
  <si>
    <t>Title</t>
  </si>
  <si>
    <t>First Name</t>
  </si>
  <si>
    <t>Company Name</t>
  </si>
  <si>
    <t xml:space="preserve"> Address</t>
  </si>
  <si>
    <t>Phone Number</t>
  </si>
  <si>
    <t>PAN No</t>
  </si>
  <si>
    <t>Client City</t>
  </si>
  <si>
    <t>Agregator Name</t>
  </si>
  <si>
    <t>Name</t>
  </si>
  <si>
    <t>Position/Title</t>
  </si>
  <si>
    <t>Contact #</t>
  </si>
  <si>
    <t>Agreement Start Date</t>
  </si>
  <si>
    <t>Agreement End Date</t>
  </si>
  <si>
    <t>No of Months</t>
  </si>
  <si>
    <t>Membership Type</t>
  </si>
  <si>
    <t>Status</t>
  </si>
  <si>
    <t>Notes</t>
  </si>
  <si>
    <t>GST #</t>
  </si>
  <si>
    <t>Booking type</t>
  </si>
  <si>
    <t>Mr</t>
  </si>
  <si>
    <t xml:space="preserve">Tilak Kumar G </t>
  </si>
  <si>
    <t>re</t>
  </si>
  <si>
    <t xml:space="preserve">S/O Gopinath Meghanath R/o Flat no G 7 Apartment No 596, Narayana Nagar 3rd Block, Doddakallasandra, Bengaluru, Karnataka - 560062 </t>
  </si>
  <si>
    <t>BINPT2390C</t>
  </si>
  <si>
    <t xml:space="preserve">Bangalore </t>
  </si>
  <si>
    <t>Ayush Sinha</t>
  </si>
  <si>
    <r>
      <t>Virtual Office Operations Team  </t>
    </r>
    <r>
      <rPr>
        <b/>
        <sz val="12"/>
        <color rgb="FF000000"/>
        <rFont val="Arial"/>
        <family val="2"/>
      </rPr>
      <t> </t>
    </r>
  </si>
  <si>
    <t>8882702020/7217715846</t>
  </si>
  <si>
    <t>Business Registration (B.R)</t>
  </si>
  <si>
    <t>Active</t>
  </si>
  <si>
    <t>Booking ID ISX202412423KA5119BR</t>
  </si>
  <si>
    <t>29BINPT2390C1ZW</t>
  </si>
  <si>
    <t xml:space="preserve">Hot Desk, </t>
  </si>
  <si>
    <t>RAJWINDER KAUR</t>
  </si>
  <si>
    <t xml:space="preserve">XL NEXT GEN SOFTWARE SERVICES </t>
  </si>
  <si>
    <t xml:space="preserve">D/o MOHINDER SINGH R/o VINAY RESIDENCY, SITE 8, Flat NO. 5 ADJACENT TO BRITISH BIOLOGICALS, NEAR MITRA ACADEMY, AREKERE B G ROAD, BANGALORE SOUTH, BANNERGHATTA ROAD, BENGALURU, KARNATAKA, </t>
  </si>
  <si>
    <t>BBOPK9920K</t>
  </si>
  <si>
    <t>Vibha Taneja</t>
  </si>
  <si>
    <t>8826685774 | 7292020 900</t>
  </si>
  <si>
    <t>Booking ID ISX202412430KA5144BR</t>
  </si>
  <si>
    <t>Renewal done (R1)</t>
  </si>
  <si>
    <t xml:space="preserve">Dedicated Desk, </t>
  </si>
  <si>
    <t>Raj Kumar Singh</t>
  </si>
  <si>
    <t>ARTI ENTERPRISES</t>
  </si>
  <si>
    <t>S/O LATE BANSHI SINGH Regd. Off. At 202 Ground Floor MS SAROJ ARORA BALMUKUND KHAND GIRI NAGAR South East Delhi 110019</t>
  </si>
  <si>
    <t>GMPPS4199H</t>
  </si>
  <si>
    <t>Delhi</t>
  </si>
  <si>
    <t>GST Registration Plan (G.R)</t>
  </si>
  <si>
    <t>Booking ID Booking ID: ISX202411980KA4156GR</t>
  </si>
  <si>
    <t>Private Office</t>
  </si>
  <si>
    <t xml:space="preserve">Brian S raj </t>
  </si>
  <si>
    <t>Crest Photography</t>
  </si>
  <si>
    <t>Manna, Nellimoodu P O, Near Convent, Athiyannur (Part),
Thiruvananthapuram, Kerala- 695524</t>
  </si>
  <si>
    <t>BVRPR6991J</t>
  </si>
  <si>
    <t>Kerala</t>
  </si>
  <si>
    <t>Mailing Address (M.A)</t>
  </si>
  <si>
    <t>Booking ID ISX202412515KA5342MA</t>
  </si>
  <si>
    <t>Conference room</t>
  </si>
  <si>
    <t>Mohd Arwaz</t>
  </si>
  <si>
    <t>COLORCRAFT INTERIORS</t>
  </si>
  <si>
    <t>House No 236 Gali No 4 New Kardampuri Gokalpur North East Delhi 110094</t>
  </si>
  <si>
    <t>CNDPA7269M</t>
  </si>
  <si>
    <t>Booking ID ISX202412727KA5769GR,</t>
  </si>
  <si>
    <t>Ms.</t>
  </si>
  <si>
    <t xml:space="preserve">Renuka S </t>
  </si>
  <si>
    <t xml:space="preserve">RM Enterprises </t>
  </si>
  <si>
    <t xml:space="preserve">D/o Siddegowda R/o 29 Muddegowdanahundi Village Varuna Hobali Mysore Taluk Yadakola Mysore Mysuru Karnataka 570010 </t>
  </si>
  <si>
    <t>CRDPR6120C</t>
  </si>
  <si>
    <t>Mysore</t>
  </si>
  <si>
    <t>Booking ID ISX202412796KA5918BR</t>
  </si>
  <si>
    <t>29CRDPR6120C1ZX</t>
  </si>
  <si>
    <t>Pooja
Beriwal</t>
  </si>
  <si>
    <t>Vamika Marketing LLP</t>
  </si>
  <si>
    <t>At B/3 3rd Floor Sarada Apartment Sardar Para Khaikhali
North Twenty-Four Parganas Kolkata West Bengal 700052</t>
  </si>
  <si>
    <t>AAXFV6898A</t>
  </si>
  <si>
    <t xml:space="preserve"> Kolkata</t>
  </si>
  <si>
    <t>Booking ID ISX202412046KA4295GR</t>
  </si>
  <si>
    <t>29AAXFV6898A1Z6</t>
  </si>
  <si>
    <t>Shared Desk Plan (SDSK)</t>
  </si>
  <si>
    <t>Mr.</t>
  </si>
  <si>
    <t>MALLIKARJUN SAJJAN</t>
  </si>
  <si>
    <t>PARAM INFRATECH</t>
  </si>
  <si>
    <t>S/O AMARESHAPPA SAJJAN, R/o 8/7/687/1, Gandhi Nagar, Koppal, Dist: Koppal Karnataka- 583231</t>
  </si>
  <si>
    <t>BDKPS2690L</t>
  </si>
  <si>
    <t>Koppal Karnataka</t>
  </si>
  <si>
    <t>Chandna Bhatia</t>
  </si>
  <si>
    <t>8882702020/9717508542</t>
  </si>
  <si>
    <t>Booking ID: ISX202412161KA4485BR</t>
  </si>
  <si>
    <t>Dedicated Desk Plan (DDSK)</t>
  </si>
  <si>
    <t xml:space="preserve">Krishna Kalra </t>
  </si>
  <si>
    <t>Mosiac Brands</t>
  </si>
  <si>
    <t xml:space="preserve">D/o Amar Nath Kalra R/o B-214, Ganga Sagar, Mawana Road, Ganga Nagar, Meerut Cantt. Uttar Pradesh 250001 </t>
  </si>
  <si>
    <t>ADLPK2051M</t>
  </si>
  <si>
    <t>Uttar Pradesh</t>
  </si>
  <si>
    <t>Booking ID ISX202412844KA6020GR</t>
  </si>
  <si>
    <t>Renewal R1 Done</t>
  </si>
  <si>
    <t>AKHIL AMOD</t>
  </si>
  <si>
    <t>Amod Ventures</t>
  </si>
  <si>
    <t>AKHIL AMOD, S/O ANJANI KUMAR, R/o 328, Sector-1/C, Bokaro, Steel City, Bokaro Steel City, Bokaro- Jharkhand- 827001</t>
  </si>
  <si>
    <t>BRFPA1386L</t>
  </si>
  <si>
    <t>Jharkhand</t>
  </si>
  <si>
    <t>Booking ID
ISX202412938KA6239GR</t>
  </si>
  <si>
    <t>29BRFPA1386L1ZK</t>
  </si>
  <si>
    <t>Sameer Kumar,</t>
  </si>
  <si>
    <t>SINGHASHANI NEXTGEN PRIVATE LIMITED</t>
  </si>
  <si>
    <t>S/O Kanhaiya Prasad, R/o B6-056, DLF WESTEND
HEIGHTS, AKSHAYA NAGAR, BENGALURU 560068,</t>
  </si>
  <si>
    <t>GNSPK4193P,</t>
  </si>
  <si>
    <t>Booking ID: ISX202413010KA6386BR</t>
  </si>
  <si>
    <t>CIN- U47214KA2024PTC196264</t>
  </si>
  <si>
    <t>Ashish Lohia,</t>
  </si>
  <si>
    <t>TenB Fintech Private Limited</t>
  </si>
  <si>
    <t>S/O Ramesh Lohia, Regd. Off. Fourth Floor, Rider House, Plot No. 136-P,
Sector -44, Gurgaon Sector 45, Haryana, India, 122003</t>
  </si>
  <si>
    <t>AAKCT3921E</t>
  </si>
  <si>
    <t>Haryana</t>
  </si>
  <si>
    <t>Booking ID: ISX202412997KA6362BR</t>
  </si>
  <si>
    <t>29AAKCT3921E1Z9</t>
  </si>
  <si>
    <t>Binoy PN,</t>
  </si>
  <si>
    <t>GALETECH RENEW ENERGY PRIVATE LIMITED</t>
  </si>
  <si>
    <t>S/O Narayanan T, R/o 39/A, Sree Shruthilayam, Dodda Bommasandra, Near Apoorva Apt, Vidyaranya Pura, Bangalore North, Bangalore, Karnataka- 560097,</t>
  </si>
  <si>
    <t>AOOPB8519B,</t>
  </si>
  <si>
    <t>Bangalore</t>
  </si>
  <si>
    <t>Booking ID: ISX202413098KA6616BR</t>
  </si>
  <si>
    <t>CIN - U43299KA2025PTC196524</t>
  </si>
  <si>
    <t>Priya Gupta</t>
  </si>
  <si>
    <t>INCOGNITO LEISURE HOLIDAYS PRIVATE LIMITED</t>
  </si>
  <si>
    <t>3rd Floor, 4/3P, 149/3P, Shop No T5, MONTIETH Road
Chennai, Tamil Nadu - 600008</t>
  </si>
  <si>
    <t>97483 45622</t>
  </si>
  <si>
    <t>Chennai</t>
  </si>
  <si>
    <t>Walkin</t>
  </si>
  <si>
    <t>Amrutha</t>
  </si>
  <si>
    <t>Booking W-002</t>
  </si>
  <si>
    <t>Renewal Done R1 Directly from Customer</t>
  </si>
  <si>
    <t>Ankush Mohan</t>
  </si>
  <si>
    <t>MASKYETI SOLUTIONS PRIVATE LIMITED</t>
  </si>
  <si>
    <t>Ankush Mohan S/O Ram Mohan Sharma Regd. Off. At Plot No. A-6A, 5th Floor,
Add India Tower, Sector 125, Noida Gautambuddha Nagar Uttar Pradesh - 201303</t>
  </si>
  <si>
    <t>AALCM1506H</t>
  </si>
  <si>
    <t>Booking ID ISX202413051KA6527GR</t>
  </si>
  <si>
    <t>29AALCM1506H1ZG</t>
  </si>
  <si>
    <t>ARGHYA MITRA,</t>
  </si>
  <si>
    <t>NOVEMCARE HEALTH AND HYGIENE PRIVATE LIMITED</t>
  </si>
  <si>
    <t>S/O DHIRENDRA CHANDRA MITRA, Regd. Off. 1st Floor (Back),
319 Jodhpur Park, Kolkata, Kolkata, West Bengal, India- 700068</t>
  </si>
  <si>
    <t>AAGCN3113L,</t>
  </si>
  <si>
    <t>West Bengal</t>
  </si>
  <si>
    <t>Booking ID ISX202413120KA6657GR</t>
  </si>
  <si>
    <t>29AAGCN3113L1ZC</t>
  </si>
  <si>
    <t>Utkarsh Jain,</t>
  </si>
  <si>
    <t>MMT GLOBAL RECYCLING PRIVATE LIMITED</t>
  </si>
  <si>
    <t>S/O Sumit Jain, Regd. Off. E-49 KH, No- 1419/468, Shop No-3, G/F Jawahar
Park, Laxminagar, Delhi, India, 110092</t>
  </si>
  <si>
    <t>AAICM8139M,</t>
  </si>
  <si>
    <t>Booking ID ISX202413001KA6361BR</t>
  </si>
  <si>
    <t>29AAICM8139M1ZP</t>
  </si>
  <si>
    <t>PRACHI JALAN,</t>
  </si>
  <si>
    <t>HAVENLY PHARMACEUTICALS (OPC) PRIVATE</t>
  </si>
  <si>
    <t>D/o YOGENDRA PRASAD, Regd. Off. HOLDING NO 614,
WARD NO14, INFRONT OF NAWADA THANA, Arrah, Arrah, Bhojpur- 802301, Bihar</t>
  </si>
  <si>
    <t>CKPPA8764G</t>
  </si>
  <si>
    <t>Bihar</t>
  </si>
  <si>
    <t>Booking ID
ISX202413134KA6688GR</t>
  </si>
  <si>
    <t>29AAHCH5263J1Z6</t>
  </si>
  <si>
    <t>Rinshad PA,</t>
  </si>
  <si>
    <t>7Fresh</t>
  </si>
  <si>
    <t>S/O Abdul
latheef PA, R/o Paigolath House, Kizhisseri, Kuzhimanna, Malappuram, Kerala, 673641,</t>
  </si>
  <si>
    <t>HBDPP8175G</t>
  </si>
  <si>
    <t>Booking ID
ISX202413112KA6643GR</t>
  </si>
  <si>
    <t>Prabh Simran Juneja,</t>
  </si>
  <si>
    <t>PRABH INDUSTRIES</t>
  </si>
  <si>
    <t>Prabh Simran Juneja, S/O
Jaswant Singh Juneja, Regd. Off. GROUND FLOOR F G SEC, GN-7, SHIVAJI ENCLAVE, SHIVAJI
ENCLAVE, New Delhi, Delhi, 110027</t>
  </si>
  <si>
    <t>AUNPJ6119Q</t>
  </si>
  <si>
    <t>Booking ID
ISX202413157KA6754BR</t>
  </si>
  <si>
    <t>Cancelled</t>
  </si>
  <si>
    <t>Shubhankar Das,</t>
  </si>
  <si>
    <t>Shubh Riti</t>
  </si>
  <si>
    <t>Shubhankar Das, S/O Parimal Ranjan Das, R/o Plot No 260, By Lane 4, R.R Colony, Rynjah, East
Khasi Hills, Meghalaya- 793006,</t>
  </si>
  <si>
    <t>BHVPD3969A</t>
  </si>
  <si>
    <t>Meghalaya</t>
  </si>
  <si>
    <t>Yash A Vithlani</t>
  </si>
  <si>
    <t>Viths Foods</t>
  </si>
  <si>
    <t>S/O Ashish
Vithlani, R/o #76, Ex Servicemens Colony, R T Nagar, Bangalore North, Banglore, RT Nagar, Karantaka,</t>
  </si>
  <si>
    <t>BMZPV1899J,</t>
  </si>
  <si>
    <t>Banglore</t>
  </si>
  <si>
    <t>Booking ID: ISX202413145KA6709GR</t>
  </si>
  <si>
    <t>Al Shameel</t>
  </si>
  <si>
    <t>GoCartt</t>
  </si>
  <si>
    <t>Al Shameel S/O Assannar Kanoth
Muhamed R/o Baithul Shamarriya, New Road, Peringadi, New Mahe, Thalassery, Kannur, Kerala -
673311</t>
  </si>
  <si>
    <t>NCUPS8390J</t>
  </si>
  <si>
    <t>Booking ID ISX202413144KA6707BR</t>
  </si>
  <si>
    <t>Franco Alapatt,</t>
  </si>
  <si>
    <t>POSHLYF PRIVATE LIMITED</t>
  </si>
  <si>
    <t>Franco Alapatt, S/o Alapatt Porinchu Ittiachan, Regd/o 14/235, Choornikkara, Kalamassery, Ernakulam, Kerala, 683106</t>
  </si>
  <si>
    <t>7872228888,</t>
  </si>
  <si>
    <t>AAMCP2137Q</t>
  </si>
  <si>
    <t>Booking ID ISX202413197KA6838GR</t>
  </si>
  <si>
    <t>Jayanti Kumari,</t>
  </si>
  <si>
    <t>Astraeus Innovus Private Limited</t>
  </si>
  <si>
    <t>D/o Chhabil Das, R/o F-166 A, Gali No-555 Sheesh Mahal, Model Town
Extension, Hisar, Hisar, Haryana 125001,</t>
  </si>
  <si>
    <t>EMKPK7409B,</t>
  </si>
  <si>
    <t>Booking ID: ISX202413276KA6987BR</t>
  </si>
  <si>
    <t>SIVALINGAM SATHAPPAN</t>
  </si>
  <si>
    <t>MYOZ INTERNATIONAL PRIVATE LIMITED</t>
  </si>
  <si>
    <t>S/O SATHAPPAN, Registered address BLOCK NO 7 DOOR NO
T F JAIN HOUSING PEBBLE BROOK, MADHA KOVIL STREET, Okkiyam Thuraipakkam Chennai, Tamil
Nadu,</t>
  </si>
  <si>
    <t>AASCM5196J,</t>
  </si>
  <si>
    <t>Tamil Nadu</t>
  </si>
  <si>
    <t>Booking ID: ISX202413217KA6873GR</t>
  </si>
  <si>
    <t>Keshav
Hemant Lohia</t>
  </si>
  <si>
    <t>Roymax Products LLP</t>
  </si>
  <si>
    <t>Hemant Lohia, Regd. Office D-3, Kasturi Vandana Complex, Amrutvani Road, Mira
Bhayandar, Thane, Maharashtra, 401105,</t>
  </si>
  <si>
    <t>ABGFR0562B,</t>
  </si>
  <si>
    <t>Maharashtra</t>
  </si>
  <si>
    <t>Booking ID ISX202413361KA7199GR</t>
  </si>
  <si>
    <t>Rasik Dinanath Markand</t>
  </si>
  <si>
    <t>INNOVETIX GLOBAL PRIVATE LIMITED</t>
  </si>
  <si>
    <t>S/O Dinanath Raghunath Markand R/o
H.No - 11280(B), Plot No-37, Hingna Road, Shanti Kiketan Co. Society Mahajanwadi Wanadongri
Nagpur Maharashtra 441110</t>
  </si>
  <si>
    <t>BAWPM4745H</t>
  </si>
  <si>
    <t>Booking ID ISX202413142KA6705BR</t>
  </si>
  <si>
    <t>Modi
Parthkumar Mahendrabhai</t>
  </si>
  <si>
    <t>GARBNOIRE PRIVATE LIMITED</t>
  </si>
  <si>
    <t>S/O Mahendrabhai Bhagavandas Modi Regd. Off. At 41, Shiv Society Part-
3, BK Road Mahesana Gujarat – 384002</t>
  </si>
  <si>
    <t>AALCG4550H</t>
  </si>
  <si>
    <t>Gujarat</t>
  </si>
  <si>
    <t>Booking ID ISX202413323KA7084GR</t>
  </si>
  <si>
    <t>Renewal R1 Done Directly from the customer</t>
  </si>
  <si>
    <t>SHAIK MAKKA BEEBI</t>
  </si>
  <si>
    <t xml:space="preserve">SHAH ENTERPRISES </t>
  </si>
  <si>
    <t>SHAIK MAKKA BEEBI D/o HUSSEN SHAIK, Regd. Off. At No 2-21, HUSSEN SHAIK, Near Panchayithi Office, Utrumilli Village, Ramachandrapuram Mandal, Tallapolam post, East Godavari, Andhra Pradesh, 533255,</t>
  </si>
  <si>
    <t>DVXPS8867Q</t>
  </si>
  <si>
    <t xml:space="preserve"> Andhra Pradesh</t>
  </si>
  <si>
    <t>Booking ID ISX202413049KA6522GR</t>
  </si>
  <si>
    <t>Divya Kumar Gupta</t>
  </si>
  <si>
    <t xml:space="preserve"> Layer Hybren Private Limited  </t>
  </si>
  <si>
    <t xml:space="preserve">Divya Kumar Gupta S/O Krishanraj Rajkumar Gupta Regd. Off. At Mahindra Tower, Pandurang Budhkar Marg, Worli, Mumbai, Mumbai- 400018, Maharashtra </t>
  </si>
  <si>
    <t>AAFCL6365H</t>
  </si>
  <si>
    <t>Booking ID ISX202513419KA7327GR</t>
  </si>
  <si>
    <t>Jitin Saluja</t>
  </si>
  <si>
    <t xml:space="preserve"> Vivaan Traders </t>
  </si>
  <si>
    <t>Jitin Saluja , S/O Sohan Lal Regd. Office at 3RD FLOOR, H. NO. D-732, KH NO 22/3, NAI BASTI NANGLOI,
NEAR MALIK BATURE WALLA, West Delhi, Delhi, 110041</t>
  </si>
  <si>
    <t>EFZPS6320P</t>
  </si>
  <si>
    <t>Booking ID ISX202513431KA7350GR</t>
  </si>
  <si>
    <t>Nikhil Garg</t>
  </si>
  <si>
    <t xml:space="preserve"> PICKNPACK SOLUTIONS INDIA PRIVATE LIMITED</t>
  </si>
  <si>
    <t xml:space="preserve">Nikhil Garg S/O Mahavir Garg Regd. Off. At PLOT AT KH.NO. 83/1 GROUND FLOOR, GALI NO.2 VILLAGE MUNDKA, WEST DELHI, NEW DELHI 110041 </t>
  </si>
  <si>
    <t xml:space="preserve">AAMCP7214N </t>
  </si>
  <si>
    <t>New Delhi</t>
  </si>
  <si>
    <t>Booking ID ISX202412630KA5570GR</t>
  </si>
  <si>
    <t>Renewal done R1 and R2 Done</t>
  </si>
  <si>
    <t>Molakala pavan kumar Reddy</t>
  </si>
  <si>
    <t xml:space="preserve">  CUREOYNX PHARMA PRIVATE LIMITED </t>
  </si>
  <si>
    <t>Molakala pavan kumar Reddy  , S/O Molakala rajamohan Reddy , R/o 3/547, old-dsp line, ymr colony, aravinda school, proddatur, proddatur, Cuddapah, Andhra Pradesh - 516360,</t>
  </si>
  <si>
    <t>ARGPP8815R</t>
  </si>
  <si>
    <t>Andhra Pradesh</t>
  </si>
  <si>
    <t>Booking ID: ISX202413165KA6762BR</t>
  </si>
  <si>
    <t>RAM PRAKASH SINGH,</t>
  </si>
  <si>
    <t xml:space="preserve"> ONLINE TRAVEL SQUAD PRIVATE LIMITED</t>
  </si>
  <si>
    <t>RAM PRAKASH SINGH, S/O RAM BACHAN SINGH, Regd. Off. National Heart Institute,
SECOND, PLOT NO. 10, East Of Kailash Community Centre, Block C East Of Kailash Road, East Of Kailash,
New Delhi, South East Delhi, Delhi, 110065,</t>
  </si>
  <si>
    <t>AADCO7841B,</t>
  </si>
  <si>
    <t>Booking ID: ISX202513514KA7572GR</t>
  </si>
  <si>
    <t>Gurseet Singh</t>
  </si>
  <si>
    <t xml:space="preserve"> SMOTECT PRIVATE LIMITED</t>
  </si>
  <si>
    <t>Gurseet Singh S/O Ravinder Trilok Singh Regd. Off. At 275/2184, Motilal Nagar No. 1, Shrirang Sabe
Marg, Opp Vibgyor School, Goregaon west, Mumbai, Goregaon (Mumbai), Mumbai, Goregaon West,
Maharashtra, India, 400104</t>
  </si>
  <si>
    <t>AANCP5574C</t>
  </si>
  <si>
    <t>Booking ID ISX202412982KA6336GR</t>
  </si>
  <si>
    <t>KABIR RAJESH KUMAR VARMA</t>
  </si>
  <si>
    <t xml:space="preserve"> ANHIVA E-TAILER PRIVATE LIMITED</t>
  </si>
  <si>
    <t>KABIR RAJESH KUMAR VARMA , S/O RAJESH KUMAR NANDLAL VARMA, Regd. Off.
13, FLOOR 3, MAHALAXMI INDUSTRIAL ESTATE DAINIK, SHIVNERI MARG, WORLI, Mumbai
City, MUMBAI, Maharashtra, India, 400018,</t>
  </si>
  <si>
    <t>AAVCA4234A,</t>
  </si>
  <si>
    <t>Booking ID ISX202513512KA7534GR</t>
  </si>
  <si>
    <t>Mrs. Sujatha G K</t>
  </si>
  <si>
    <t xml:space="preserve"> OrgiBlend Organics</t>
  </si>
  <si>
    <t>Mrs. Sujatha G K
, W/O E Ranga R/o #3 8 th Cross, 3 rd Block, Vishwapriya Layout, Begur Bangalore South Bangalore
Karnataka – 560068</t>
  </si>
  <si>
    <t>DKZPK0973A,</t>
  </si>
  <si>
    <t>Karnataka</t>
  </si>
  <si>
    <t>Mahima Malik</t>
  </si>
  <si>
    <t>8826685774 /729 2020 900</t>
  </si>
  <si>
    <t>Booking ID ISX202513476KA7456BR</t>
  </si>
  <si>
    <t>KARUNAKARAN K,</t>
  </si>
  <si>
    <t xml:space="preserve"> CELESTIALTROVE ENTERPRISES</t>
  </si>
  <si>
    <t>KARUNAKARAN K, S/O KUMARAVELU R/o No 6, CHOLAN STREET, MULLAI NAGAR,
ORLEANPET, NELLITHOPPE, PUDUCHERRY, PUDUCHERRY 605005</t>
  </si>
  <si>
    <t>ATBPK7823P</t>
  </si>
  <si>
    <t>PUDUCHERRY</t>
  </si>
  <si>
    <t>NA</t>
  </si>
  <si>
    <t>Booking ID ISX202412406KA5083BR</t>
  </si>
  <si>
    <t>KUMAR GAURAV,</t>
  </si>
  <si>
    <t>VGR INDIA OFFICIAL PRIVATE LIMITED</t>
  </si>
  <si>
    <t>KUMAR GAURAV, S/O SUNIL KUMAR SINHA Regd/o House No.
264, Kh No. 65, Village Matiyala, Uttam Nagar, New Delhi, West Delhi- 110059, Delhi.</t>
  </si>
  <si>
    <t>AAJCV7602F</t>
  </si>
  <si>
    <t>West Delhi</t>
  </si>
  <si>
    <t>Vishal Mahato</t>
  </si>
  <si>
    <t>93197 75809</t>
  </si>
  <si>
    <t>Booking ID ISX202513653KA7851GR</t>
  </si>
  <si>
    <t xml:space="preserve">Babu V </t>
  </si>
  <si>
    <t>CyberSecurie</t>
  </si>
  <si>
    <t>Babu V , S/O Velmurugan, R/o
#296-2, Keezha Street, Mettupalaiyam, Guruvalapparkoil, Gangai Konda Chola Puram, Ariyalur(DT), Tamil
Nadu 612901,</t>
  </si>
  <si>
    <t>CBOPB6532M</t>
  </si>
  <si>
    <t>Booking ID ISX202513637KA7842BR</t>
  </si>
  <si>
    <t>Satyendra
Singh</t>
  </si>
  <si>
    <t>DIGITAL DEPTHS</t>
  </si>
  <si>
    <t>Satyendra
Singh, S/O Gajendra Singh, Regd. Off, 117 Sultan nagar, gurjar ki thadi, gopalpura byepas, jaipur,
Jaipur, Rajasthan, 302019</t>
  </si>
  <si>
    <t>GZEPS0819G,</t>
  </si>
  <si>
    <t>Rajasthan</t>
  </si>
  <si>
    <t>Sanskriti</t>
  </si>
  <si>
    <t>8882702020 /729 2020 900</t>
  </si>
  <si>
    <t>Booking ID: ISX202513650KA7887GR</t>
  </si>
  <si>
    <t>Amit
Kapoor</t>
  </si>
  <si>
    <t>Divine International</t>
  </si>
  <si>
    <t>Member/Karta Amit
Kapoor, S/O Jag Mohan Kapoor Residential address at D 304 , Nagarjuna Apartment , Mayur
Vihar ph - 1 East Delhi , Delhi - 110091</t>
  </si>
  <si>
    <t>AAMHD7006F</t>
  </si>
  <si>
    <t>Booking ID: ISX202513583KA7713GR</t>
  </si>
  <si>
    <t>Reworked on the agreement</t>
  </si>
  <si>
    <t>VISHAL
HARESHBHAI SAVANI</t>
  </si>
  <si>
    <t>BLACK SCISSOR</t>
  </si>
  <si>
    <t>VISHAL
HARESHBHAI SAVANI, S/O Hareshbhai Manjibhai Savani, Regd. Off. UDHNA, PLOT NO.17, NAND
INDUSTRIAL CO-OP SERVICE SOC, NEAR PARMANAND BUS STAND, Khatodara, Surat, Surat,
Gujarat, 394210,</t>
  </si>
  <si>
    <t>AAVFB1597N,</t>
  </si>
  <si>
    <t>Booking ID: ISX202513727KA8087GR</t>
  </si>
  <si>
    <t xml:space="preserve">Ketaki Mahendra </t>
  </si>
  <si>
    <t xml:space="preserve">Victorinox India Pvt Ltd </t>
  </si>
  <si>
    <t xml:space="preserve">Ketaki Mahendra Save, D/o Anil Vasant Mayekar, R/o Floor No.: 1 Building No./Flat No.: OFF 101 Name Of Premises/Building: Kamla Executive Park Premises CHS LT Road/Street: Andheri Kurla Link Road Nearby Landmark: Near J B Nagar Metro Station Cross Road B Locality/Sub Locality: Andheri East City/Town/Village: Mumbai District: Mumbai Suburban State: Maharashtra </t>
  </si>
  <si>
    <t>AACCV4047K</t>
  </si>
  <si>
    <t>Booking ID: ISX202513720KA8048GR</t>
  </si>
  <si>
    <r>
      <t>Mohit Jain</t>
    </r>
    <r>
      <rPr>
        <sz val="12"/>
        <color theme="1"/>
        <rFont val="Times New Roman"/>
        <family val="1"/>
      </rPr>
      <t xml:space="preserve"> </t>
    </r>
  </si>
  <si>
    <t xml:space="preserve">PEP TECHNOLOGIES PRIVATE LIMITED  </t>
  </si>
  <si>
    <r>
      <t>House  No  1/302/16, 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Floor, Patto Plaza, Panaji, North Goa, Goa, 403001</t>
    </r>
  </si>
  <si>
    <t xml:space="preserve">AAICP2804J </t>
  </si>
  <si>
    <t>Goa</t>
  </si>
  <si>
    <t>Booking ID: ISX202413287KA7014GR</t>
  </si>
  <si>
    <t xml:space="preserve">JADE HYBREN PRIVATE LIMITED </t>
  </si>
  <si>
    <t xml:space="preserve">Divya Kumar Gupta, S/O Krishanraj Rajkumar Gupta, R/o 304, Neopolis Building Besides Bhoomi Acres Kavesar Waghbill Ghodbunder Road Near Hianandani Estate Thane Maharashtra 400607 </t>
  </si>
  <si>
    <t>AAGCJ2385N</t>
  </si>
  <si>
    <t>Booking ID: ISX202513688KA7985GR</t>
  </si>
  <si>
    <t xml:space="preserve"> Divya Kumar Gupta</t>
  </si>
  <si>
    <t>Illuminate Hybren Pvt Ltd</t>
  </si>
  <si>
    <t xml:space="preserve"> Divya Kumar Gupta, S/O Krishanraj Rajkumar Gupta, R/o 304, Neopolis Building Besides Bhoomi Acres Kavesar Waghbill Ghodbunder Road Near Hianandani Estate Thane Maharashtra 400607 </t>
  </si>
  <si>
    <t>AAHCI1510P</t>
  </si>
  <si>
    <t>Booking ID: ISX202513689KA7984GR</t>
  </si>
  <si>
    <t>Kinjal Kuldip Tavethiya</t>
  </si>
  <si>
    <t>KAMALA E-RETAIL</t>
  </si>
  <si>
    <t xml:space="preserve"> Kinjal Kuldip Tavethiya, D/o Bharatbhai Shambhibhai Jagani, Regd. Off D-2-403, ANAND VATIKA RESIDENCY, SATELITE ROAD, Mota Varachha, Surat, Gujarat, 394101</t>
  </si>
  <si>
    <t>ABAFK8424H</t>
  </si>
  <si>
    <t>Booking ID: ISX202513727KA8089GR</t>
  </si>
  <si>
    <t>Neha Bajaj</t>
  </si>
  <si>
    <t xml:space="preserve">JULY EXPORTS (INDIA) PRIVATE LIMITED </t>
  </si>
  <si>
    <t>Neha Bajaj, D/o Satish Kumar Goyal, R/o 401, POORNA CHITRA 7TH BLOCK,KRC DAKSHIN CHITRA APARTMENT, TIRUPPUR, GANDHINAGAR, TAMIL NADU</t>
  </si>
  <si>
    <t>AAFCJ2068P</t>
  </si>
  <si>
    <t xml:space="preserve">M/s Ram Chandra HUF </t>
  </si>
  <si>
    <t xml:space="preserve">M/s Ganesh Travels </t>
  </si>
  <si>
    <t>M/s Ganesh Travels through its KARTA . RAM CHANDRA S/o GUMANA RAM AM R/O No 168 2nd Floor, Naryanappa Complex, Hennur Cross, Kalyananagar, Near Ganesha Temple, Bengaluru, Karnataka, 560043</t>
  </si>
  <si>
    <t>AAZHR6857H</t>
  </si>
  <si>
    <t>Bengaluru</t>
  </si>
  <si>
    <t>Booking ID: ISX202513390KA7270BR</t>
  </si>
  <si>
    <t>SACHIN MEHRA</t>
  </si>
  <si>
    <t>COGOPORT FREIGHT FORCE PRIVATE LIMITED</t>
  </si>
  <si>
    <t>Director SACHIN MEHRA, S/O RAM KRISHAN MEHRA, Regd. Off. 10TH, 1002-1003 V,
KANCHANJUNGA ROAD, 18, BARAKHAMABA ROAD, NEW DELHI, DELHI,11001,with</t>
  </si>
  <si>
    <t>AAACF2136K</t>
  </si>
  <si>
    <t>Booking ID ISX202513597KA7752GR</t>
  </si>
  <si>
    <t>DurgeshKumar Nanda</t>
  </si>
  <si>
    <t>Natural Health Innovations</t>
  </si>
  <si>
    <t>Booking ID: ISX202513715KA8046BR</t>
  </si>
  <si>
    <t>Jagseer Singh</t>
  </si>
  <si>
    <t>Nippon Agri Care</t>
  </si>
  <si>
    <t>Booking ID: ISX202513694KA7997GR</t>
  </si>
  <si>
    <t>Soniya Karande</t>
  </si>
  <si>
    <t>DHEERAJ ARORA</t>
  </si>
  <si>
    <t>STELLA INC</t>
  </si>
  <si>
    <t>MOTIBUR RAHMAN</t>
  </si>
  <si>
    <t xml:space="preserve">INDO LEXUS LIFE SCIENCE LLP </t>
  </si>
  <si>
    <t>MOTIBUR RAHMAN, S/O ALFOT ALI, R/o Naer Jame Masjid, Sibgla Gaon, Singari Madrassa, Rupahi, Nagaon, Assam 782124</t>
  </si>
  <si>
    <t>BAAPR3725C</t>
  </si>
  <si>
    <t>Assam</t>
  </si>
  <si>
    <t>Renewal Done R1</t>
  </si>
  <si>
    <t>Booking ID: ISX202513500KA7513BR</t>
  </si>
  <si>
    <t>Akhand
Swaroop Pandit,</t>
  </si>
  <si>
    <t>Growfitz Kiwi Foods Private Limited</t>
  </si>
  <si>
    <t>Akhand
Swaroop Pandit, S/O Ajay Sharma R/o Floor No.: 3rd Floor Building No./Flat No.: 14-B Name Of
Premises/Building: Supreme Heights Road/Street: Triveni nagar chauraha Nearby Landmark: Krishna
nagar scheme Locality/Sub Locality: gopalpura byepass City/Town/Village: Jaipur District: Jaipur
State: Rajasthan PIN Code: 302015,</t>
  </si>
  <si>
    <t>AAKCG2919H</t>
  </si>
  <si>
    <t>Booking ID: ISX202513683KA7971GR</t>
  </si>
  <si>
    <t>KASHIF
ALI</t>
  </si>
  <si>
    <t>Grinaf Industries</t>
  </si>
  <si>
    <t>Proprietorship KASHIF
ALI, S/O Shahid Ali, R/o FF, W/O MR SHAHID ALI, FLAT NO. 6, POCKET D - 5, SARAI KHALIL,
SADAR BAZAR, North Delhi, Delhi, 110006,</t>
  </si>
  <si>
    <t>DQTPA1698J</t>
  </si>
  <si>
    <t>Booking ID: ISX202513866KA8406GR</t>
  </si>
  <si>
    <t xml:space="preserve"> Mrinal
Kashyap</t>
  </si>
  <si>
    <t xml:space="preserve">TWS Global Private Limited </t>
  </si>
  <si>
    <t>Mrinal
Kashyap, S/O / Iqbal Kashyap, R/o Office no. 111, Royal Palace, Plot no. 11, Opp. Glomax Mall, Sector 2,
Kharghar, Navi Mumbai- 410210</t>
  </si>
  <si>
    <t>AAGCT2719N</t>
  </si>
  <si>
    <t>Mumbai</t>
  </si>
  <si>
    <t>Booking ID: ISX202513942KA8631GR</t>
  </si>
  <si>
    <t xml:space="preserve"> DEVESH SURESHCHANDRA</t>
  </si>
  <si>
    <t>SAKUMA EXPORTS LIMITED</t>
  </si>
  <si>
    <t>SAKUMA EXPORTS LIMITED through its
AUTHORISED SIGNATORY DEVESH SURESHCHANDRA MISHRA, S/O SURESHCHANDRA
MISHRA, Regd/o 3, A 301, AURUS CHAMBER, S S AMRUTWAR LANE, WORLI, Mumbai Suburban,
Maharashtra, 400013</t>
  </si>
  <si>
    <t>AAJCS2037F</t>
  </si>
  <si>
    <t>GST+Desk</t>
  </si>
  <si>
    <t>Booking ID: ISX202410739KA7784DDSK</t>
  </si>
  <si>
    <t>GANESH SURESH RANE</t>
  </si>
  <si>
    <t>OCEAN TRANSWORLD LOGISTICS PRIVATE LIMITED</t>
  </si>
  <si>
    <t>Authorised Signatory GANESH SURESH RANE, S/o SURESH BHIMRAO RANE, Regd/o B-
503,, SILVER ASTRA,, J B NAGAR, ABOVE GREATER BOMBAY CO-OPERATIVE BANK,
ANDHERI EAST, Mumbai</t>
  </si>
  <si>
    <t>9867012200,</t>
  </si>
  <si>
    <t>AABCO4276E</t>
  </si>
  <si>
    <t>11 29days</t>
  </si>
  <si>
    <t>Booking ID: ISX202212380KA8496GR</t>
  </si>
  <si>
    <t>ANIRUDDH
BHAYANI</t>
  </si>
  <si>
    <t>FASTMART</t>
  </si>
  <si>
    <t>Partner ANIRUDDH BHAYANI , Reg/o 11, C/O M/S PACK KRAFT, SUN MILL ROAD, LOWER PAREL, MUMBAI, MAHARASHTRA, 400013,</t>
  </si>
  <si>
    <t>9920021190,</t>
  </si>
  <si>
    <t>AAFFF8368M,</t>
  </si>
  <si>
    <t>Joydeep Mandal</t>
  </si>
  <si>
    <t>72177 20851</t>
  </si>
  <si>
    <t>Booking ID: ISX202212062KA8755GR</t>
  </si>
  <si>
    <t>Till this Feb invoicing is done</t>
  </si>
  <si>
    <t>ARNAB KUMAR DE</t>
  </si>
  <si>
    <t>GENESIS ADVERTISING PRIVATE LIMITED</t>
  </si>
  <si>
    <t>director ARNAB KUMAR DE , S/O / LATE AJOY KUMAR DE, Regd. Off GROUND FLOOR, P-496,
KEYATALA ROAD, KOLKATA,West Bengal, 700029</t>
  </si>
  <si>
    <t>AABCG0780D</t>
  </si>
  <si>
    <t>KOLKATA</t>
  </si>
  <si>
    <t>Mohamed Abdullah</t>
  </si>
  <si>
    <t>Obsidian Drip</t>
  </si>
  <si>
    <t xml:space="preserve"> Partner Mohamed Abdullah, S/O M. Mohamed Yousuf, R/o 337b, srivari sadhanam, 6th cross, jakkasandra ext, koramangala 1st block,
bengaluru, karnataka-560034,</t>
  </si>
  <si>
    <t>AAJFO4866F</t>
  </si>
  <si>
    <t>Booking ID: ISX202514000KA8835BR</t>
  </si>
  <si>
    <t xml:space="preserve">POONAM SUNIL SETHI </t>
  </si>
  <si>
    <t xml:space="preserve">THF EVENTS AND EXPERIENCES PVT LTD </t>
  </si>
  <si>
    <t>Authorized Signatory POONAM SUNIL SETHI , D/O OMPRAKASH LAMBA, R/o A-201, Raj Kamal CHS, Juhu Versova Link Road, Opp Kit Kat Wines, 7 Bunglows, Andheri West, Mumbai, Maharashtra- 400061</t>
  </si>
  <si>
    <r>
      <t>APFPS5883K</t>
    </r>
    <r>
      <rPr>
        <sz val="12"/>
        <color theme="1"/>
        <rFont val="Times New Roman"/>
        <family val="1"/>
      </rPr>
      <t xml:space="preserve"> </t>
    </r>
  </si>
  <si>
    <t>Booking ID ISX202513971KA8736GR</t>
  </si>
  <si>
    <t>HARISH CHANDER</t>
  </si>
  <si>
    <t xml:space="preserve">UNIBLISS HOSPITALITY PRIVATE LIMITED </t>
  </si>
  <si>
    <t xml:space="preserve">DIRECTOR HARISH CHANDER, S/O RAMESH KUMAR Regd/o GROUND FLOOR, PLOT NO 16 B, Himalaya Road, Sector 38, Gurugram, Gurugram, Haryana, 122001 </t>
  </si>
  <si>
    <r>
      <t>AADCU1685R</t>
    </r>
    <r>
      <rPr>
        <b/>
        <sz val="12"/>
        <color theme="1"/>
        <rFont val="Times New Roman"/>
        <family val="1"/>
      </rPr>
      <t xml:space="preserve"> </t>
    </r>
  </si>
  <si>
    <t>Booking ID ISX202413303KA8881GR</t>
  </si>
  <si>
    <t>Ashish Singla,</t>
  </si>
  <si>
    <t>Shivji Singla and Sons</t>
  </si>
  <si>
    <t>partner Ashish Singla,
S/O Shivji Singla, R/o Shri Prakash Ratna Complex, Near PWD Rest House, Barnala Road, Sirsa – 125055,</t>
  </si>
  <si>
    <t>ABBFS0055P</t>
  </si>
  <si>
    <t xml:space="preserve">Sirsa </t>
  </si>
  <si>
    <t>Booking ID ISX202514056KA8944GR</t>
  </si>
  <si>
    <t xml:space="preserve">Aakash Jain </t>
  </si>
  <si>
    <t>Aakash Jain S/O Bhanu Prakash Jain, R/o 10, Becharam Chaudhary Lane, Golabari Thana, Howrah, Bally Jagachha, Howrah, Haora, West Bengal, 711101</t>
  </si>
  <si>
    <t xml:space="preserve">ALAPJ2055M </t>
  </si>
  <si>
    <t xml:space="preserve">Haora </t>
  </si>
  <si>
    <t>Booking ID ISX202514045KA8920GR</t>
  </si>
  <si>
    <t xml:space="preserve"> Sunil N Shah,
</t>
  </si>
  <si>
    <t xml:space="preserve">AmigozZ </t>
  </si>
  <si>
    <t>S/O Navinchandra, R/o K-303, PANCHSHEEL GARDEN, NEAR HDFC BANK, MAHAVIR NAGAR, KANDIVALI
WEST, MUMBAI MAHARASHTRA, 400067,</t>
  </si>
  <si>
    <t>AMKPS3160R</t>
  </si>
  <si>
    <t>Booking ID ISX202514099KA9036GR</t>
  </si>
  <si>
    <t>Anjana Parashar</t>
  </si>
  <si>
    <t xml:space="preserve">SHIENIX LIFE SCIENCES </t>
  </si>
  <si>
    <t>through its Designated Partner
Anjana Parashar, D/o Ram Das Dixit, R/o H-286, Govindpuram, Ghaziabad, Uttar Pradesh, 201013,</t>
  </si>
  <si>
    <t>ASZPP6421F</t>
  </si>
  <si>
    <t>Booking ID ISX202514043KA8917BR</t>
  </si>
  <si>
    <t xml:space="preserve"> Pradeep Kumar Saxena </t>
  </si>
  <si>
    <t>SHREE BAIDYANATH AYURVED
BHAWAN PRIVATE LIMITED</t>
  </si>
  <si>
    <t>SHREE BAIDYANATH AYURVED
BHAWAN PRIVATE LIMITED through its Authorized Signatory Pradeep Kumar Saxena S/O
KRISHAN PRAKASH SAXENA Regd. Off. At C-046 SITE C, SURAJPUR IND AREA, GREATER
NOIDA, Gautam Buddha Nagar, Gautam Buddha Nagar, Uttar Pradesh, 201306</t>
  </si>
  <si>
    <t>AAECS5408D</t>
  </si>
  <si>
    <t>Booking ID ISX202411471KA7477DDSK</t>
  </si>
  <si>
    <t>Abdulla Asif</t>
  </si>
  <si>
    <t xml:space="preserve">TREKIVA FOOTWEAR PRIVATE LIMITED </t>
  </si>
  <si>
    <t>Director Abdulla Asif , S/O / Sayed Mohammed Jaffar, Regd. Off Office No 206, Sneh Nagar, Sapna Sangeeta Main Road, Vishal Trinity, 24-B, Indore, Madhya Pradesh, 452001</t>
  </si>
  <si>
    <t xml:space="preserve">AALCT1339B </t>
  </si>
  <si>
    <t>Madhya Pradesh</t>
  </si>
  <si>
    <t>Booking ID ISX202513880KA8457GR</t>
  </si>
  <si>
    <t>G SUBHASHINI</t>
  </si>
  <si>
    <t xml:space="preserve">SHANVIKA ENTERPRISES </t>
  </si>
  <si>
    <t>Sole proprietor G SUBHASHINI , W/O M Ganesh, R/o 32-125, Mik Dairy Street, Murakambattu, Murukambattu, Chittoor, Andhra Pradesh, 517127</t>
  </si>
  <si>
    <t xml:space="preserve">BPFPS0355M </t>
  </si>
  <si>
    <t>Booking ID ISX202513693KA7996GR</t>
  </si>
  <si>
    <t>NEELAM SINGH</t>
  </si>
  <si>
    <t>FORESIGHT INNOVATIONS
PRIVATE LIMITED</t>
  </si>
  <si>
    <t>Director Mrs. NEELAM SINGH, D/o RAJENDRA SINGH,
R/o Flat No. 18PH1 Top Floor, Tower No. 18, Ats Advantage Ahinsa Khand-1, Indirapuram
Ghaziabad Uttar Pradesh-201014</t>
  </si>
  <si>
    <t>DKTPS7897M,</t>
  </si>
  <si>
    <t>Booking ID: ISX202412943KA9159GR</t>
  </si>
  <si>
    <t xml:space="preserve">Bikash Agrawal </t>
  </si>
  <si>
    <t>Bikash Agrawal through its individual owner, S/O Bajarang Agrawal, R/o Paikmal, Paikmal, Bargarh, Odisha, 768039</t>
  </si>
  <si>
    <t xml:space="preserve">BLRPA6145B </t>
  </si>
  <si>
    <t>Odisha</t>
  </si>
  <si>
    <t>Booking ID: ISX202514129KA9132GR</t>
  </si>
  <si>
    <t>HITESH G SHINGALA</t>
  </si>
  <si>
    <t xml:space="preserve">DOLSIA RETAILERS </t>
  </si>
  <si>
    <t>through its Sole Proprietor HITESH G SHINGALA , S/O / GHANSHYAMBHAI, Regd. Off  PLOT NO.164, OLD GIDC KATARGAM, Fulpada Road, SUTEX COOPERATIVE BANK, Katargam, Surat, Gujarat</t>
  </si>
  <si>
    <t>BXSPS6976H</t>
  </si>
  <si>
    <t>Dharmendra Singh Bhadouria</t>
  </si>
  <si>
    <t>MANISHA INTERNATIONAL PRIVATE LIMITED</t>
  </si>
  <si>
    <t>Dharmendra Singh Bhadouria , S/O Ram Singh, R/o 1A, First Floor, Khasra No-275, Western Marg, New
Delhi, Saidulajab, Delhi, India, 110030,</t>
  </si>
  <si>
    <t>AAACM8865G,</t>
  </si>
  <si>
    <t>Booking ID: ISX202514063KA8923GR</t>
  </si>
  <si>
    <t xml:space="preserve">Manish Kumar Mittal </t>
  </si>
  <si>
    <t xml:space="preserve"> PANORAMIC EXPERIENCE PRIVATE LIMITED</t>
  </si>
  <si>
    <t>director Manish Kumar Mittal , S/O Baij Nath Mittal , R/o 435, 29 Salvem, behind Bakers Street, Bardez, Pilern, Porvorim, Goa 403521,</t>
  </si>
  <si>
    <t>AAOCP7717L</t>
  </si>
  <si>
    <t>Booking ID: ISX202514119KA9090GR</t>
  </si>
  <si>
    <t>RUKMINI BOSE</t>
  </si>
  <si>
    <t>GROWING GIRAFFE PRIVATE LIMITED</t>
  </si>
  <si>
    <t>director RUKMINI BOSE, D/O PRADIP BOSE, R/o 608 C, Omkar Raga Off Eastern Express Highway Shell
Colony Road, Chembur, Mumbai, Maharashtra, 400071,</t>
  </si>
  <si>
    <t>AMYPB8562C</t>
  </si>
  <si>
    <t>Booking ID: ISX202514011KA8851GR</t>
  </si>
  <si>
    <t xml:space="preserve">Mr. </t>
  </si>
  <si>
    <t>MANISH KUMAR SHARMA</t>
  </si>
  <si>
    <t>CURRENT INFRAPROJECTS LIMITED</t>
  </si>
  <si>
    <t>MANISH KUMAR SHARMA, S/O MADAN LAL SHARMA, R/o E-35 Ram Nagar Ext. Hawa Sadak  Sodala Jaipur-302034</t>
  </si>
  <si>
    <t xml:space="preserve">AAFCC5295H </t>
  </si>
  <si>
    <t>Jaipur</t>
  </si>
  <si>
    <t>Booking ID: ISX202514150KA9232GR</t>
  </si>
  <si>
    <t xml:space="preserve">Pawan Kumar </t>
  </si>
  <si>
    <t>RKGS CONSTRUCTION INDIA LLP,</t>
  </si>
  <si>
    <t>Designated Partner Pawan Kumar , S/O / Balaveer Singh, Regd. Off Pocket P3, C-241, Greater Noida,
Gautam Budh Nagar, Gautambhuddha Nagar, Uttar Pradesh, 201301,</t>
  </si>
  <si>
    <t>ABCFR8949N</t>
  </si>
  <si>
    <t>Booking ID: ISX202514151KA9237GR</t>
  </si>
  <si>
    <t>Sher Bahadur Khadka</t>
  </si>
  <si>
    <t>GROWMERCE TECHNOLOGIES PRIVATE LIMITED</t>
  </si>
  <si>
    <t>Director, Sher Bahadur Khadka, S/O Padam Bahadur Khadka, Regd. Off H/No - 117,
Khughovi Village, Dimapur, Nagaland, 797116</t>
  </si>
  <si>
    <t>HASPK0748G,</t>
  </si>
  <si>
    <t>Nagaland</t>
  </si>
  <si>
    <t>Booking ID ISX202514153KA9240BR</t>
  </si>
  <si>
    <t>Mr. Brijendra Pratap Singh</t>
  </si>
  <si>
    <t xml:space="preserve">YOUVANA CONSUMER BRANDS PRIVATE LIMITED </t>
  </si>
  <si>
    <t>Authorised Signatory Mr. Brijendra Pratap Singh,, S/O / Ram Naresh Singh,
Regd. OffOFFICE NO 98, F BLOCK, 3RD FLOOR,, RIGHT PORTION, KIRTI NAGAR, NEWDELHI,
New Delhi, Delhi, India, 110015</t>
  </si>
  <si>
    <t>AABCY5522F</t>
  </si>
  <si>
    <t>Booking ID ISX202513926KA8584GR</t>
  </si>
  <si>
    <t>Anil Kumar Chhikara</t>
  </si>
  <si>
    <t>REARVIEW INSIGHTS PRIVATE LIMITED</t>
  </si>
  <si>
    <t>Authorized signatory Anil Kumar Chhikara, S/O/ Dilbagh SIngh Chhikara, Regd. Off.
BN02/207SHRIHARIHARESHWAR, SRACHSLTDAZADNGR MULUND-E, Mumbai, Mumbai,
Mumbai, Maharashtra, India, 400081,</t>
  </si>
  <si>
    <t>AAMCR9692Q</t>
  </si>
  <si>
    <t>Booking ID ISX202514076KA8971BR</t>
  </si>
  <si>
    <t>MANJUSHA,</t>
  </si>
  <si>
    <t>Lieux</t>
  </si>
  <si>
    <t>W/O P V Arun Prasad, Regd. Off.
48/574-A, Narayanasan Road, Ponnurunny, Vyttila, Kochi, Ernakulam, Kerala, PIN-682019,</t>
  </si>
  <si>
    <t>9495934877,</t>
  </si>
  <si>
    <t>DZZPM3838P,</t>
  </si>
  <si>
    <t>Booking ID ISX202413337KA9287GR</t>
  </si>
  <si>
    <t>Aniket Mittal</t>
  </si>
  <si>
    <t>Aradhaya Enterprises</t>
  </si>
  <si>
    <t>partner Aniket Mittal, S/O Badal Mittal, R/o J 10/3, DLF – 2 chakarpur, Gurgaon, 122002</t>
  </si>
  <si>
    <t xml:space="preserve">ABYFA0539R </t>
  </si>
  <si>
    <t>Gurgaon</t>
  </si>
  <si>
    <t>Booking ID ISX202514184KA9337GR</t>
  </si>
  <si>
    <t>Bhupinder Kumar,</t>
  </si>
  <si>
    <t>Starsconstellation aerospace/ Scaerospace</t>
  </si>
  <si>
    <t>Bhupinder Kumar, S/O Ram kumar, R/o 294, New mohini park, near Ram Singh colony Amritsar 143001, Punjab,</t>
  </si>
  <si>
    <t>8054963932,</t>
  </si>
  <si>
    <t>DUHPK6929N,</t>
  </si>
  <si>
    <t>Punjab</t>
  </si>
  <si>
    <t>Booking ID ISX202514172KA9298GR</t>
  </si>
  <si>
    <t>Akarsh Makhija</t>
  </si>
  <si>
    <t>FLYBERRY GOURMET RETAIL PRIVATE LIMITED</t>
  </si>
  <si>
    <t>Director Akarsh Makhija, S/O Surender Singh Makhija, Regd. Off. 5-9-22 /33/13,
Adarsh Nagar, New Mla Quarters, Himayathnagar, Hyderabad-500063, Telangana</t>
  </si>
  <si>
    <t>AAFCF5882K</t>
  </si>
  <si>
    <t>Telangana</t>
  </si>
  <si>
    <t>Booking ID ISX202411654KA3573GR</t>
  </si>
  <si>
    <t>Nikita Ankit Thakker</t>
  </si>
  <si>
    <t>Entisi Hospitality Pvt. Ltd.</t>
  </si>
  <si>
    <t>Signing Authority &amp;amp; CEO Nikita Ankit Thakker, W/o Ankit Ajay Thakker, R/o Plot A 275, Wagle Industrial Estate, Road No.33, Jay Bhawani Nagar, opposite to Bhawani mata mandir, Maharashtra, Thane west 400604;</t>
  </si>
  <si>
    <t>AAICE0643A</t>
  </si>
  <si>
    <t>Thane</t>
  </si>
  <si>
    <t>Booking ID ISX202514128KA9116GR</t>
  </si>
  <si>
    <t>Anuj Bansal</t>
  </si>
  <si>
    <t>Amigos Alliance LLP</t>
  </si>
  <si>
    <t>Designated Partner Anuj Bansal, S/O Ashok Bansal, Regd. Off No. 847 B, The Avenue, Sushant Lok-I, Block-C, Gurgaon, Gurgaon, New Colony, Haryana, India, 122001,</t>
  </si>
  <si>
    <t>ABBFA4264G</t>
  </si>
  <si>
    <t>Booking ID ISX202514221KA9441GR</t>
  </si>
  <si>
    <t>Manu Varghese</t>
  </si>
  <si>
    <t>LEAP OF FAITH</t>
  </si>
  <si>
    <t>Partner Manu Varghese ,S/O Kurian Varghese, R/o Flat No A2-403, MAHAVEER Ranches, Sai Sree Layout, Parappana Agrahara, Near Naganathapura, Electronics City, Bengaluru, Karnataka, 560100,</t>
  </si>
  <si>
    <t>AAMFL1421A</t>
  </si>
  <si>
    <t>Booking ID ISX202514044KA8918GR</t>
  </si>
  <si>
    <t>Orion Solren Pvt Ltd/ORION HYBREN PRIVATE LIMITED</t>
  </si>
  <si>
    <t>Auhtorized Signatory Divya Kumar Gupta, S/O Krishanraj Rajkumar Gupta, R/o 304, Neopolis Building Besides Bhoomi Acres Kavesar Waghbill Ghodbunder Road Near Hianandani Estate Thane Maharashtra
400607,</t>
  </si>
  <si>
    <t>AAECO3800D</t>
  </si>
  <si>
    <t>Booking ID ISX202514174KA9312GR</t>
  </si>
  <si>
    <t>Tushar Shinde</t>
  </si>
  <si>
    <t>Vaani AI Research Private Limited</t>
  </si>
  <si>
    <t>Director, Tushar Shinde, S/o Kadubarao Shinde, R/o House 332, Near Swami Samarth temple, Renuka Nagar, Garkheda, Aurangabad, Maharashtra - 431009</t>
  </si>
  <si>
    <t>GYOPS9096A,</t>
  </si>
  <si>
    <t>Priyanshi</t>
  </si>
  <si>
    <t>ISX202514234KA9530BR</t>
  </si>
  <si>
    <t>Punitha Selvaraj,</t>
  </si>
  <si>
    <t>Mytreya Lifestyle &amp;amp Wellness Private limited</t>
  </si>
  <si>
    <t>director Punitha Selvaraj, D/o Selvaraj Rajappa Shetty, Redg. Off. Prestige Atlanta, 80 Feet Rd,
Koramangala 1A Block, Koramangala 3 Block, Koramangala, Bangalore, Bangalore South,
Karnataka, India, 560034,</t>
  </si>
  <si>
    <t>AARCM8249B</t>
  </si>
  <si>
    <t>Booking ID ISX202514227KA9509BR</t>
  </si>
  <si>
    <t>Kiran Kumar Nallacheruvu</t>
  </si>
  <si>
    <t>SHREE ANNAPOORNA AAHARAM LLP</t>
  </si>
  <si>
    <t>Designated Partner Kiran Kumar Nallacheruvu , S/o Sangameshwar Nallacheruvu, R/o Hno I
Archana Enclave Near St Mark School East Mardepally Secunderabad 500026,</t>
  </si>
  <si>
    <t>AFAFS9360Q,</t>
  </si>
  <si>
    <t>Secunderabad</t>
  </si>
  <si>
    <t>Booking ID ISX202514220KA9421GR</t>
  </si>
  <si>
    <t>Aryan Sandhu</t>
  </si>
  <si>
    <t>SPACESYNTAX STUDIO HIVE AND ALGORITHMIC
DECOR PRIVATE LIMITED</t>
  </si>
  <si>
    <t>Director Aryan Sandhu, S/O/ Jitendra Sandhu, R/o 46,
Lal Bagh, Gandhi Colony, Muzaffarnagar, Uttar Pradesh, 251001,</t>
  </si>
  <si>
    <t>ILJPS0280N</t>
  </si>
  <si>
    <t>Booking ID ISX202513668KA7937BR</t>
  </si>
  <si>
    <t>Invoice till March</t>
  </si>
  <si>
    <t xml:space="preserve">Sunita Shivaji Patil </t>
  </si>
  <si>
    <t>Solspace Technologies LLP</t>
  </si>
  <si>
    <t>partner Sunita Shivaji Patil , D/o Shivaji Patil, R/o H no 1100 Vaikhunth Road, Sagar Nagar Kangrali K h Belgaum Kangali KH Belgaum Karnataka 590010,</t>
  </si>
  <si>
    <t>DDMPP9703H,</t>
  </si>
  <si>
    <t>30-02-2026</t>
  </si>
  <si>
    <t>Booking ID: ISX202413233KA6906BR</t>
  </si>
  <si>
    <t>AJITH GOPALAKRISHNAN NAIR</t>
  </si>
  <si>
    <t>VAAGA Enterprise</t>
  </si>
  <si>
    <t>its Sole Proprietor, AJITH GOPALAKRISHNAN NAIR , S/O GOPALAKRISHNAN NAIR, R/o 28, Ellipode,
Vattiyoorkavu, Thiruvananthapuram, Kerala, 695013,</t>
  </si>
  <si>
    <t>AETPN3721J</t>
  </si>
  <si>
    <t>Booking ID: ISX202514201KA9379GR</t>
  </si>
  <si>
    <t>Ashish Kumar</t>
  </si>
  <si>
    <t>DTWELVE SPACES PRIVATE LIMITED</t>
  </si>
  <si>
    <t>Chief Financial Officer Ashish Kumar having its registered office 210, C-1/1, 2nd Floor, Amber Tower, Commercial Complex, Azadpur, New Delhi-110033 and corporate office at 21 st Floor, Ireo Grand View Tower, Sector 58, Golf Course Extension Road, Arch view Dr Gurgaon 122102,</t>
  </si>
  <si>
    <t>7827999092,</t>
  </si>
  <si>
    <t>AAGCD0417P</t>
  </si>
  <si>
    <t>Booking ID: ISX202410889KA9120GR</t>
  </si>
  <si>
    <t>H MAHALAKSHMI</t>
  </si>
  <si>
    <t>HEAVEN HOME CARE SERVICES PRIVATE LIMITED</t>
  </si>
  <si>
    <t>H MAHALAKSHMI, D/o HARIBABU, R/o No. 119, 4th Main Road, 2nd Cross, Mico Layout, J C Nagar, Kurubarhalli, Bangalore -560086,</t>
  </si>
  <si>
    <t>9632451935,</t>
  </si>
  <si>
    <t>AWMPM3940P,</t>
  </si>
  <si>
    <t>Booking ID ISX202514196KA9364BR</t>
  </si>
  <si>
    <t>Devendra Shukla</t>
  </si>
  <si>
    <t>KAP TECHNOSOFT PRIVATE LIMITED,</t>
  </si>
  <si>
    <t>Authorized Signatory Devendra Shukla, S/O / Raj Bahadur Shukla, Regd. Off LOWER GROUND
FLOOR, PLOT NO 142, B-1, SECTOR 4, VAISHALI, Ghaziabad, Uttar Pradesh, 201010</t>
  </si>
  <si>
    <t>AAFCK7123C</t>
  </si>
  <si>
    <t>Booking ID ISX202514235KA9525GR</t>
  </si>
  <si>
    <t>Atul mittal</t>
  </si>
  <si>
    <t>FLX TECNOLOGY PVT LTD</t>
  </si>
  <si>
    <t>director Atul mittal, S/O ashok mittal, Redg. Off. Flat No. 101, Raghava Residency, Indiranagar Double Road, Bengaluru, Bengaluru Urban, Karnataka, 560038,</t>
  </si>
  <si>
    <t>AAFCF6094B,</t>
  </si>
  <si>
    <t>Booking ID, ISX202514291KA9667BR</t>
  </si>
  <si>
    <t>VIPUL JAISWAL</t>
  </si>
  <si>
    <t>V J PRODUCTIONS</t>
  </si>
  <si>
    <t>VIPUL JAISWAL , S/O RAJENDRA JAISWAL, R/o
E-94/B, SAKET NAGAR, INDORE, INDORE, MADHYA PRADESH-452018,</t>
  </si>
  <si>
    <t>9893565655,</t>
  </si>
  <si>
    <t>AFPPJ5789R,</t>
  </si>
  <si>
    <t>Booking ID, 
ISXGRCAKA1081</t>
  </si>
  <si>
    <t>Pratikkumar Dipakkumar Chotai</t>
  </si>
  <si>
    <t>TALOD FOOD PRODUCTS PRIVATE LIMITED</t>
  </si>
  <si>
    <t>DIRECTOR Pratikkumar Dipakkumar Chotai, S/O / Dipakkumar Chotai, Regd. Off SURVEY NO 4
AND 10, AT AND PO MAHIYAL, TALOD, Sabarkantha, Gujarat, 383215,</t>
  </si>
  <si>
    <t>AAFCT8051N</t>
  </si>
  <si>
    <t>Booking ID, 
ISX202514251KA9558GR</t>
  </si>
  <si>
    <t>Ameve Sharma</t>
  </si>
  <si>
    <t>CALDEL ADVISORS</t>
  </si>
  <si>
    <t>Partner Ameve Sharma, Registered Office Apartment 3C, Epslion Apartments. Epslion Residential Villas, Yemlur, Village Mainroad, behind Old Airport road, Bengaluru 560037</t>
  </si>
  <si>
    <t>AATFC4198A</t>
  </si>
  <si>
    <t>Booking ID, 
ISX202513961KA8726GR</t>
  </si>
  <si>
    <t>POLAGANI PRASAD</t>
  </si>
  <si>
    <t>BBPS QUANT AI PRIVATE LIMITED</t>
  </si>
  <si>
    <t>Director POLAGANI SAI SUMANTH KOUNDINYA, S/O/ POLAGANI PRASAD, R/o A 01G2,
Brigade Meadows Kanakapura Main Road, Near Art Of Living, Bangalore South, Udaypura,
Bangalore South Bengaluru, Karnataka, 560082,</t>
  </si>
  <si>
    <t>AKXPP0718R</t>
  </si>
  <si>
    <t>Booking ID, 
ISXBRKA1194BR</t>
  </si>
  <si>
    <t>GURUDARSHAN S GOUR</t>
  </si>
  <si>
    <t xml:space="preserve"> PEREGRINE PHOSPHATE PVT LTD</t>
  </si>
  <si>
    <t>Director GURUDARSHAN S GOUR ,R/o
Ground Floor, No.27,27/1, Renaissance Centra, Mission Road, Rama Nagara, Bengaluru (Bangalore)
Urban, Karnataka, 560027,</t>
  </si>
  <si>
    <t>7899754213,</t>
  </si>
  <si>
    <t>AAHCP5211E,</t>
  </si>
  <si>
    <t>Shivani</t>
  </si>
  <si>
    <t>Booking ID, 
ISXBRKA1058GR</t>
  </si>
  <si>
    <t>BADAL GAUTAM</t>
  </si>
  <si>
    <t>HAPPINESS QUOTIENT EVENTS PRIVATE LIMITED,</t>
  </si>
  <si>
    <t>Director BADAL GAUTAM, S/O / DURGANAND JHA, Regd. Off SECOND FLOOR F 35/4 OKHLA PHASE 2, Near KIA Service Centre &amp;amp; Spare Parts, New Delhi, South East Delhi, Delhi, 110020,</t>
  </si>
  <si>
    <t>AAGCH5788K</t>
  </si>
  <si>
    <t>Booking ID: 
ISXGRKA1136GR</t>
  </si>
  <si>
    <t>RAHUL KUMAR CHAUHAN</t>
  </si>
  <si>
    <t>LAUN TECHNOLOGY PRIVATE LIMITED</t>
  </si>
  <si>
    <t>director RAHUL KUMAR CHAUHAN, S/o Mr. NIRBHAY SINGH, R/o MAWANA, TATINA,
MEERUT, MAWANA, MEERUT, UTTAR PRADESH 250401,</t>
  </si>
  <si>
    <t>AADCL3002D</t>
  </si>
  <si>
    <t>Booking ID: 
ISXGRKA1091GR</t>
  </si>
  <si>
    <t>Reddannagari Nani Kumar Reddy</t>
  </si>
  <si>
    <t>Sri Jaya Varaahi Temple Tourism and Development Pvt Ltd</t>
  </si>
  <si>
    <t>director Reddannagari Nani Kumar Reddy, S/o Reddannagari Subba Reddy, R/O 10/48, Kaladivandlapalli, Brahmana Yerragudi, Cuddapah, Andhra Pradesh- 516257,</t>
  </si>
  <si>
    <t>FKFPR7669L</t>
  </si>
  <si>
    <t>Booking ID: 
#ISXBRKA1195BR</t>
  </si>
  <si>
    <t>TrueBlue Mavens Healthcare Private Limited</t>
  </si>
  <si>
    <t>director Pradeesh Babu, S/o Lakshmanan . K, R/O C/O Gujjala Balagopal Reddy, No. 55 Riches Regal Layout, Kalkere, Karnataka- 560043,</t>
  </si>
  <si>
    <t>ADNPL7724L</t>
  </si>
  <si>
    <t>Booking ID: 
ISXBRKA1203</t>
  </si>
  <si>
    <t>DILKHUSH KOTHARI</t>
  </si>
  <si>
    <t>INDS COMMERCE</t>
  </si>
  <si>
    <t>DILKHUSH KOTHARI, S/O PAWAN KUMAR KOTHARI, R/O NO.705, 1ST FLOOR, 4TH B CROSS, 9TH A MAIN ROAD, HAMPINAGAR, BLR- 560104,</t>
  </si>
  <si>
    <t>CRUPK8022K,</t>
  </si>
  <si>
    <t>Booking ID: 
ISXBRCAKA1167</t>
  </si>
  <si>
    <t>Hargun Kaur</t>
  </si>
  <si>
    <t>Miramo Private Limited</t>
  </si>
  <si>
    <t>Authorized Signatory Hargun Kaur, D/o Gurvinder Singh, R/o A-405, Kalkaji, Delhi-110019,</t>
  </si>
  <si>
    <t>AASCM5232H</t>
  </si>
  <si>
    <t>Booking ID:
 ISXGRKA1226</t>
  </si>
  <si>
    <t>Ankit Chowdhary</t>
  </si>
  <si>
    <t>Ankit Chowdhary</t>
  </si>
  <si>
    <t>itsProprietor Ankit Chowdhary, S/O Anil Kumar Chowdhary, R/o G 503, Raheja Residency, 3rd Block, Koramangala, Bangalore South Koramangala, Bengaluru, Karnataka, 560034,</t>
  </si>
  <si>
    <t>AQDPC3433A</t>
  </si>
  <si>
    <t>Booking ID:
ISXGRKA1183</t>
  </si>
  <si>
    <t>Ritwik Gupta</t>
  </si>
  <si>
    <t>EVENT FACTORY</t>
  </si>
  <si>
    <t>Partner Ritwik Gupta , S/O / Dinesh Gupta, Regd. Off Flat NO. 1606-1607, Setaria, Wing A, Part of Eastern Express Road, Ghatkopar East, Mumbai, Mumbai Suburban, Maharashtra,400077,</t>
  </si>
  <si>
    <t>AAEFE5074G</t>
  </si>
  <si>
    <t>Booking ID:
ISX202513999KA8816GR</t>
  </si>
  <si>
    <t xml:space="preserve">Ravina Rawal </t>
  </si>
  <si>
    <t>DEADANT MEDIA PRIVATE LIMITED</t>
  </si>
  <si>
    <t>director Ravina Rawal D/o RAVINDER RAWAL Regd. Off. At Floor G, 8, Prem Nagar, Dr Annie Besant Road, Worli, Mumbai, Maharashtra, 400018</t>
  </si>
  <si>
    <t>AAJCD3153D</t>
  </si>
  <si>
    <t>Booking ID:
 ISXGRKA1290</t>
  </si>
  <si>
    <t>Suyog Anil Vispute</t>
  </si>
  <si>
    <t>REVER INDUSTRIES</t>
  </si>
  <si>
    <t>partner Suyog Anil Vispute, S/o Anil Vispute, Redg. Off. BLOCK NO 7, PLOT NO M100, SWYASIDHA INDUSTRIAL PREMISES , MIDC, AMBAD, Nashik, Nashik, Maharashtra- 422010,</t>
  </si>
  <si>
    <t>AATFR9806L</t>
  </si>
  <si>
    <t>Nashik</t>
  </si>
  <si>
    <t>Booking ID:
ISXGRCAKA1255,</t>
  </si>
  <si>
    <t>K MD HUSSAIN</t>
  </si>
  <si>
    <t>CREATIVE DZINE</t>
  </si>
  <si>
    <t>sole proprietorship K MD HUSSAIN, S/O K ASMATH BASHA, R/o 12/523, Banglore Ibrahim Sahaib Street, Muslimpur, Vaniyambadi, Tamil nadu, 635751,</t>
  </si>
  <si>
    <t>ABXPH6942C</t>
  </si>
  <si>
    <t>Booking ID:
ISX202514082KA9005BR</t>
  </si>
  <si>
    <t xml:space="preserve"> Sharad Jain</t>
  </si>
  <si>
    <t>Nutrabay Retail Private Limited</t>
  </si>
  <si>
    <t>director Sharad Jain , S/O Sanjeev Jain , R/o B-289, 2nd Floor, Okhla Industrial Area,Phase-1 Okhla Industrial Area Phase-i, South Delhi, New Delhi, Delhi, India, 110020,</t>
  </si>
  <si>
    <t>ADVPJ9283G</t>
  </si>
  <si>
    <t>Booking ID:
ISX202514293KA9675GR</t>
  </si>
  <si>
    <t>Shreyas Mitra</t>
  </si>
  <si>
    <t>Shreyas Global Ventures</t>
  </si>
  <si>
    <t>sole proprietorship Shreyas Mitra, C/O Mitra M N, R/o Flat No 402, 4th Floor, Rain Drops Apartment,
Vivekanandapuram, Ammuguda, Sainikpuri, Hyderabad, Telangana, 500094,</t>
  </si>
  <si>
    <t>BTEPM9873P</t>
  </si>
  <si>
    <t>Booking ID:
ISXBRCAKA1374</t>
  </si>
  <si>
    <t>ROHAN KHANDUJA</t>
  </si>
  <si>
    <t>TRIPOLE GEARS PRIVATE LIMITED</t>
  </si>
  <si>
    <t>ROHAN KHANDUJA , S/O Ravinder
Kumar Khanduja, R/o CGP – 223, 22 ND FLOOR, DLF CAPITAL GREENS PHASE – 2 MOTI
NAGAR, KARAM PURA, WESTDELHI, DELHI - 110015,</t>
  </si>
  <si>
    <t>7738300969,</t>
  </si>
  <si>
    <t>CPMPK9406B,</t>
  </si>
  <si>
    <t>Booking ID:
ISXGRKA1399,</t>
  </si>
  <si>
    <t>Divya Gurnani</t>
  </si>
  <si>
    <t>MY INDIAN THINGS</t>
  </si>
  <si>
    <t>Divya Gurnani, D/o Ashok Gurnani, Redg. Off. 154/20 THIRED FLOOR T - 1 ROYAL SPACE, 5th MAIN 174, HSR LAYOUT 7th MADINA NAGAR BOMMANAHALLI, Bengaluru, Bengaluru Urban, Karnataka, 560102</t>
  </si>
  <si>
    <t xml:space="preserve">AMWPM2200Q </t>
  </si>
  <si>
    <t>Booking ID:
 ISXGRKA1375</t>
  </si>
  <si>
    <t>Aditya Daroliya</t>
  </si>
  <si>
    <t>INNOVACION FUNDADORA LLP</t>
  </si>
  <si>
    <t>Designated Partner Aditya Daroliya, S/O / C.R. Darolia, Regd. Off FLAT NO-064 TOWER-F, DLF
NEWTOWN HEIGHT SEC-90, DLF QE, Gurgaon, Dlf Qe, Haryana, India, 122002,</t>
  </si>
  <si>
    <t>AAKFI4993E</t>
  </si>
  <si>
    <t>Booking ID: 
ISXGRKA1338</t>
  </si>
  <si>
    <t>VAISHNAVI ATUL</t>
  </si>
  <si>
    <t>V2Konnect</t>
  </si>
  <si>
    <t>PROPRIETOR VAISHNAVI ATUL NAZARE, D/o
SHYAM MARUTI SAWANT, Regd/o C 702, COUNTRY PARK, DATTAPADA ROAD OPP TATA
STEEL, BORIVALI, Mumbai City, Maharashtra, 400066</t>
  </si>
  <si>
    <t>9619948727,</t>
  </si>
  <si>
    <t>AFMPN8002J</t>
  </si>
  <si>
    <t>Booking ID: 
ISXGRCAKA1360</t>
  </si>
  <si>
    <t>VISWANATHAN CHANDRASEKARAN</t>
  </si>
  <si>
    <t>SILRES ENERGY SOLUTIONS PRIVATE LIMITED</t>
  </si>
  <si>
    <t>Authorized Signatory, VISWANATHAN CHANDRASEKARAN, S/o VISWANATHAN, R/o
VISWANATHAN CHANDRASEKARAN, S/o VISWANATHAN, R/o 30/5, FIRST FLOOR, FIRST
CROSS STREET, RAJA ANNAMALAI PURAM, Raja Annamalai puram, CHENNAI, Tamil Nadu –
600028,</t>
  </si>
  <si>
    <t>7338772444,</t>
  </si>
  <si>
    <t>ABCCS7137A,</t>
  </si>
  <si>
    <t>Booking ID: 
ISX202513468KA7440GR</t>
  </si>
  <si>
    <t>Vardhman Soni</t>
  </si>
  <si>
    <t>Gilheri Organics</t>
  </si>
  <si>
    <t>Sole Proprietor Vardhman Soni, S/O Atul Soni, R/o HIG 460 E-7 Arera Colony Bhopal Bhopal Bhopal Madhya Pradesh – 462016</t>
  </si>
  <si>
    <t>JYOPS2031C</t>
  </si>
  <si>
    <t>Booking ID: 
ISXGRCAKA1465</t>
  </si>
  <si>
    <t>HINDUPUR SARFARAZ NAWAZ</t>
  </si>
  <si>
    <t>SAR LIFE CARE INNOVATION (OPC) PRIVATE LIMITED</t>
  </si>
  <si>
    <t>Owner HINDUPUR SARFARAZ NAWAZ , S/O/ H. Mastan vali, Regd. Off
540/18, NEW NO 33, ,, B CROSS,1 ST MAIN, ANNAYYA REDDY LAYOUT ,BANASWADI,
BANGALORE, Bengaluru (Bangalore) Urban, Karnataka, 560043,</t>
  </si>
  <si>
    <t>ABFCB0722A</t>
  </si>
  <si>
    <t>Booking ID: 
ISXBRCAKA1300</t>
  </si>
  <si>
    <t>RAJESH KUMAR N</t>
  </si>
  <si>
    <t>BULLPILOT TECHNOLOGIES PVT LTD</t>
  </si>
  <si>
    <t>director RAJESH KUMAR N, S/O
NATARAJAN R/o S1, Clayton park, 610, 1st C main, off 1st cross, domlur layout, domlur layout,
bengaluru, karnataka 560071,with</t>
  </si>
  <si>
    <t>ALVPR4422M</t>
  </si>
  <si>
    <t>Booking ID: 
ISXBRKA1567</t>
  </si>
  <si>
    <t>Govind Vaishnav</t>
  </si>
  <si>
    <t>BHAWANA ELECTRONICS</t>
  </si>
  <si>
    <t>proprietor Govind Vaishnav, S/O Shivram Vaishnav, Redg. Off. 08, HIRA VIHAR, SHREE JI NAGAR,
RAMPURA ROAD, SANGANER, Jaipur, Rajasthan, 302020,</t>
  </si>
  <si>
    <t>6367838440,</t>
  </si>
  <si>
    <t>BSMPV4810L,</t>
  </si>
  <si>
    <t>Booking ID: 
ISXGRKA1297</t>
  </si>
  <si>
    <t>Aditya Poddar</t>
  </si>
  <si>
    <t>FITSHIP PRIVATE LIMITED</t>
  </si>
  <si>
    <t>director, Aditya Poddar, S/O Narendra Prasad Poddar, Redg. Off. RZ-A-83, Road No. 4, Street No. 6,
Mahipalpur Extnension, South West Delhi, Delhi, 110037,</t>
  </si>
  <si>
    <t>9871285350,</t>
  </si>
  <si>
    <t>AAECF7259B,</t>
  </si>
  <si>
    <t>Booking ID:
ISXGRKA1556</t>
  </si>
  <si>
    <t>Tanya Karumbaiah</t>
  </si>
  <si>
    <t>ZIGREX</t>
  </si>
  <si>
    <t>sole proprietorship Tanya Karumbaiah, D/o M N Karumbiah, R/O 9M 430 1st floor 1st block 9th main HRBR LAYOUT KALYAN NAGAR BANGALORE 560043,</t>
  </si>
  <si>
    <t>Booking ID:
ISX202513594KA7730BR</t>
  </si>
  <si>
    <t>Kaushik Das,</t>
  </si>
  <si>
    <t>Kaushik Das Consultancy</t>
  </si>
  <si>
    <t>sole proprietorship Kaushik Das, S/O Kanak Lal Das, R/o Flat 303, Maria Selva Apartments, 21 Davis Road,
St. Thomas Town, Bangalore - 560084,</t>
  </si>
  <si>
    <t>AJWPD2668J</t>
  </si>
  <si>
    <t>mahima Malik</t>
  </si>
  <si>
    <t>Booking ID:
ISXGRKA1738</t>
  </si>
  <si>
    <t>Rahul Ramavadh Rajbhar</t>
  </si>
  <si>
    <t>Rahul Ramavadh Rajbhar,</t>
  </si>
  <si>
    <t>Rahul Ramavadh Rajbhar, S/O/ Ramavadh Jahuri
Rajbhar, R/o 304, B Wing, Godavari Apartment, Bhusar Ali Road, Near Bhagirati Banglow, Kalwa,
Thane, Maharashtra, 400605,</t>
  </si>
  <si>
    <t>APDPR8445L</t>
  </si>
  <si>
    <t>Booking ID:
 ISXBRKA1331</t>
  </si>
  <si>
    <t>Harish Kumar</t>
  </si>
  <si>
    <t>Hexa Energy KN1 Private Limited (PAN Number - AAHCH4453J)</t>
  </si>
  <si>
    <t>Authorised Signatory Harish Kumar, S/O Ranjeet Singh, R/O C 106 Tower C, 10th Floor, Assotech the Nest Society, Prateek The Royal, Crossing Republic, Ghaziabad, Uttar Pradesh- 2201009,</t>
  </si>
  <si>
    <t>9719168574,</t>
  </si>
  <si>
    <t>CDCPK9905K,</t>
  </si>
  <si>
    <t>Booking ID:
ISXGRKA1593</t>
  </si>
  <si>
    <t>KUNAL SINGH</t>
  </si>
  <si>
    <t>B2B HOSPITALITY PRIVATE LIMITED</t>
  </si>
  <si>
    <t>Director KUNAL SINGH, S/O KARAN SINGH, Regd. Office 428 A, 4 th Floor, D-21, Corporate park,
Dwarka Sector – 21, New Delhi – 110077, India</t>
  </si>
  <si>
    <t>AAGCB6713J</t>
  </si>
  <si>
    <t>Booking ID:
 ISXGRKA1675</t>
  </si>
  <si>
    <t>Sahil Sharad Shah</t>
  </si>
  <si>
    <t>Macmerise Celfie Design Private Limited</t>
  </si>
  <si>
    <t>director Sahil Sharad Shah, S/O Sharad Shah, office no 141, Adarsh Industrial Estate, Sahar Road, Near
Cigarette Factory, Chakala, Andheri East, Mumbai, Maharashtra - 400 059,</t>
  </si>
  <si>
    <t>AAMCM9494K</t>
  </si>
  <si>
    <t>Booking ID:
ISXGRKA1410</t>
  </si>
  <si>
    <t>PARTH NIPUNKUMAR DAVE</t>
  </si>
  <si>
    <t>TSF BRANDS</t>
  </si>
  <si>
    <t>Proprietor PARTH NIPUNKUMAR DAVE S/O Nipunkumar Registered office at H/1/15, ARJUN APT, NR. SHANTI APT, NR. PRAGATI NAGAR ROAD, NARANPURA, Ahmedabad, Gujarat, 380013</t>
  </si>
  <si>
    <t>BXLPD4330H</t>
  </si>
  <si>
    <t>Ahemdabad</t>
  </si>
  <si>
    <t>Booking ID:
ISXGRKA1730</t>
  </si>
  <si>
    <t>Dipnarayan Roy</t>
  </si>
  <si>
    <t>Dipnarayan Roy</t>
  </si>
  <si>
    <t>Authorized Signatory Dipnarayan Roy, S/O KOBI ROY, R/O Flat No. B 701 Skylark East, Hoodi Village, Bangalore North, Hoodi, Bengaluru, Karnataka - 560048,</t>
  </si>
  <si>
    <t>DRAPR6756Q</t>
  </si>
  <si>
    <t>Booking ID:
ISXBRKA1739</t>
  </si>
  <si>
    <t>Ronak Jaiswal</t>
  </si>
  <si>
    <t>Topcan Beverages</t>
  </si>
  <si>
    <t>Partner Ronak Jaiswal, S/O Shiwaji prasad Jaiswal, Registered office at 3RD FLOOR, GAURAV BHAWAN, GS ROAD, D.NEG PATH, ABC, Dispur, Kamrup Metropolitan, Assam, 781005</t>
  </si>
  <si>
    <t>AATFT8643H</t>
  </si>
  <si>
    <t>Booking ID:
ISXGRKA1702</t>
  </si>
  <si>
    <t>VIREN MANOJBHAI ZALAVADIYA</t>
  </si>
  <si>
    <t>WELLVORT FASHION PRIVATE LIMITED</t>
  </si>
  <si>
    <t xml:space="preserve">Director VIREN MANOJBHAI ZALAVADIYA , S/O MANOJBHAI ZALAVADIYA, REGD. OFF D-78,
Suryam Industrial Park, S P Ring Road, Nr. Torrent Road Sub Station, New Nikol, Ahmedabad,
Gujarat, 382345 </t>
  </si>
  <si>
    <t>AADCW4765C</t>
  </si>
  <si>
    <t>Booking ID:
ISXGRKA1579</t>
  </si>
  <si>
    <t xml:space="preserve"> SWATI BHOSALE</t>
  </si>
  <si>
    <t xml:space="preserve">TEAM RUCTIC PRIVATE LIMITED/ </t>
  </si>
  <si>
    <t>authorized signatory SWATI BHOSALE D/O MANSING BABA KADAM, Redg. Off. 3 RD FLOOR, 302,
SANPADA STATION COMPLEX, SANPADA, NAVI MUMBAI, Thane, Maharashtra, 400705,</t>
  </si>
  <si>
    <t>AACCT6990K</t>
  </si>
  <si>
    <t>Booking ID:
ISXGRKA1459</t>
  </si>
  <si>
    <t>Naviva Aqua Botanica </t>
  </si>
  <si>
    <t>Naviva Aqua Botanica</t>
  </si>
  <si>
    <t>Naviva Aqua Botanica through its Partner Prajwal
Ramesh, S/O Ramesh Lingappa, R/O Door No. 226, 1st A Main, 2nd Stage , WOC, Mahalakshmipuram, 560086</t>
  </si>
  <si>
    <t>FGHPP5396E</t>
  </si>
  <si>
    <t>Mahalakshmipura</t>
  </si>
  <si>
    <t>Booking ID:
ISXBRKA1834</t>
  </si>
  <si>
    <t>H DURGA VINOD
PECHATTI</t>
  </si>
  <si>
    <t>PVS Global Exports</t>
  </si>
  <si>
    <t>Proprietor H DURGA VINOD
PECHATTI, S/O ADINARAYANA RAO R/O at 52-2-3/1, SOMESWARA AGRAHARAM, PALAKOL,
PALAKOL MANDALAM, Palacole, West Godavari, Andhra Pradesh, 534260</t>
  </si>
  <si>
    <t>BIPPP0233A</t>
  </si>
  <si>
    <t>Booking ID:
ISXGRKA1924</t>
  </si>
  <si>
    <t xml:space="preserve"> Nirav Maniar</t>
  </si>
  <si>
    <t>Promaynov Advisory Services Pvt Ltd.</t>
  </si>
  <si>
    <t>authorized signatory Nirav Maniar, S/o DINESH CHANDRA MANIAR R/o S-217 Panchsheel Park
New Delhi-110017</t>
  </si>
  <si>
    <t>9818728822,</t>
  </si>
  <si>
    <t>AIGPM2086A</t>
  </si>
  <si>
    <t>Booking ID:
ISXBRKA1895R2</t>
  </si>
  <si>
    <t>ABHISHEK RAUTH</t>
  </si>
  <si>
    <t>THERMAL TECHNOLOGIES</t>
  </si>
  <si>
    <t>proprietorship ABHISHEK RAUTH, S/O NALINI KANTA RAUTH, R/o c/o: Nalini Kanta Rauth, Uday
Nagar Colony, Ruby Hospital, Kolkata Municipal Corporation, Tiljala, VIP Nagar, PO: VIP Nagar,
DIST: South 24 Parganas, West Bengal, 700100,</t>
  </si>
  <si>
    <t>DOXPR6095J</t>
  </si>
  <si>
    <t>Booking ID:
ISXGRKA1923</t>
  </si>
  <si>
    <t>Chira Ranjan Ray</t>
  </si>
  <si>
    <t>M/s. BISWAS DAS GUPTA DATTA &amp; ROY</t>
  </si>
  <si>
    <t>partner Chira Ranjan Ray, S/O Prabhat Kumar Ray, R/o 10 GOVT. PLACE (EAST), EZRA MANSION ROOM NO 21 ESPLANADE KOLKATA – 700069,</t>
  </si>
  <si>
    <t>AADFB3199A</t>
  </si>
  <si>
    <t>Booking ID:
ISX202311979KA8331GR</t>
  </si>
  <si>
    <t>KURAKULA KRANTHI KUMAR</t>
  </si>
  <si>
    <t> KPR TRADERS</t>
  </si>
  <si>
    <t>proprietorship KURAKULA KRANTHI KUMAR, S/O K PULLA RAO, R/o HNO 7, 10TH MAIN, 4TH CROSS,
NANDANAM COLONY, HORAMAVU BANGALORE 560043,</t>
  </si>
  <si>
    <t>ASZPK1009N</t>
  </si>
  <si>
    <t>Booking ID:
ISXGRKA1915</t>
  </si>
  <si>
    <t>Invoice done till this April</t>
  </si>
  <si>
    <t>Abantika Bhowmick</t>
  </si>
  <si>
    <t>BELCOLORE BY ABG (OPC) PRIVATE LIMITED</t>
  </si>
  <si>
    <t>owner Abantika Bhowmick, S/O Nikhil Chandra Bhowmick, R/o 2nd Floor, Flat No 3
,15/2/29, Sumangal Apartment, Jheel Road, Santoshpur, Kolkata, Kolkata, West Bengal, 700075,</t>
  </si>
  <si>
    <t>AALCB2572L</t>
  </si>
  <si>
    <t>Booking ID:
ISXGRKA1978</t>
  </si>
  <si>
    <t xml:space="preserve">GAURAV SHARMA </t>
  </si>
  <si>
    <t>DGMFG PRODUCTS PRIVATE LIMITED</t>
  </si>
  <si>
    <t>Director GAURAV SHARMA S/O Ved Prakash Shastri Registered office at K-5/10, mohan garden, Uttam Nagar, West Delhi Delhi - 110059with</t>
  </si>
  <si>
    <t>KDCPS2269Q</t>
  </si>
  <si>
    <t>Booking ID:
ISXGRKA1789</t>
  </si>
  <si>
    <t>KARNESH MAHENDRU</t>
  </si>
  <si>
    <t>PROTOGREEN RETAIL SOLUTIONS PRIVATE LIMITED</t>
  </si>
  <si>
    <t>Director KARNESH MAHENDRU, S/O AJAY MAHENDRU, Regd. Off Second Floor,
House No. 47, C Block, East of Kailash, South West Delhi, Delhi 110065,</t>
  </si>
  <si>
    <t>AAGCP8615F</t>
  </si>
  <si>
    <t>Booking ID:
ISXGRKA1892</t>
  </si>
  <si>
    <t>Tanay Sareen</t>
  </si>
  <si>
    <t>Retail Rivers</t>
  </si>
  <si>
    <t>sole proprietorship Tanay Sareen,
S/O Ashok Kumar Sareen, R/o Flat 683, Jal Vayu Towers, Benniganahalli, Bangalore, Karnataka,
560038,</t>
  </si>
  <si>
    <t>FSWPS6478B</t>
  </si>
  <si>
    <t>Booking ID:
 ISXBRKA2062</t>
  </si>
  <si>
    <t>Kartika Rai</t>
  </si>
  <si>
    <t>BE KIND RETAIL</t>
  </si>
  <si>
    <t>Partner Kartika Rai , D/o Harish Chander Rai, Regd. Off Shop-18, Satyam Imperial Heights, SECTOR NUMBER 11 &amp;amp; PlotNumber 11, Ghansoli, NAVI MUMBAI, Thane, Maharashtra, 400701,</t>
  </si>
  <si>
    <t>AAXFB1687P</t>
  </si>
  <si>
    <t>Booking ID:
ISXGRKA2114</t>
  </si>
  <si>
    <t>ANAL AMOD</t>
  </si>
  <si>
    <t>AMOD Tech Solutions</t>
  </si>
  <si>
    <t>Proprietor ANAL AMOD S/O ANJANI KUMAR R/O at House No 449 Flat No C2 2nd Cross,B Block, AE CS Layout, Brookefield, Bangalore, Karnataka, 560037,</t>
  </si>
  <si>
    <t>BICPA8656F</t>
  </si>
  <si>
    <t>Booking ID:
ISXGRKA1859</t>
  </si>
  <si>
    <t xml:space="preserve"> Ranjitha v</t>
  </si>
  <si>
    <t>INDRA ALLIED SOLUTIONS</t>
  </si>
  <si>
    <t>SOLE PROPRIETORSHIP Ranjitha v, D/O Venkatesh m, R/o No. 118, 2nd Floor, 7th Cross, 3rd main, Attur
Layout, Yelahanka New Town, Bangalore-560064,</t>
  </si>
  <si>
    <t>CAUPR6312N</t>
  </si>
  <si>
    <t>Booking ID:
ISXGRKA2061</t>
  </si>
  <si>
    <t xml:space="preserve">
Sandeep</t>
  </si>
  <si>
    <t>Tyche Retail &amp; Marketing Pvt Ltd</t>
  </si>
  <si>
    <t>director Sumit Sharma, S/O Subhash Chandra Sharma, R/o SECOND FLOOR, 162-A/9, KISHANGARH,
VASANT KUNJ, South Delhi, Delhi, 110070,</t>
  </si>
  <si>
    <t>AAICT0318F</t>
  </si>
  <si>
    <t>Booking ID:
ISXGRKA1720</t>
  </si>
  <si>
    <t>AMENTIS PHARMA PRIVATE LIMITED</t>
  </si>
  <si>
    <t>director Aminul Hoque, S/O Minnat Ali, R/o Vill: Barbheti. PO: Kachamari. PS: Sadar. DIST: Nagaon
(Assam). PIN:782002,</t>
  </si>
  <si>
    <t>AAYCA6473G</t>
  </si>
  <si>
    <t>Booking ID:
ISXGRKA1862</t>
  </si>
  <si>
    <t>J Vijayalakshmi</t>
  </si>
  <si>
    <t>SMR INFINITY TECHNOLOGIES INDIA</t>
  </si>
  <si>
    <t>sole proprietorship J Vijayalakshmi, D/O M Vishwanath, R/o No. 33, Behind TTK, Shakthinagar,
Bangalore North, Dooravaninagar, Bangalore, Karnataka, 560016,</t>
  </si>
  <si>
    <t>AHZPV1448H</t>
  </si>
  <si>
    <t>Booking ID:
ISXBRKA2128</t>
  </si>
  <si>
    <t>JAMSHEER ALI C P</t>
  </si>
  <si>
    <t>OPECS SUPPLIES LLP</t>
  </si>
  <si>
    <t>Designated partner JAMSHEER ALI C P, S/O MOHAMMED IQBAL C P, R/o Door No.VII/47-6, Thanneer Panthal, Pathaikkara-Cherpulasseri Road, Perinthalmanna, Malappuram, Kerala, India.,</t>
  </si>
  <si>
    <t>AUAPJ1248F</t>
  </si>
  <si>
    <t xml:space="preserve">Booking ID:
ISXBRKA2058 </t>
  </si>
  <si>
    <t>Kumar Shobhit</t>
  </si>
  <si>
    <t>Valti Design Solutions LLP</t>
  </si>
  <si>
    <t>Designated Partner Kumar Shobhit, S/O/ Tileshwar Prasad Singh, R/O Q.NO-1172, Sector-4/G,
Bokaro Steel City, Sector- lv, Bokaro, Jharkhand, 827004,</t>
  </si>
  <si>
    <t>BHRPK2506E</t>
  </si>
  <si>
    <t>Mahima</t>
  </si>
  <si>
    <t>Booking ID:
ISXBRKA1994</t>
  </si>
  <si>
    <t xml:space="preserve"> Employability and Skill Development Organisation</t>
  </si>
  <si>
    <t>Residing at / located at R4.003, Panvelkar Regency, Near Fr. Agnel School, Kohojgaon, Ambernath 421505</t>
  </si>
  <si>
    <t>Ambernath</t>
  </si>
  <si>
    <t>Booking ID:
ISXMAKA1985</t>
  </si>
  <si>
    <t>PREMLATA</t>
  </si>
  <si>
    <t>GP ENTERPRISES</t>
  </si>
  <si>
    <t>sole proprietorship PREMLATA, W/O Gopal Singh, R/o 32-33, Prem Villa Rukmani Nagar,Delwara Road, Beawar, Ajmer, Rajasthan - 305901,</t>
  </si>
  <si>
    <t>AMVPL1622L</t>
  </si>
  <si>
    <t>Booking ID:
 ISXGRKA2160</t>
  </si>
  <si>
    <t xml:space="preserve"> Koustubh Satish Haridas</t>
  </si>
  <si>
    <t>HIGH IMPACT TALENT</t>
  </si>
  <si>
    <t>proprietor Koustubh Satish Haridas, S/O/ Satish Wamanrao Haridas, R/O 139, Sukhakarta Telecom Society Telecom Nagar, Nagpur, Near Telecom Nagar Hall, Ranapratap Nagar Nagpur Ranapratap Nagar,
Maharashtra - 440022,</t>
  </si>
  <si>
    <t>ATEPH2268J</t>
  </si>
  <si>
    <t>Booking ID:
ISXBRKA2214</t>
  </si>
  <si>
    <t xml:space="preserve">
Suhanthi Devraj</t>
  </si>
  <si>
    <t>Thunderplus Solutions Private Limited,</t>
  </si>
  <si>
    <t>Director Rajkumar Medimi, S/O Medimi Dharma Rao, Regd. Off MY HOME HUB, BLOCK-I, 9TH
FLOOR, HITEC CITY, Madhapur, Hyderabad, Shaikpet, Telangana, India, 500081,</t>
  </si>
  <si>
    <t>AALCT0431G</t>
  </si>
  <si>
    <t>Booking ID: 
ISXGRKA2183</t>
  </si>
  <si>
    <t>SMR INFINITY TECHNOLOGIES</t>
  </si>
  <si>
    <t>Re-documentation</t>
  </si>
  <si>
    <t>Ranjan Kumar Satpathy</t>
  </si>
  <si>
    <t>VR ESSENTIALS</t>
  </si>
  <si>
    <t>sole proprietorship Ranjan Kumar Satpathy, S/O Jagabandhu Satpathy, R/o Parnashala, Road No. 15, 7-2-G35, Panchavati Colony Rd, Manikonda,</t>
  </si>
  <si>
    <t>CVJPS0163C</t>
  </si>
  <si>
    <t>Manikonda</t>
  </si>
  <si>
    <t>Booking ID: 
ISXGRKA2343</t>
  </si>
  <si>
    <t>Shivendra Mohan Singh</t>
  </si>
  <si>
    <t>Vedanta Ventures</t>
  </si>
  <si>
    <t>sole proprietorship Shivendra Mohan Singh, S/O Madan Mohan Singh, R/o #410,4th Floor, PM Heights, New Sitaram Dera Layout, Jamshedpur, Jharkhand - 831009,</t>
  </si>
  <si>
    <t>EAXPS1784L</t>
  </si>
  <si>
    <t xml:space="preserve">Booking ID: 
ISXGRKA2432 </t>
  </si>
  <si>
    <t>SHRI AMRIT LAL TONGYA</t>
  </si>
  <si>
    <t>VIKRAM TONGYA</t>
  </si>
  <si>
    <t>S/O SHRI AMRIT LAL TONGYA
through its Karta VIKRAM TONGYA HUF , R/o 01, SHANTI KUNJ, SCH NUMBER 94, OPP
BOMBAY HOSPITAL, INDORE (MP)- 452010,</t>
  </si>
  <si>
    <t>AAMHV6139F</t>
  </si>
  <si>
    <t>Indoor</t>
  </si>
  <si>
    <t>Booking ID: 
ISXGRKA2475</t>
  </si>
  <si>
    <t>Vikas Sharma</t>
  </si>
  <si>
    <t>VANSUN VENTURES PRIVATE LIMITED</t>
  </si>
  <si>
    <t>Director is Vikas Sharma, S/ O Bhanwar Lal Sharma Regd. Off. At Flat No-6105/3 SECT D-6-B F/F,
VASANT KUNJ, South Delhi, South Delhi, South Delhi, Delhi, India, 110070</t>
  </si>
  <si>
    <t>AAICV6319C</t>
  </si>
  <si>
    <t>Chandna</t>
  </si>
  <si>
    <t>Booking ID: ISXGRKA1638</t>
  </si>
  <si>
    <t>AMIT SAROJ</t>
  </si>
  <si>
    <t>ATTITUDE EVENTS PRIVATE LIMITED</t>
  </si>
  <si>
    <t>AMIT SAROJ, S/o SUDARSH KUMAR SAROJ, R/o 3rd, Unit No. 335, Tower B-2, Spaze Itech Park, Sector-49,
Sohan road, Guragaon, Gurgaon, Haryana, 122001,</t>
  </si>
  <si>
    <t>9810157675,</t>
  </si>
  <si>
    <t>Booking ID: ISXGRKA2529</t>
  </si>
  <si>
    <t>Prabhavathi Vijaywargiya</t>
  </si>
  <si>
    <t>JBS SPICES</t>
  </si>
  <si>
    <t>Sole Proprietorship Prabhavathi Vijaywargiya, D/O Birdichand Chowdhry, R/o 4-6-90/2/c villa no 30, pearl
county attapur, Rajendranagar, Hyderguda, K.v. Rangareddy, Andhra Pradesh, 500048,</t>
  </si>
  <si>
    <t>ADOPB2780P</t>
  </si>
  <si>
    <t>Booking ID: ISXGRKA2433</t>
  </si>
  <si>
    <t>Chaitanya Sanjay Tulsyan</t>
  </si>
  <si>
    <t>Goodpro Corporation Private Limited</t>
  </si>
  <si>
    <t>director Chaitanya Sanjay Tulsyan, S/O Sanjay Makkhanlal Tulsyan, R/o N-16, Gurugram DLF QE
PHASE 3, Sector 24, Gurugram, HR, 122002,</t>
  </si>
  <si>
    <t>AAKCG6663Q</t>
  </si>
  <si>
    <t>Gurugram</t>
  </si>
  <si>
    <t>Booking ID:
 ISXGRKA2498</t>
  </si>
  <si>
    <t>Snehalata Nahak</t>
  </si>
  <si>
    <t>BLINAUR ENTERPRISES</t>
  </si>
  <si>
    <t>&amp;lt;director/owner&amp;gt; Snehalata Nahak , D/O Indramani Nahak, R/o Plot No 1075/3045 Satabdi Nagar Baramunda BBSR Baramunda
Khordha Odisha 751003,</t>
  </si>
  <si>
    <t>ALTPN5324L,</t>
  </si>
  <si>
    <t>Booking ID: 
ISXGRKA2649</t>
  </si>
  <si>
    <t>Renewal Done R!(Direct from Customer)</t>
  </si>
  <si>
    <t>CREATIVE DZYNE</t>
  </si>
  <si>
    <t>Menaka Kalro</t>
  </si>
  <si>
    <t>Just Caffeinated Enterprise Private Limited</t>
  </si>
  <si>
    <t>director Menaka Kalro, D/o Kalakumar Bhogle, R/o C1203, 17, Vishwanath Sarathya 17 N.d.,, Avenue Sky city Road SP Ring Road, Shela, Ahmedabad, Gujarat, 380058,</t>
  </si>
  <si>
    <t>AAFCJ1540G</t>
  </si>
  <si>
    <t>Booking ID: 
ISXGRKA2844</t>
  </si>
  <si>
    <t>Nelson Vinod Moses</t>
  </si>
  <si>
    <t>QPRI INDIA PRIVATE LIMITED</t>
  </si>
  <si>
    <t>Director Nelson Vinod Moses , S/O / Thomas Moses, Regd. Off VAIBAVA BUILDERS, NO 63-64, K NO
203/205, COCONUT GARD, BHATTARAHALLI, BANGALORE, BANGALORE SOUTH,
KARNATAKA, INDIA, 560049.,</t>
  </si>
  <si>
    <t>AAZCS2294Q</t>
  </si>
  <si>
    <t>Booking ID:
ISXGRKA2592</t>
  </si>
  <si>
    <t>KARAN DHAROD</t>
  </si>
  <si>
    <t>Pappytech Solutions Pvt Ltd</t>
  </si>
  <si>
    <t>director KARAN DHAROD, S/O GIRISH DHAROD, R/o Ground Floor Plot 127B, Prestige Chembers, Kalyan
Street, Carnac Bunder, Chinchbunder, Mumbai, MUMBAI, MAHARASHTRA, 400009,</t>
  </si>
  <si>
    <t>AAMCP0956F</t>
  </si>
  <si>
    <t>Booking ID: 
ISXGRKA2634</t>
  </si>
  <si>
    <t>MIHIR DHAWAN</t>
  </si>
  <si>
    <t>HOMERZ SOLUTION</t>
  </si>
  <si>
    <t>partner MIHIR DHAWAN, S/O HARINDER DHAWAN, R/o Building No./Flat No.: Tarn Taran Road/Street: GREEN AVENUE City/Town/Village: Tarn Taran District: Tarn Taran State: Punjab PIN Code: 143401,</t>
  </si>
  <si>
    <t>AAOFH9159H</t>
  </si>
  <si>
    <t>Booking ID: 
 ISXGRKA2669</t>
  </si>
  <si>
    <t>M NITHYA PRIYA</t>
  </si>
  <si>
    <t>BSTORIES</t>
  </si>
  <si>
    <t>Authorised Signatory M NITHYA PRIYA D/O MANOHARAN, Having its registered office at No.
201/137, KARRUNA LABEL BUILDING , P.N ROAD, (OPP) A2B, METTUPALAYAM BUS STAND, Tirupur, Tamil Nadu, 641 602</t>
  </si>
  <si>
    <t>9842855440,</t>
  </si>
  <si>
    <t>ABEFB4451F,</t>
  </si>
  <si>
    <t>Booking ID: 
ISXGRKA2931</t>
  </si>
  <si>
    <t>Suryakanta Das</t>
  </si>
  <si>
    <t>Sashikunja Educational Services LLP</t>
  </si>
  <si>
    <t>partner Suryakanta Das , S/O Sashibhusana Das, R/o Plot No 727, Budheswari Post Office Lane Chintamaniswar Laxmisagar Bhubaneswar Khordha Orissa 751006,</t>
  </si>
  <si>
    <t>AKFPD5600A,</t>
  </si>
  <si>
    <t>Orissa</t>
  </si>
  <si>
    <t xml:space="preserve">Booking ID: 
ISXBRKA2291 </t>
  </si>
  <si>
    <t>RAJEEV KUMAR</t>
  </si>
  <si>
    <t>LEESACH PHARMACEUTICALS PRIVATE LIMITED</t>
  </si>
  <si>
    <t xml:space="preserve">RAJEEV KUMAR, S/O SANTOSH KUMAR, R/O MOH.SHYODATT GANDHI GANJ SAIDPUR ROAD GULAWTHI BULANDHSHAHR(U.P), </t>
  </si>
  <si>
    <t>AKZPA6305R</t>
  </si>
  <si>
    <t>Booking ID: 
ISXBRKA2861</t>
  </si>
  <si>
    <t>Rohit Singh</t>
  </si>
  <si>
    <t>Stafio</t>
  </si>
  <si>
    <t>sole proprietorship Rohit Singh, S/O Shyam Singh, R/o 96,awadh dham colony,opposite vipin hospital,mini bypass road,Bareilly,Uttar Pradesh - 243122,</t>
  </si>
  <si>
    <t>FSXPS6567N</t>
  </si>
  <si>
    <t>Booking ID: 
ISXGRKA2998</t>
  </si>
  <si>
    <t>Vipin Kumar Tiwari</t>
  </si>
  <si>
    <t>Mercury Trips Pvt Ltd</t>
  </si>
  <si>
    <t>director Vipin Kumar Tiwari, S/O Jawahar Lal Tiwari, R/o Shop No 55 1St Floor Evershine Mall New Link Road Chincholi Bandar Singnal Malad West Mumbai 400064,</t>
  </si>
  <si>
    <t>AASCM4838K</t>
  </si>
  <si>
    <t>Booking ID: 
ISXGRKA3053</t>
  </si>
  <si>
    <t>RAHILA ANWER SHAIKH</t>
  </si>
  <si>
    <t>BOI MEDIA &amp; ENTERTAINMENT PRIVATE LIMITED</t>
  </si>
  <si>
    <t>director RAHILA ANWER SHAIKH D/O ANWER JAFFER SHAIKH Regd. Off. A-301, 3RD Floor SALIMAR MORYA PARK NEW LINK ROAD OPP. INFINITY MALL ANDHERI (W) MUMBAI - 400053 Maharashtra INDIA with</t>
  </si>
  <si>
    <t>AAECB2940F</t>
  </si>
  <si>
    <t>Booking ID: 
ISXGRKA2580</t>
  </si>
  <si>
    <t>PRIYANCKA T TULI</t>
  </si>
  <si>
    <t>VERAA BAGS &amp; ACCESSORIES</t>
  </si>
  <si>
    <t>Sole Proprietorship PRIYANCKA T TULI, W/O TANUJ KUMAR TULI, R/o 14th floor, Flat no A1406, A
block, Ramky One Galaxia, Nallagandla, Rangaraddy, Hyderabad, Rangareddy, Telangana, 500019,</t>
  </si>
  <si>
    <t>AQTPP6331Q</t>
  </si>
  <si>
    <t xml:space="preserve">Booking ID: 
ISXBLGRKA2971 </t>
  </si>
  <si>
    <t>PUTTICHANDA BELLIAPPA MADAPPA</t>
  </si>
  <si>
    <t>XTRACT DIGITAL PRIVATE LIMITED.</t>
  </si>
  <si>
    <t>director PUTTICHANDA BELLIAPPA MADAPPA, S/o BELLIAPPA THIMMAYA PUTTICHANDA, R/o Aprt
No.402,VDB Cardinal, 1st Crs,6th Mn,HAL 2 Stag, Indiranagar (Bangalore), Bangalore North, Bangalore-
560038,</t>
  </si>
  <si>
    <t>9243105105,</t>
  </si>
  <si>
    <t>AAACX4892J,</t>
  </si>
  <si>
    <t>Joydeep</t>
  </si>
  <si>
    <t>Booking ID: 
ISXGRKA2841</t>
  </si>
  <si>
    <t>TEAM RUCTIC PRIVATE LIMITED to Team Rustic Private Limited</t>
  </si>
  <si>
    <t>DEVIKA SHENOY
K</t>
  </si>
  <si>
    <t>Arya Associates</t>
  </si>
  <si>
    <t>Proprietor; DEVIKA SHENOY K, D/o VASANTH SHENOY KAUP, R/o SATHISH KAMATH VARSHA, NEAR MARIGUDI TEMPLE, KORAKODE, KASARAGOD, KERALA-671121</t>
  </si>
  <si>
    <t>9349782614,</t>
  </si>
  <si>
    <t>FHBPK1346C</t>
  </si>
  <si>
    <t>Booking ID: 
ISXBRKA3123R3</t>
  </si>
  <si>
    <t>Rajeev Shankar Tiwari,</t>
  </si>
  <si>
    <t>Pujashree Products Global Private Limited</t>
  </si>
  <si>
    <t>Director Rajeev Shankar Tiwari, S/O / Umesh Tiwari, Regd. Off C-40, Block-1, First Floor, Okhla
Industrial Area Phase 2, New Delhi - 110020,</t>
  </si>
  <si>
    <t>AAOCP2234L</t>
  </si>
  <si>
    <t>Booking ID:
 ISXGRKA2927</t>
  </si>
  <si>
    <t>Mamta Yadav</t>
  </si>
  <si>
    <t>FOODCLAY LLP</t>
  </si>
  <si>
    <t>Designated Partner Mamta Yadav, D/o Suresh Yadav , Regd. Off 2, HOUSE NO. 25, Block A, POCKET 11, Rohini Sector 18, New Delhi, North Delhi, Delhi, 110089,</t>
  </si>
  <si>
    <t>AAJFF6229R</t>
  </si>
  <si>
    <t>Booking ID:
 ISXBLGRKA3204</t>
  </si>
  <si>
    <t>Nishant KUMAR</t>
  </si>
  <si>
    <t>CHEERIO TECHNOLOGIES PRIVATE LIMITED</t>
  </si>
  <si>
    <t>director Mr ,Nishant KUMAR, S/o PURNENDU SHEKHAR LAL DAS, R/O 36, SARASWATI APARTMENT, KANKE ROAD, RANCHI, JHARKHAND 834008,</t>
  </si>
  <si>
    <t>8496910755,</t>
  </si>
  <si>
    <t>AAJCC1310K,</t>
  </si>
  <si>
    <t>Booking ID:
ISX202413344KA7176GRR3</t>
  </si>
  <si>
    <t>Majomon Mathew</t>
  </si>
  <si>
    <t>CROOHM ONE PRIVATE LIMITED</t>
  </si>
  <si>
    <t>&amp;lt;director/owner&amp;gt; Majomon Mathew ,
S/O Mathew A L, R/o Ambazhathinal Kozhuvanal PO Meenchil Mevada Kottayam Kerala 686573,</t>
  </si>
  <si>
    <t>CUKPM9674E,</t>
  </si>
  <si>
    <t>Booking ID: 
ISXBRKA3234</t>
  </si>
  <si>
    <t>Suhail Khan</t>
  </si>
  <si>
    <t>Roxer</t>
  </si>
  <si>
    <t>Proprietor Suhail Khan, S/O Anees Khan, Regd. Off G.F., 1524, GALI CHULHE WALI, SARAI KHALEEL, SADAR BAZAR, Central Delhi, Delhi, 110006,</t>
  </si>
  <si>
    <t>KHXPK6956D</t>
  </si>
  <si>
    <t>Booking ID: 
ISXBLGRKA3347</t>
  </si>
  <si>
    <t>Garima</t>
  </si>
  <si>
    <t>SHREE DAANA INTERNATIONAL PRIVATE LIMITED</t>
  </si>
  <si>
    <t>Director Garima, D/O Rakesh Kumar Bansal, and Ravi Ranjan, S/O Ranjan Vaidu Kamatchy, Registered office at 1ST FLOOR, A-2, KH-3/24, Sainik Nagar, New Delhi, West Delhi, Delhi, 110059with</t>
  </si>
  <si>
    <t>AANCR5190C</t>
  </si>
  <si>
    <t>Booking ID: 
ISXGRKA3242</t>
  </si>
  <si>
    <t>SRISATYAKANTH SRISAILAPU</t>
  </si>
  <si>
    <t>SRI SADGURU TRADERS</t>
  </si>
  <si>
    <t>Partner SRISATYAKANTH SRISAILAPU, S/O SVACHARYULU, Regd. Off D.NO 4-28,PLOT NO 9,
NANDANAVANAM LAYOUT,VELLANKI-2,, Visakhapatnam, Andhra Pradesh, 531163</t>
  </si>
  <si>
    <t>ADEFS2460B</t>
  </si>
  <si>
    <t>Booking ID:
ISXGRKA3087</t>
  </si>
  <si>
    <t>Srijan Shetty,</t>
  </si>
  <si>
    <t xml:space="preserve">Jathaka.com </t>
  </si>
  <si>
    <t>Director Srijan Shetty, S/O/ Krishna Shetty, R/O 3-208, PANEKKARA HOUSE, BELTHANGADY TO, KANIYOORU POST AND VILLAGE, Kaniyooru, Kaniyur(beltangady), Dakshina Kannada Karnataka - 574217,</t>
  </si>
  <si>
    <t>MLRPS0672N</t>
  </si>
  <si>
    <t>Booking ID:
ISXBRKA3178</t>
  </si>
  <si>
    <t>MURUGESAN,</t>
  </si>
  <si>
    <t>GUIDE FASHION</t>
  </si>
  <si>
    <t>AUTHORISED SIGNATORY MURUGESAN, S/O MUTHUSAMY Regd/o D.No. 106/3, Nehru Street, 15-Velampalayam, Tiruppur, Tiruppur, Tamil Nadu, 641652</t>
  </si>
  <si>
    <t>AAGFG6929E</t>
  </si>
  <si>
    <t>Booking ID:
ISXGRKA3405</t>
  </si>
  <si>
    <t>MURUGESAN</t>
  </si>
  <si>
    <t>G.G GARMENTS</t>
  </si>
  <si>
    <t>AUTHORISED SIGNATORY MURUGESAN, S/O MUTHUSAMY Regd/o D.No.106/3A,Nehru Street, 15 Velampalayam, Tiruppur, Tiruppur, Tamil Nadu, 641652</t>
  </si>
  <si>
    <t>AAMFG0236A</t>
  </si>
  <si>
    <t>Booking ID: ISXGRKA3406</t>
  </si>
  <si>
    <t>Kiran Kumar M P</t>
  </si>
  <si>
    <t>Aarna Associates</t>
  </si>
  <si>
    <t>partner Kiran Kumar M P , S/O Mallikarjuna B P, R/o Flat No.G3, Ground Floor, Raj Serenity Apartment, 5 th Cross, Bullet Krishnappa Layout, Near Harihara Medicals, Thindlu, Vidyaranyapura, Bengaluru, Karnataka-560097,</t>
  </si>
  <si>
    <t>DGFPK7612Q,</t>
  </si>
  <si>
    <t>Booking ID: ISXBRKA3240</t>
  </si>
  <si>
    <t>Partner Sunita sinha</t>
  </si>
  <si>
    <t>ADGENIQ TECHNOLOGIES LLP</t>
  </si>
  <si>
    <t>Designated Partner Sunita sinha, W/O Ratan Kumar Sinha, R/o 183 aashirwad hurhuru road NEW
FOREST COLONY PO- HAZARIBAG, PS SADAR HAJARIBAG Hazaribag Hazaribagh Jharkhand-825301,</t>
  </si>
  <si>
    <t>LNMPS0663P</t>
  </si>
  <si>
    <t>Booking ID: ISXBRKA3043</t>
  </si>
  <si>
    <t>Renewal R1 Done(Directly from Customer)</t>
  </si>
  <si>
    <t>CHANDNI BANSAL</t>
  </si>
  <si>
    <t>JAIKRISH INDUSTRIES (OPC) Private Limited</t>
  </si>
  <si>
    <t>&amp;lt;director/owner&amp;gt; CHANDNI BANSAL , D/o GOPAL AGARWAL, R/o 6-B Vastupooja Appartment City Light Road Surat City Surat Svr College Gujarat 395007,</t>
  </si>
  <si>
    <t>AIUPA7492A,</t>
  </si>
  <si>
    <t>Booking ID: ISXBRKA3285</t>
  </si>
  <si>
    <t>PRANAV GARG</t>
  </si>
  <si>
    <t>EVAYA GLOBAL PRIVATE LIMITED</t>
  </si>
  <si>
    <t>Director PRANAV GARG S/O NARESH GARG Registered office at Khvt.761, Shiv Nagar, Krishanpura, Panipat,
Panipat, Panipat- 132103, Haryana</t>
  </si>
  <si>
    <t>AAICE9177F</t>
  </si>
  <si>
    <t>Booking ID: ISXGRKA3330,</t>
  </si>
  <si>
    <t xml:space="preserve">Rashmi Rekha Sati </t>
  </si>
  <si>
    <t>CLICKR ESTORE PRIVATE LIMITED</t>
  </si>
  <si>
    <t>Director Rashmi Rekha Sati D/o KAMAL DUTTA Registered address at C-198, Sector-63, Noida, Gautam Buddha Nagar, Uttar Pradesh, 201301</t>
  </si>
  <si>
    <t>AAGCC8271N</t>
  </si>
  <si>
    <t>Akriti</t>
  </si>
  <si>
    <t>Booking ID: ISXGRKA3521R5</t>
  </si>
  <si>
    <t>HITESHKUMAR BHIMJIBHAI PATEL</t>
  </si>
  <si>
    <t>ADVANCE ELECTRICALS</t>
  </si>
  <si>
    <t>Proprietor HITESHKUMAR BHIMJIBHAI PATEL, S/O BHIMJIBHAI PATEL, R/o I-404, Vrajdham Flat, NR.
Gokulam, S.G. Road, Ujala Circle, Sarkhej, Ahemdabad, Gujarat- 382210</t>
  </si>
  <si>
    <t>DCLPP3572C</t>
  </si>
  <si>
    <t>Booking ID: ISX202411396GJ3141GR</t>
  </si>
  <si>
    <t>ADVANCE ELECTRICALS to HADIYA &amp; BROTHER ENTERPRISE</t>
  </si>
  <si>
    <t>Shail Vimal Tolia</t>
  </si>
  <si>
    <t>FORMULATE BRAND PRIVATE LIMITED</t>
  </si>
  <si>
    <t>Director Shail Vimal Tolia, S/O / Vimal Balvantrai Tolia, Regd. Off 119,Guru Govind Singh Ind, Est.Jay Coch
Lane,Opp WEH, Goregaon East, Goregaon East, Mumbai- 400063, Maharashtra,</t>
  </si>
  <si>
    <t>AAFCF9309R</t>
  </si>
  <si>
    <t>Booking ID: ISXGRKA2806.</t>
  </si>
  <si>
    <t>Kavala Soma Greeshma</t>
  </si>
  <si>
    <t>ORLENA GN PRIVATE LIMITED</t>
  </si>
  <si>
    <t>Director Kavala Soma Greeshma, D/o Kavala Soma Raju, Regd. Off 128-129 HILL VIEW, RAVI COLONY MAHENDRA HILLS, EAST MARREDPALLY SECUNDERABAD NEHRUNAGAR SECUNDERABAD HYDERABAD TELANGANA 500026,</t>
  </si>
  <si>
    <t>AADCO7786P</t>
  </si>
  <si>
    <t>Booking ID:
 ISXGRKA3493</t>
  </si>
  <si>
    <t>RAMISETTY GEETHANJANAMMA</t>
  </si>
  <si>
    <t>SUPRA ENTERPRISES</t>
  </si>
  <si>
    <t>Proprietor RAMISETTY GEETHANJANAMMA , D/o PAMISETTY KISHORE KUMAR, R/o No G3 #69
SaiSankalp, 2nd Main Road Muneshwara layout, D C Halli, Bangalore South, Bengaluru, Karnataka,</t>
  </si>
  <si>
    <t>FUUPR3836N</t>
  </si>
  <si>
    <t>Booking ID:
 ISXGRKA3466</t>
  </si>
  <si>
    <t>Ushasri Kandakatla</t>
  </si>
  <si>
    <t>NUTUREMITE</t>
  </si>
  <si>
    <t>Partner Ushasri Kandakatla, D/o Kumaraswamy, Redge. Off. at 0, 2ND FLOOR, H NO-5-36-226, 0, BALNAGAR, PRASHANTH NAGAR, Kukatpally, Hyderabad, Medchal Malkajgiri, Telangana, 500072,</t>
  </si>
  <si>
    <t>AAUFN0688F</t>
  </si>
  <si>
    <t>Booking ID:
ISXBLGRKA3426</t>
  </si>
  <si>
    <t>Pranav Garg</t>
  </si>
  <si>
    <t>Arnav Agencies</t>
  </si>
  <si>
    <t>Authorized Partner Pranav Garg, S/o Rohit Garg, having its Registered office A-10/64, Site-3, Meerut Road Industrial Area, Ghaziabad, Uttar Pradesh, 201001,</t>
  </si>
  <si>
    <t>9899220026,</t>
  </si>
  <si>
    <t>ABRFA1715G,</t>
  </si>
  <si>
    <t xml:space="preserve">Booking ID:
ISXGRKA3746 </t>
  </si>
  <si>
    <t xml:space="preserve"> B.Rama
Krishnam Raju</t>
  </si>
  <si>
    <t>PALLE AAHARAM</t>
  </si>
  <si>
    <t>Partner is B.Rama Krishnam Raju, S/ O B.Krishnam raju, Regd. Off. At 504, 5-9-30/5, Himayatnagar, Basheer Bagh, paigah Plaza, Hyderabad, Hyderabad, Telangana- 500063</t>
  </si>
  <si>
    <t>ABFFP3612B</t>
  </si>
  <si>
    <t>Booking ID:
ISXBLGRKA3613</t>
  </si>
  <si>
    <t>Rahul Purohit</t>
  </si>
  <si>
    <t>PRINE NANOTECH</t>
  </si>
  <si>
    <t>Partner Rahul Purohit , S/O Sitaram Purohit, Regd. Off LG-24 TO 27, ARUNDEEP COMPLEX, RACE COURSE
ROAD, (SOUTH), Vadodara, Vadodara, Gujarat, 390007,</t>
  </si>
  <si>
    <t>AAZFP0226E</t>
  </si>
  <si>
    <t>Booking ID: ISXBLGRKA3606</t>
  </si>
  <si>
    <t xml:space="preserve"> Jijesh R Nair</t>
  </si>
  <si>
    <t>Jijesh R Nair</t>
  </si>
  <si>
    <t>Proprietor is Jijesh R Nair, S/O T S Rajagopalan Nair, R/O. Thamarasseril Puthen, Veedu Nellikkala, Elanthoor Pathanamthitta, kerala 689643</t>
  </si>
  <si>
    <t>AHVPN4770C</t>
  </si>
  <si>
    <t>Booking ID: 
ISXGRKA3719</t>
  </si>
  <si>
    <t>VINAY KUMAR KANODIA,</t>
  </si>
  <si>
    <t>THREADBUCKET STUDIO LLP</t>
  </si>
  <si>
    <t>partner VINAY KUMAR KANODIA, S/O KAILASHCHANDRA KANODIA, Regd. Off  PLOT NO. A/15/4,SOUTH SIDE, FIRST FLOOR, UDHNA SANGH, UDHNA, SURAT. SURAT GJ 394210 IN,</t>
  </si>
  <si>
    <t>7227815999, ,</t>
  </si>
  <si>
    <t>AAKFT0982E,</t>
  </si>
  <si>
    <t>Current Year Booking ID:
ISXGRKA22750R1</t>
  </si>
  <si>
    <t>VAIBHV PURWAR,</t>
  </si>
  <si>
    <t>CLEANGRID ENERGY PRIVATE LIMITED</t>
  </si>
  <si>
    <t>Authorised Signatory VAIBHV PURWAR, S/O ANIL PURWAR, R/o E51 FIRST FLOOR VIPUL WORLD SECTOR 48 SOHNA RAOD GURGAON HARYANA 122018,</t>
  </si>
  <si>
    <t>AAMCC2376C</t>
  </si>
  <si>
    <t>Booking ID:
ISXGRKA3509</t>
  </si>
  <si>
    <t>gomathi palanisamy</t>
  </si>
  <si>
    <t>ELIXIR COCO</t>
  </si>
  <si>
    <t>proprietor is gomathi palanisamy, D/ O Subramaniam, Regd. Off. At 195/2/2, ST-1, Dhaskand Street, Kongu Nagar, Karumandichellipalayam, Perundural Taluk, Erode, Perundurai, Tamil Nadu- 638052</t>
  </si>
  <si>
    <t>DBAPG3759N</t>
  </si>
  <si>
    <t>Booking ID:
ISXBLGRKA3564</t>
  </si>
  <si>
    <t>Sabyasachi Mukherjee</t>
  </si>
  <si>
    <t>ODEA ENTERPRISES PRIVATE LIMITED</t>
  </si>
  <si>
    <t>Director is Sabyasachi Mukherjee, S/ O Keshab Chandra Mukherjee, Regd. Off. At Singriwala
,Hosiarpur, Automobile Jalandhar Road, Piplanwala, Hoshiar Pur, Hoshiarpur- 146022, Punjab</t>
  </si>
  <si>
    <t>AAECO2808B</t>
  </si>
  <si>
    <t>Booking ID:
ISXGRKA3505</t>
  </si>
  <si>
    <t xml:space="preserve">Amanullah M </t>
  </si>
  <si>
    <t>Aman Traders</t>
  </si>
  <si>
    <t>Owner Amanullah M S/O Mohammed
Saleemudeen Regd./O. 46/25, Vasantha Garden 2nd Street, Ayanavaram, Chennai, Tamil Nadu, 600023</t>
  </si>
  <si>
    <t>DLUPA2995C</t>
  </si>
  <si>
    <t>Booking ID:
ISX202513986KA8776GR</t>
  </si>
  <si>
    <t>Nazim Mohammed Yakub Khan</t>
  </si>
  <si>
    <t>Style Craft Apparel LLP</t>
  </si>
  <si>
    <t>partner Nazim Mohammed Yakub Khan , S/O Yakub Khan, R/o Obroi Spring,31st Floor,flat No3105, B
Wing,, Oshiwara Link Road,, Next To Monginis Cake Factory,, Andheri (west), VTC: Mumbai, PO:
Azad Nagar, District: Mumbai Suburban, State: Maharashtra, PIN Code: 400053,</t>
  </si>
  <si>
    <t>AFJFS1536D</t>
  </si>
  <si>
    <t>Booking ID:
ISXGRKA3716</t>
  </si>
  <si>
    <t>ANKIT SIWACH</t>
  </si>
  <si>
    <t>ANANTUM SOOTRA PRIVATE LIMITED</t>
  </si>
  <si>
    <t>&amp;lt;director/owner&amp;gt; ANKIT SIWACH , S/O SURENDER SINGH, R/o H No.-25 S/F Kh No.-22/14, B Block, Gali No-8B, DC Goyla, South West Delhi, South West Delhi- 110071, Delhi, with PAN Number ABACA6746R,</t>
  </si>
  <si>
    <t>ABACA6746R,</t>
  </si>
  <si>
    <t>Booking ID:
ISXGRKA2545</t>
  </si>
  <si>
    <t>Manoj Chander Thakur</t>
  </si>
  <si>
    <t>RICO APPLIANCES PRIVATE LIMITED</t>
  </si>
  <si>
    <t>Director Manoj Chander Thakur, S/O Chander Paramanand Thakur, Regd. Off. 901, SAPPHIRE
CONDOMINIUM S.V. ROAD, KHAR WEST, Mumbai City, MUMBAI, Maharashtra, India, 400052,</t>
  </si>
  <si>
    <t>AAACR1910P,</t>
  </si>
  <si>
    <t>Booking ID:
ISXGRKA3858</t>
  </si>
  <si>
    <t>PIKANDO DIGITAL PRIVATE
LIMITED</t>
  </si>
  <si>
    <t>Jayati Khurana</t>
  </si>
  <si>
    <t>Num Yum Foods Private Limited (Hungry Boo)</t>
  </si>
  <si>
    <t>director Jayati Khurana, S/O Pankaj Mehra, R/o 4TH FLOOR, 84, AKASHNEEM MARG, -, DLF City Phase 2, Gurugram, Gurugram, Haryana, 122008,</t>
  </si>
  <si>
    <t>BHAPM3779A</t>
  </si>
  <si>
    <t xml:space="preserve">Booking ID:
 ISXBLGRKA3873 </t>
  </si>
  <si>
    <t xml:space="preserve"> JITENDER BHATIA</t>
  </si>
  <si>
    <t>J.K. ENTERPRISES</t>
  </si>
  <si>
    <t>Proprietor JITENDER BHATIA, S/O TEK CHAND BHATIA, Redge. Off At 3RD FLOOR, B-65, INDUSTRIAL
AREA, G.T. KARNAL ROAD, North West Delhi, Delhi, 110033,</t>
  </si>
  <si>
    <t>AEJPB9392P,</t>
  </si>
  <si>
    <t>Booking ID:
ISXBLGRKA3813</t>
  </si>
  <si>
    <t>ZAPPKRAFT MOBILITY PRIVATE LIMITED</t>
  </si>
  <si>
    <t>Booking ID:
 ISXBRKA3732</t>
  </si>
  <si>
    <t>The agreement is yet to do</t>
  </si>
  <si>
    <t>Hari Ram Rinwa</t>
  </si>
  <si>
    <t>Ashp Veda Private Limited</t>
  </si>
  <si>
    <t>director Hari Ram Rinwa, S/O Birma Ram Rinwa, R/o P.N. 1-1A, S.NO.-21 to 25 , HANUMAN VATIKA VISTAR,
GOKULPURA, KALWAR ROAD, Jhotwara, 302012,</t>
  </si>
  <si>
    <t>AASCA7692</t>
  </si>
  <si>
    <t>Jhotwara</t>
  </si>
  <si>
    <t>Booking ID:
ISXGRKA4160</t>
  </si>
  <si>
    <t>Renewal R1 Done Directly from customer</t>
  </si>
  <si>
    <t>ARUN KANNATTU XAVIER</t>
  </si>
  <si>
    <t>KANNADAN TRADERS</t>
  </si>
  <si>
    <t>Proprietor ARUN KANNATTU XAVIER, S/O XAVIER KANNATTU XAVIER, REGD. OFF AGP 568, Kannattu
Building, 12th mile, Valara, Idukki, Kerala, 685561,</t>
  </si>
  <si>
    <t>AAEPX1934G</t>
  </si>
  <si>
    <t>Booking ID:
ISXGRKA3964</t>
  </si>
  <si>
    <t>Abhinav Arora</t>
  </si>
  <si>
    <t>HAL OFFSHORE LIMITED</t>
  </si>
  <si>
    <t>authorized Signatory Abhinav Arora(Vice President), having Registered Address at A-32, Site-IV, Industrial Area, Sahibabad, Ghaziabad,
Uttar Pradesh- 201010,</t>
  </si>
  <si>
    <t>Booking ID:
ISXGRKA4029</t>
  </si>
  <si>
    <t>Anubhav Goel,</t>
  </si>
  <si>
    <t>A.n. Farm Assortment Private Limited</t>
  </si>
  <si>
    <t>director Anubhav Goel, S/O Naresh Goel, Register office address is R-301, ANUPAM
APARTMENTS,Shahdara,New Delhi,New Delhi-110092,Delhi,</t>
  </si>
  <si>
    <t>AAZCA4747N</t>
  </si>
  <si>
    <t xml:space="preserve">Booking ID:
ISXGRKA4040 </t>
  </si>
  <si>
    <t>Sahil Madan</t>
  </si>
  <si>
    <t>BCFD Technologies Pvt Ltd</t>
  </si>
  <si>
    <t>director Sahil Madan, S/O Ravi Prakash Madan, R/o Deshbandhu Sir Choturam Bhawan, H NO 129 GF,Sector 39 India open Area Gurugram Gurgaon Haryana India 122002,</t>
  </si>
  <si>
    <t>AAKCB5278N</t>
  </si>
  <si>
    <t>Booking ID:
ISXGRKA3951</t>
  </si>
  <si>
    <t>HEXA GREEN POWER PRIVATE LIMITED</t>
  </si>
  <si>
    <t>Authorized signatory, Harish Kumar S/O Ranjeet Singh, R/O C 106, Tower C, 10th floor, Assotech the nest society, Prateek the royal, Crossing republic, Ghaziabad, Dundahera, Uttar Pradesh- 201009</t>
  </si>
  <si>
    <t>CDCPK9905K</t>
  </si>
  <si>
    <t>Booking ID:
ISXGRKA4078</t>
  </si>
  <si>
    <t>Devang joshi,</t>
  </si>
  <si>
    <t>VED ENTERPRISE</t>
  </si>
  <si>
    <t>Partner Devang joshi, S/O Sureshkumar Joshi, Regd. Off 26 ,GOLDEN PLAZA, STATION ROAD, AMRELI, Amreli, Gujarat,365601</t>
  </si>
  <si>
    <t>AAUFV9180G</t>
  </si>
  <si>
    <t>Booking ID:
ISXGRKA4208</t>
  </si>
  <si>
    <t>Ruchika Agarwal</t>
  </si>
  <si>
    <t xml:space="preserve"> RUCH &amp; CREW FOODS LLP</t>
  </si>
  <si>
    <t>Designated Partner Ruchika Agarwal , D/o Manmohan Agarwal, Regd. Off Unit no IA, 2-3-18, 2nd floor,, Maitri Arcade, Opp Plaza Hotel MG Road, Hyderabad, Telangana, 500003,</t>
  </si>
  <si>
    <t>ABBFR6920Q</t>
  </si>
  <si>
    <t>Booking ID:
ISXGRKA4009</t>
  </si>
  <si>
    <t>Alok Deep</t>
  </si>
  <si>
    <t>HEALY WORLD TRADING INDIA PRIVATE LIMITED</t>
  </si>
  <si>
    <t>Authorized Signatory Alok Deep , S/O Bhagwanjee Ojha, R/o Level 2, Elegance Tower, Old Mathura Road Jasola New Delhi, 110025</t>
  </si>
  <si>
    <t>9606479052,</t>
  </si>
  <si>
    <t>AAGCT6326B,</t>
  </si>
  <si>
    <t>Booking ID:
ISXGRKA4196</t>
  </si>
  <si>
    <t>Anamay Prateek</t>
  </si>
  <si>
    <t>VTOL100 AIR COMMERCE PRIVATE LIMITED</t>
  </si>
  <si>
    <t>director Anamay Prateek, S/O Ratnesh Chaturvedi, R/o D-3 MIG Harmu Housing Colony, Ranchi - 834002,</t>
  </si>
  <si>
    <t>DJEPP7558A</t>
  </si>
  <si>
    <t>Ranchi</t>
  </si>
  <si>
    <t>Booking ID:
 ISXBRKA3778</t>
  </si>
  <si>
    <t>Ami Kantisen Shroff</t>
  </si>
  <si>
    <t>Shrujan Chanda Private Limited</t>
  </si>
  <si>
    <t>director Ami Kantisen Shroff, D/O Kantisen Shroff, R/o Building No./Flat No.: SHRUJAN CHANDA PRIVATE
LIMITED Name Of Premises/Building: C/o-SHRUJAN TRUST Road/Street: BEHIND 66, K.V.SUB
STATION Nearby Landmark: Shrujan Locality/Sub Locality: BHUJ City/Town/Village: Bhujodi
District: Kachchh State: Gujarat,</t>
  </si>
  <si>
    <t>ABPCS8182C</t>
  </si>
  <si>
    <t>Booking ID:
ISXGRKA4096</t>
  </si>
  <si>
    <t>Suneel Musuluri</t>
  </si>
  <si>
    <t>SHRIVIJAYA CONSUMER PRODUCTS PRIVATE LIMITED</t>
  </si>
  <si>
    <t>director Suneel Musuluri, S/O Masthan Rao Musuluri, Redge. Off. At 201, 8-3- 1670/50, CITIZEN EMPIRE, KALYAN NAGAR, HYDERABAD, Hyderabad, Telangana, 500038,</t>
  </si>
  <si>
    <t>ABFCS1225E,</t>
  </si>
  <si>
    <t>Booking ID:
ISXBLGRKA4290</t>
  </si>
  <si>
    <t>Vaghasiya Kishankumar Pravinbhai</t>
  </si>
  <si>
    <t>WEACTO LLP</t>
  </si>
  <si>
    <t>designated partner Vaghasiya Kishankumar Pravinbhai, S/O Pravinbhai Amrishbhai Vaghasiya, Redge. Off. At 3rd Floor,Shop no - T8 TO T11, Shree Nilkanth Business hub, singanpore causway road, Katargam,Surat, Gujarat -395004</t>
  </si>
  <si>
    <t>AAFFW2354L,</t>
  </si>
  <si>
    <t>Booking ID:
ISXGRKA4383,</t>
  </si>
  <si>
    <t>Rahul Krishnan</t>
  </si>
  <si>
    <t>Nostalgic Dust Private Limited</t>
  </si>
  <si>
    <t>Director Rahul Krishnan S/O Kizhakke Pullarapillil Unnikrishnan Regd. Off. At Plot No. - S 258, Basement,
Greater Kailash - 1 - 110048, New Delhi, India</t>
  </si>
  <si>
    <t>AAHCN9591K</t>
  </si>
  <si>
    <t>Booking ID:
ISXGRKA4452</t>
  </si>
  <si>
    <t>PAMISETTY KISHORE KUMAR</t>
  </si>
  <si>
    <t>PRANAVI ENTERPRISES</t>
  </si>
  <si>
    <t>Proprietor PAMISETTY KISHORE KUMAR , S/O ADINARAYANA PAMISETTY, Regd. Off 51/210-2,
RAVINDRA NAGAR, OPPOSITE RAJ FUNCTION HALL, KADAPA, Cuddapah, Cuddapah, Andhra
Pradesh - 516003,</t>
  </si>
  <si>
    <t>AONPP0720P</t>
  </si>
  <si>
    <t>Booking ID:
ISXGRKA4361</t>
  </si>
  <si>
    <t>Akhilesh Tripathi, Nagendra Tripathi</t>
  </si>
  <si>
    <t>Hairdramaco India Private Limited</t>
  </si>
  <si>
    <t>Director Akhilesh Tripathi, Nagendra Tripathi, Regd. Off. 10th Floor, Kataria Arcade , off S G, highway, Makarba, Jivraj Park, Ahmedabad, Ahmadabad City, Gujarat, India, 380051</t>
  </si>
  <si>
    <t>AAGCH4798B,</t>
  </si>
  <si>
    <t>Booking ID:
ISXGRKA4054,</t>
  </si>
  <si>
    <t>Apoorva Khare</t>
  </si>
  <si>
    <t>House of Furs</t>
  </si>
  <si>
    <t>Proprietor Apoorva Khare, D/O Capt Amit Khare, R/o RGA- 301, Purva Riviera, Near Marathahalli Bridge, Varthur Main Road, Bengaluru- 560037,</t>
  </si>
  <si>
    <t>BDAPK8312B</t>
  </si>
  <si>
    <t>Booking ID:
ISXBRKA4371</t>
  </si>
  <si>
    <t>Jyoti Thakur</t>
  </si>
  <si>
    <t>GIGL SUMMARIES (OPC) PRIVATE LIMITED.</t>
  </si>
  <si>
    <t>owner Jyoti Thakur , R/o Address- D1201, Wave Gardens Sector 85 Sohana, District- SAS Nagar Mohali Punjab 140308</t>
  </si>
  <si>
    <t>AAICG1571F</t>
  </si>
  <si>
    <t xml:space="preserve">Booking ID:
ISXBRKA3748 </t>
  </si>
  <si>
    <t>Deepika Rao</t>
  </si>
  <si>
    <t>TRIPITAKA FOOD &amp; BEVERAGES LLP</t>
  </si>
  <si>
    <t>designated partner Deepika Rao, D/O S.Muralidharan , Redge. Off. At 6-3-1238/15/401, Elite Heights,
Somajiguda, Hyderabad, Telangana- 500082</t>
  </si>
  <si>
    <t>AAWFT2872M,</t>
  </si>
  <si>
    <t>Booking ID:
ISXBLGRKA4082</t>
  </si>
  <si>
    <t>Ananthanarayanan Krishnan</t>
  </si>
  <si>
    <t>Gradiant India Private Limited</t>
  </si>
  <si>
    <t>Director Ananthanarayanan Krishnan, S/O Ananthanarayanan R A, Regd. Off Olympia Cyberspace, 2nd Floor Module 1, No. 21/22, Alandur Road, Arulayiammanpet, 2nd Street, Guindy Industrial Estate, Chennai, Tamil Nadu, 600032</t>
  </si>
  <si>
    <t>BIYPK0735R</t>
  </si>
  <si>
    <t>Booking ID:
ISXGRKA4305</t>
  </si>
  <si>
    <t>FARISA</t>
  </si>
  <si>
    <t>HeavensKart</t>
  </si>
  <si>
    <t>Proprietor FARISA, D/O HASHIM , R/o FARISA HASHIM, Chempakappally, Neerkunnam,
Vandanam P.O, Alleppey – 688005</t>
  </si>
  <si>
    <t>ACVPF3938R,</t>
  </si>
  <si>
    <t>Alleppey</t>
  </si>
  <si>
    <t>Booking ID:
ISXGRKA4337</t>
  </si>
  <si>
    <t>Dinesh kriplani</t>
  </si>
  <si>
    <t>HMJ TRAVEL PRIVATE LIMITED</t>
  </si>
  <si>
    <t>director Dinesh kriplani, S/O Harish Kriplani, Redge. Off. At C-40-44, GROUND FLOOR FRONT PORTION, LAJPAT NAGAR-II, South Delhi, Delhi, 110024,</t>
  </si>
  <si>
    <t>AAECH3158B,</t>
  </si>
  <si>
    <t>Booking ID:
ISXGRKA4222</t>
  </si>
  <si>
    <t>L S SOUNDAR RAJAN</t>
  </si>
  <si>
    <t>HighQ Tourism Pvt Ltd</t>
  </si>
  <si>
    <t>Director Mr. L S SOUNDAR RAJAN , S/O SUBRAMANIYAN L R Regist. Off- B-60, Sector-57, Noida, Gautam Buddha Nagar, Uttar Pradesh - 201301</t>
  </si>
  <si>
    <t>AAGCH6987E</t>
  </si>
  <si>
    <t>Booking ID:
ISXGRKA4323</t>
  </si>
  <si>
    <t>RAMESH KUMAR M A</t>
  </si>
  <si>
    <t>PUREAIR ANALYTICS PRIVATE LIMITED</t>
  </si>
  <si>
    <t>Director RAMESH KUMAR M A , S/O MADASWAMY
PILLAI AYYAN PERUMAL Regist. Off- 1st Floor, MRA 178 A, Building No. TC 28/281-2, Sreekanteshwaram Ward No 83, Vayanashalla Keshavan Pilla Road, Pettah, Thiruvananthapuram, Kerala-695024, Nearby Landmark: Near old passport office,</t>
  </si>
  <si>
    <t>AAOCP3223F,</t>
  </si>
  <si>
    <t>Booking ID:
ISXGRKA4297</t>
  </si>
  <si>
    <t>Muskan Jain</t>
  </si>
  <si>
    <t>NeoPets</t>
  </si>
  <si>
    <t>Proprietor Muskan Jain, / D/o Manoj Jain, Regist. Off.-Room No. 101, IX/1328,, BP Complex,, Gandhi Nagar, Bagichi Nand Kishore,, Delhi, East Delhi, Delhi, 110031,</t>
  </si>
  <si>
    <t>BGSPJ6666G</t>
  </si>
  <si>
    <t>Booking ID:
ISXBLGRKA4315</t>
  </si>
  <si>
    <t>Notiyar Amirhusen Hasam</t>
  </si>
  <si>
    <t>Lotus Enterprise</t>
  </si>
  <si>
    <t>Partner Mr. Notiyar Amirhusen Hasam, S/O Notiyar Hasam Ramjan, R/o-Hajira Street, Near, Fatehmamad Hajira, Bakali Kabrastan Pase, Bhuj City, Kachchh, Gujarat – 370001</t>
  </si>
  <si>
    <t>BITPN0727K</t>
  </si>
  <si>
    <t>Booking ID:
ISXGRKA4117</t>
  </si>
  <si>
    <t xml:space="preserve"> Junjun Bhuyan</t>
  </si>
  <si>
    <t>TEATOTALES</t>
  </si>
  <si>
    <t>Proprietor Junjun Bhuyan, S/O Arun Bezbaruah, Regist. Office- FLAT NO 303, SMR VINAY ESTATE, HORMAVU , BLOCK 3, KALLUMANTAPA, BENGALURU (URBAN), Karnataka-
560043,</t>
  </si>
  <si>
    <t>AUPPB1501Q</t>
  </si>
  <si>
    <t>Booking ID:
ISXGRKA4530</t>
  </si>
  <si>
    <t>Naushil
Ravindranath</t>
  </si>
  <si>
    <t>VIREGLOBAL INDIA PVT LTD</t>
  </si>
  <si>
    <t>Seven Floor, D703, Anjor Cooperative
Housing Society Ltd, Lane Number 5. SRNO 88, HNO 1 1/23. 1/51/6, Veer Bhadranagar, Baner,
Pune, Maharastra-411045</t>
  </si>
  <si>
    <t>Maharastra</t>
  </si>
  <si>
    <t>Booking ID:
ISXMAKA4444</t>
  </si>
  <si>
    <t>Arul Prakash</t>
  </si>
  <si>
    <t>Hustle Ventures</t>
  </si>
  <si>
    <t>Proprietor Arul Prakash, S/O-Arul Anand, R/o - RD-805 Purva Riviera, Varthur Main Road, Marathahalli, PO: Doddanekkundi, Bengaluru, Karnataka - 560037</t>
  </si>
  <si>
    <t>AHEPA7163P</t>
  </si>
  <si>
    <t xml:space="preserve">Booking ID:
ISXBRKA4674 </t>
  </si>
  <si>
    <t>HARSHAD KP</t>
  </si>
  <si>
    <t>Ez Farmland</t>
  </si>
  <si>
    <t>Sole Proprietor HARSHAD KP, S/O Hassan kp, R/o Ez Farmland Neeruttikkal Kuzhimanna Po Malappuram Pin 673641</t>
  </si>
  <si>
    <t>AMAPH8551M</t>
  </si>
  <si>
    <t>Malappuram</t>
  </si>
  <si>
    <t>Booking ID:
ISX202514034KA8896GR</t>
  </si>
  <si>
    <t xml:space="preserve"> JAVERIA TABASSUM</t>
  </si>
  <si>
    <t>HRMD SERVICES LLP</t>
  </si>
  <si>
    <t>Designated Partner JAVERIA TABASSUM, D/o-ABDUL RAFIQ HUQ, R/o- C/O, , 78, 6th Main 4th
Cross, Shivaramaiah Layout, HBR Layout, Kalyananagar,Bengaluru, Karnataka, 560043</t>
  </si>
  <si>
    <t>AAQFH1915B,</t>
  </si>
  <si>
    <t>Booking ID:
ISXBRKA4504</t>
  </si>
  <si>
    <t>ANKUR CHAWLA</t>
  </si>
  <si>
    <t>FABONEST FOOD AND BEVERAGES PRIVATE LIMITED</t>
  </si>
  <si>
    <t>Director, ANKUR CHAWLA, S/O-RAMESH CHAWLA, Regist. Off.- G-67, Aggarwal City Mall, Road Number 44, Opp. M2k Cinema, New Delhi, North West Delhi, Delhi – 110034, India</t>
  </si>
  <si>
    <t>AADCF6157H</t>
  </si>
  <si>
    <t>Booking ID:
ISXBLGRKA4745</t>
  </si>
  <si>
    <t xml:space="preserve"> S. Saravanan</t>
  </si>
  <si>
    <t>Innovation Lead Consultant</t>
  </si>
  <si>
    <t>Proprietor S. Saravanan, S/O Srinivasan, #202 Sindhu Bairavi Apartment, Plot no 129, Pattandur Agrahara main road, Bangalore North, Whitefield, Bangalore North, Bengaluru, Karnataka 560066,</t>
  </si>
  <si>
    <t>AKRPS5679J</t>
  </si>
  <si>
    <t>Booking ID:
ISXGRKA4737</t>
  </si>
  <si>
    <t>AMIT PRAKASH</t>
  </si>
  <si>
    <t>EDUVRITTI</t>
  </si>
  <si>
    <t>Director AMIT PRAKASH , S/O RAM PADARTH RAM, R/o House No.88 C, Lalu Nagar, Amana, PO: Majhaura, DIST: Sitamarhi, Bihar-843331,</t>
  </si>
  <si>
    <t>DLSPP7669Q</t>
  </si>
  <si>
    <t>Booking ID:
ISXGRKA3360</t>
  </si>
  <si>
    <t>Aakash Chaudhry</t>
  </si>
  <si>
    <t>Fathom Learning Studio Pvt. Ltd</t>
  </si>
  <si>
    <t>director Aakash Chaudhry, S/O Santosh Chaudhry, R/o Ward 9, Near Old Govt. Hospital, Near Rani Sati Mandir, Railway Station Road, Rajgarh, Rajasthan - 331023,</t>
  </si>
  <si>
    <t>AWXPC1681J,</t>
  </si>
  <si>
    <t>Booking ID:
ISXGRKA4750</t>
  </si>
  <si>
    <t>KAMIYABALI</t>
  </si>
  <si>
    <t>STANIX APPARELS LLP</t>
  </si>
  <si>
    <t>designated partner KAMIYABALI, S/O ALIRAZA, Redge. Off. At GROUND FLOOR, SHOP NO.71 MILKAT NO.10088/10/71, ROYAL ESTATE, BEHIND VANVIBHHAG OFFICE, OPP ANAND HOTEL, Sidhpur, Patan, Gujarat- 384151,</t>
  </si>
  <si>
    <t>AFIFS1667J,</t>
  </si>
  <si>
    <t>Booking ID:
ISXGRKA4255</t>
  </si>
  <si>
    <t>VIJAY KUMAR</t>
  </si>
  <si>
    <t>AVOSYS TECHNOLOGY PVT LTD</t>
  </si>
  <si>
    <t>Director VIJAY KUMAR, S/O - DURGA PRASAD NAYAK , R/o A - 603 6TH FLOOR ANAND LOK SOCIETY MAYUR VIHAR PHASE 1, East Delhi Delhi - 110091</t>
  </si>
  <si>
    <t>AMUPK5345A</t>
  </si>
  <si>
    <t>Booking ID:
ISXGRKA4274,</t>
  </si>
  <si>
    <t>Benoy Paul</t>
  </si>
  <si>
    <t>Lux Industries Limited</t>
  </si>
  <si>
    <t>39, Kali Krishna Tagore Street, Kolkata – 700007</t>
  </si>
  <si>
    <t>AAACL5023B</t>
  </si>
  <si>
    <t>Booking ID:
ISX202411299KA7858DDSK</t>
  </si>
  <si>
    <t>DHRUV RANJAN VERMA</t>
  </si>
  <si>
    <t>THRIWE CONSULTING PRIVATE LIMITED</t>
  </si>
  <si>
    <t>director DHRUV RANJAN VERMA, S/O RAVI RANJAN VERMA, R/o 501, Rectangle -1, D-4, District Centre, Saket Delhi New Delhi DL 110017</t>
  </si>
  <si>
    <t>AAECR2814C</t>
  </si>
  <si>
    <t>Kashis Kumar Adhikari</t>
  </si>
  <si>
    <t>Booking ID:
ISXGRKA4762</t>
  </si>
  <si>
    <t>Yogesh Patel</t>
  </si>
  <si>
    <t>AMBIX HEALTHCARE LLP</t>
  </si>
  <si>
    <t>Designated Partner Yogesh Patel , S/O-
Haresh Kumar Patel, Regist. Off.- Building No./Flat No.: 84, Nirmal Industrial Park, Goziria GIDC,
Mahesana, Gujarat-382825,</t>
  </si>
  <si>
    <t>ABFFA6160K</t>
  </si>
  <si>
    <t>Booking ID:
ISXGRKA4766</t>
  </si>
  <si>
    <t>VIVEK KAUSHIK</t>
  </si>
  <si>
    <t>RUDRAKSHA COMMUNICATION</t>
  </si>
  <si>
    <t>VIVEK KAUSHIK S/O Raj Bahadur Kaushik Regd. Off. FIRST FLOOR, C-28, SAI VILLA, PARYAVARAN COMPLEX, NEW DELHI, South Delhi, Delhi, 110030</t>
  </si>
  <si>
    <t>AIPPK9457J</t>
  </si>
  <si>
    <t xml:space="preserve">Booking ID:
ISXGRKA5040 </t>
  </si>
  <si>
    <t>XL NEXT GEN SOFTWARE SERVICES</t>
  </si>
  <si>
    <t>PROPRIETOR RAJWINDER KAUR, D/o MOHINDER SINGH R/o VINAY RESIDENCY, SITE 8,
Flat NO. 5 ADJACENT TO BRITISH BIOLOGICALS, NEAR MITRA ACADEMY, AREKERE BG ROAD, BANGALORE SOUTH, BANNERGHATTA ROAD, BENGALURU, KARNATAKA, 560076</t>
  </si>
  <si>
    <t>Booking ID:
ISXBRKA4971R1</t>
  </si>
  <si>
    <t>Renewal Done R2</t>
  </si>
  <si>
    <t xml:space="preserve">
Alok Bajoria</t>
  </si>
  <si>
    <t>NurtuRise Advisors LL</t>
  </si>
  <si>
    <t>15-07-2025</t>
  </si>
  <si>
    <t>14-06-2026</t>
  </si>
  <si>
    <t>Booking ID:
ISXBRKA5085</t>
  </si>
  <si>
    <t>KUNWARJEET SINGH</t>
  </si>
  <si>
    <t>GREEN CHILI EVENTS AND ENTERTAINMENT</t>
  </si>
  <si>
    <t>PROPRIETOR KUNWARJEET SINGH, S/O /Jasvir Singh, Regd. Off H.No. 23, Street No. 1 Krishna Nagar, Safdarjung Enclave, South West Delhi, Delhi, 110029,</t>
  </si>
  <si>
    <t>BJKPS4599E</t>
  </si>
  <si>
    <t>Booking ID:
ISXGRKA5054</t>
  </si>
  <si>
    <t>Ashish Mathur</t>
  </si>
  <si>
    <t>KERBSTONE INFRASTRUCTURE SERVICES LIMITED</t>
  </si>
  <si>
    <t>director Ashish Mathur, S/O -Mahesh Narain Mathur R/o- 3307, Mantova, Mahagun Mezzaria Sector 78, Noida, PO: Maharishi Nagar, DIST: Gautam Buddha Nagar, Uttar Pradesh - 201304</t>
  </si>
  <si>
    <t>AINPM2723K</t>
  </si>
  <si>
    <t>Booking ID:
ISXBRKA5109</t>
  </si>
  <si>
    <t>Mohammed Shadil</t>
  </si>
  <si>
    <t>Troventa Global</t>
  </si>
  <si>
    <t>Partner Mohammed Shadil CM, S/O-Hassan Koya CM, R/o-House/Bldg./Apt .: Half Moon, Area/Locality/Sector: Andiyoorkunnu, Pulikkal, Malappuram, P.O .: Pulikkal, Kerala-673637,</t>
  </si>
  <si>
    <t>DCMPM9045N</t>
  </si>
  <si>
    <t>Booking ID:
ISXGRKA5037</t>
  </si>
  <si>
    <t>Gyan Prakash</t>
  </si>
  <si>
    <t>Rudhraksh Probiz Private Limited</t>
  </si>
  <si>
    <t>Director Gyan Prakash, S/O-Ramdev Shukla, Regist. Off- C-198 Road/Street: SEC-63 Noida, Gautambuddha Nagar, Uttar Pradesh-201301,</t>
  </si>
  <si>
    <t>AANCR7127B</t>
  </si>
  <si>
    <t>Booking ID:
ISXGRKA5076</t>
  </si>
  <si>
    <t>PARTH SUNIL JAJOO</t>
  </si>
  <si>
    <t>BANSI ECOM</t>
  </si>
  <si>
    <t>Proprietor PARTH SUNIL JAJOO S/O SUNIL LAXMINARAYAN JAJOO Regd/O 2ND FLOOR, SHOP NO-42, GURUKRUPA MARKET, B/H SURAT TEXTILE MARKET, RING ROAD, Surat, Gujarat, 395002</t>
  </si>
  <si>
    <t>BBNPJ7719Q</t>
  </si>
  <si>
    <t xml:space="preserve">Booking ID:
ISXDDKA5308 </t>
  </si>
  <si>
    <t>Desk No:002</t>
  </si>
  <si>
    <t>Arjun Patel</t>
  </si>
  <si>
    <t>NUTRIFUTURE SOLUTIONS LLP</t>
  </si>
  <si>
    <t>Designated Partner Arjun Patel, S/O Rahul Patel, Regd. Off. At 1104,1105,1106, ONE 42, B/H ASHOK VATIKA,
AMBLI BOPAL ROAD, Ahmedabad, Gujarat -380054,</t>
  </si>
  <si>
    <t>98986 00715</t>
  </si>
  <si>
    <t>AASFN8038P,</t>
  </si>
  <si>
    <t>Booking ID:
ISXBLGRKA5060</t>
  </si>
  <si>
    <t>DEEPAK CHOUDHARY</t>
  </si>
  <si>
    <t xml:space="preserve">
EVA LIVE PRIVATE LIMITED</t>
  </si>
  <si>
    <t>Designated partner JIA
DEEPAK CHOUDHARY, D/o-VASHULAL NAGDEV, Regist. Off.- 10th Floor, Office No. 1001 and
1002, Lotus Grandeur, Veera Desai Road, Opp. Gundhecha Symphony, Andheri West, Mumbai
Suburban, Maharashtra-400053with</t>
  </si>
  <si>
    <t>AAKFE1863D,</t>
  </si>
  <si>
    <t>Booking ID:
ISXGRKA5162</t>
  </si>
  <si>
    <t>Prop Tech Platform</t>
  </si>
  <si>
    <t>Gigalty representing Prop Tech Platform,  to as NO 14/922, PRATHIBHA, CHEMBALODE, CHANDRANAGAR P O, PALAKKAD - 678007</t>
  </si>
  <si>
    <t>8590757855 / 9400572339</t>
  </si>
  <si>
    <t>Palakkad</t>
  </si>
  <si>
    <t>Voreplay Entertainment Private Limited</t>
  </si>
  <si>
    <t>Vorenlay Entertainment Private Limited throueh its
Direetcr Mallappa" S/O-Shivappa. R/o- gqwdur. Goudur. Gowdur. Lingasagur. Raichur. Karnatakq"
584139.</t>
  </si>
  <si>
    <t>AAKCV5698Q</t>
  </si>
  <si>
    <t>Booking ID:
ISXBRKA5050</t>
  </si>
  <si>
    <t>MIB WIZARDRY VENTURES PRIVATE LIMITED</t>
  </si>
  <si>
    <t>Director SANKAR BRAHMA NARAYAN RAY, S/O: SHYAMAL KUMAR RAY R/o- P 35,
ANUPAM APT, FLAT 1B, MOTIJHEEL AVENUE, South Dumdum (m),North 24 Paraganas,
Motijheel, North 24 Parganas, West Bengal-700074,</t>
  </si>
  <si>
    <t>AHHPR9466K,</t>
  </si>
  <si>
    <t>Booking ID:
 ISXGRKA5323</t>
  </si>
  <si>
    <t xml:space="preserve"> Shravan Suthar</t>
  </si>
  <si>
    <t>Royal ENTERPRISES</t>
  </si>
  <si>
    <t>Proprietor Shravan Suthar S/O-Ghewarlal Suthar, R/o-A-401, PIONEER DREAMS, VADOD-BHIMRAD ROAD, Vadod, PO: Vadod, DIST: Surat, Gujarat - 394540</t>
  </si>
  <si>
    <t>GENPS9883E</t>
  </si>
  <si>
    <t>Booking ID:
ISXGRKA5221,</t>
  </si>
  <si>
    <t>Lekshmi Revi N</t>
  </si>
  <si>
    <t>Arike Matrimony</t>
  </si>
  <si>
    <t>Owner Lekshmi Revi N, S/O Revi N S, R/o S/O: Revi N S, Naduvathra House, Kallettumkara, Kallettumkara, Thrissur,Kerala - 680683</t>
  </si>
  <si>
    <t>CNIPN8838E</t>
  </si>
  <si>
    <t>Booking ID:
ISXGRKA5445</t>
  </si>
  <si>
    <t>Deepti Bhaskaran</t>
  </si>
  <si>
    <t>Proprietor Deepti Bhaskaran, D/O /
T K Bhaskaran, R/o SWATI MANSION, LANE NUMBER 2, OPPOSITE CLEMENTOWN POST
OFFICE, Chandrvani Grant, Dehradun, Uttarakhand - 248002,</t>
  </si>
  <si>
    <t>ALGPB1896A</t>
  </si>
  <si>
    <t>Uttarakhand</t>
  </si>
  <si>
    <t>Booking ID:
ISXGRKA5413</t>
  </si>
  <si>
    <t>AISHWARYA JHAWAR</t>
  </si>
  <si>
    <t>EKATRA COLLECTIVE PRIVATE LIMITED</t>
  </si>
  <si>
    <t>director AISHWARYA JHAWAR, D/O SURENDRA JHAWAR, R/o 13,BAJRANG DAL MILL ROAD KOTHARI KOTA</t>
  </si>
  <si>
    <t>BBKPJ9894H</t>
  </si>
  <si>
    <t>Kothari Kota</t>
  </si>
  <si>
    <t>Booking ID:
ISXGRKA5528</t>
  </si>
  <si>
    <t>Simran Sultana</t>
  </si>
  <si>
    <t>Tiny Leaf Co.</t>
  </si>
  <si>
    <t>Proprietor Simran Sultana , D/o-Saleem Pasha, R/o-C/O: Almas Begum, Neeladri Mahal Apartment No 413 A, D Block Nandi Durga Road, VTC: Bangalore
North, PO: Benson Town, Bengaluru, Karnataka-560046,</t>
  </si>
  <si>
    <t>_NLQPS3357Q</t>
  </si>
  <si>
    <t>Booking ID:
ISXBRKA5567</t>
  </si>
  <si>
    <t>ASHARA ROHAN HARISHKUMAR</t>
  </si>
  <si>
    <t>VIRAT TRADITIONAL PRINTS</t>
  </si>
  <si>
    <t>Proprietor ASHARA ROHAN HARISHKUMAR, S/O-HARISH HARILAL ASHARA, Regist. Off.- 401 KUBER SQUARE APARTMENT, 41-NEW JAGNATH PLOT, RAJKOT, Rajkot, Gujarat, 360001,</t>
  </si>
  <si>
    <t>7984257135,</t>
  </si>
  <si>
    <t>ANPPA3067K,</t>
  </si>
  <si>
    <t>Booking ID:
ISXGRKA5484</t>
  </si>
  <si>
    <t>HARSH VARDHAN BIHANI</t>
  </si>
  <si>
    <t>BG TEA VYAPAR PVT LTD</t>
  </si>
  <si>
    <t>Director HARSH
VARDHAN BIHANI, S/O-ANIL KUMAR BIHANI, R/o-5TH FLOOR, 13, SUBOL DUTT BUILDING,
BRABOURNE ROAD, KOLKATA, Kolkata, West Bengal-700001,</t>
  </si>
  <si>
    <t>_AAHCB3028M,</t>
  </si>
  <si>
    <t>Booking ID:
ISXGRKA5501</t>
  </si>
  <si>
    <t>Mohammed Shahbaaz</t>
  </si>
  <si>
    <t>Fofu Marketing Services</t>
  </si>
  <si>
    <t>Proprietor Mohammed Shahbaaz, S/O/ Mohammad Gaffur R/o- 1045, Block 1, Sobha classic, Off Sarjapur road, Haralur road, Ambalipura, PO: Hsr Layout, DIST: Bengaluru, Karnataka - 560102,</t>
  </si>
  <si>
    <t>AWOPM4726H</t>
  </si>
  <si>
    <t>Shubham</t>
  </si>
  <si>
    <t>Booking ID:
ISXBRKA5365</t>
  </si>
  <si>
    <t>Govind Singh Yadav</t>
  </si>
  <si>
    <t>INFRAAXIS PROPSERVE PRIVATE LIMITED</t>
  </si>
  <si>
    <t>S/O Davinder Singh Yadav, Village-kapnwas. Kapariwas(290) Industrial Area Dhanuhera Rewan Haryana 123110</t>
  </si>
  <si>
    <t>ALTPY9772D</t>
  </si>
  <si>
    <t>SHIVANI MOURYA</t>
  </si>
  <si>
    <t>Operation Executive-Fresh</t>
  </si>
  <si>
    <t>02-08-2025</t>
  </si>
  <si>
    <t>02-07-2025</t>
  </si>
  <si>
    <t>Booking ID: ISXBRKA5527</t>
  </si>
  <si>
    <t>PRATIBHA KATIYAR</t>
  </si>
  <si>
    <t>AERONYX ADVANCED SYSTEMS PRIVATE LIMITED</t>
  </si>
  <si>
    <t>D/o SUDESH KUMAR KATIYAR, R/o-PLOT NO. 16, RADHA PURAM, GOA GARDEN, KALYANPUR, I.I.T, Kanpur Nagar, Uttar Pradesh - 208016,</t>
  </si>
  <si>
    <t>BFKPK2019H,</t>
  </si>
  <si>
    <t>Shubham Mishra</t>
  </si>
  <si>
    <t>Operations Executive</t>
  </si>
  <si>
    <t xml:space="preserve">+91 7217715846 | +91 729 2020 900 </t>
  </si>
  <si>
    <t>04-08-2025</t>
  </si>
  <si>
    <t>04-07-2025</t>
  </si>
  <si>
    <t xml:space="preserve">Booking ID: ISXBRKA5539 </t>
  </si>
  <si>
    <t>renewal Done R1</t>
  </si>
  <si>
    <t>AYUSH LODHA</t>
  </si>
  <si>
    <t>SACAI HOMES</t>
  </si>
  <si>
    <r>
      <rPr>
        <sz val="11"/>
        <color rgb="FF000000"/>
        <rFont val="Calibri"/>
        <scheme val="minor"/>
      </rPr>
      <t xml:space="preserve">Booking ID: ISXGRKA5588
</t>
    </r>
    <r>
      <rPr>
        <b/>
        <sz val="11"/>
        <color rgb="FF000000"/>
        <rFont val="Calibri"/>
        <scheme val="minor"/>
      </rPr>
      <t>Booking cancelled, documentation charges needs to billed</t>
    </r>
  </si>
  <si>
    <t>Priyanka Goyal</t>
  </si>
  <si>
    <t>Riya Exports Hub</t>
  </si>
  <si>
    <t>D/o Avdesh
Gupta Regist. Off. - Upper Ground Floor, D-63 And D-63 A, Back Side Dayanand Block, Shakarpur, Delhi
District: East Delhi-110092</t>
  </si>
  <si>
    <t>CMYPG1659M</t>
  </si>
  <si>
    <t>04-07-2026</t>
  </si>
  <si>
    <t>Booking ID: ISXGRKA5699</t>
  </si>
  <si>
    <t>Ishita Gupt</t>
  </si>
  <si>
    <t>SIAM FOODS INNOVATION LAB PRIVATE LIMITED</t>
  </si>
  <si>
    <t>D/o Vikas Gupta , R/o Floor No.: 4TH FLOOR Building No./Flat No.: C 100 C BLOCK Road/Street: SOUTH CITY 1 City/Town/Village: Gurugram District: Gurugram State: Haryana PIN Code: 122001</t>
  </si>
  <si>
    <t>ABNCS9825L</t>
  </si>
  <si>
    <t>Mahima </t>
  </si>
  <si>
    <t>Virtual Office Operations Team</t>
  </si>
  <si>
    <t xml:space="preserve">	+91 8826685774 | +91 729 2020 900</t>
  </si>
  <si>
    <t>07-08-2025</t>
  </si>
  <si>
    <t>07-07-2026</t>
  </si>
  <si>
    <t>Booking ID: ISXGRKA5876</t>
  </si>
  <si>
    <t>Marcus Ruban Raj</t>
  </si>
  <si>
    <t>S/o Kanicka Raj, R/o #09, 4th Block, Near Ravi
Theater, Koramangala, Bangalore South, PO: Viveknaga, DIST: Bangalore.Karnataka - 560047</t>
  </si>
  <si>
    <t>ENSPM1426H</t>
  </si>
  <si>
    <t>Bengalore</t>
  </si>
  <si>
    <t>Shreya Datta</t>
  </si>
  <si>
    <t xml:space="preserve">	+91 9717508542 | +91 729 2020 900</t>
  </si>
  <si>
    <t>08-08-2025</t>
  </si>
  <si>
    <t>08-07-2026</t>
  </si>
  <si>
    <t>Booking ID: ISXBRKA5827</t>
  </si>
  <si>
    <t>29AAGCL4484L1ZU</t>
  </si>
  <si>
    <t>Rahul Holenarasipura Vijay</t>
  </si>
  <si>
    <t>Sley AI</t>
  </si>
  <si>
    <t>S/O Vijay Kumar H T , R/o #12, Krishnegowda compoun, hagaduru, near veerabhadreshwara, Nagondahalli, Bangalore, Karnataka - 560066</t>
  </si>
  <si>
    <t>BKVPV9369K</t>
  </si>
  <si>
    <t>Booking ID: ISXBRKA5726</t>
  </si>
  <si>
    <t>Maitreyee Goswami</t>
  </si>
  <si>
    <t>Echo Communications LLP</t>
  </si>
  <si>
    <t>D/o Chakradhar Goswami, R/o- H.No - 36, Bishnu Rabha Path, Opposite SBI Kahilipara Branch,
Jatia, Guwahati, Assam Sachivalaya, Kamrup, Assam - 781006</t>
  </si>
  <si>
    <t>AQDPG6240M</t>
  </si>
  <si>
    <t>Booking ID: ISXBRKA5979</t>
  </si>
  <si>
    <t>Jeet Sharma</t>
  </si>
  <si>
    <t>Advebro Productions LLP</t>
  </si>
  <si>
    <t>S/O-Bhupendra
Kumar Sharma, R/o-6th Floor Building No./Flat No .: Unit No 615, Tower-4 Name Of Premises/Building: Assotech Business Cresterra Road/Street: Sector 135 City/Town/Village: Noida District: Gautambuddha Nagar State: Uttar
Pradesh PIN Code: 201301</t>
  </si>
  <si>
    <t>ABOFA9656M</t>
  </si>
  <si>
    <t>Booking ID: ISXGRKA5740</t>
  </si>
  <si>
    <t>Prasham Shah</t>
  </si>
  <si>
    <t>ARHAM ONLINE PORTAL PRIVATE LIMITED</t>
  </si>
  <si>
    <t>S/O Manish Shah, R/o 13/1, South Tukoganj, Indore, Indore, Madhya Pradesh - 452001,</t>
  </si>
  <si>
    <t>CCEPS1397E</t>
  </si>
  <si>
    <t xml:space="preserve">	+91 9717508542 | +91 729 2020 900 </t>
  </si>
  <si>
    <t>09-08-2025</t>
  </si>
  <si>
    <t>09-07-2026</t>
  </si>
  <si>
    <t>Booking ID: ISXGRKA5951</t>
  </si>
  <si>
    <t>ROHITH KOLANCHERY</t>
  </si>
  <si>
    <t>MUCHO DESI FOODS PVT LTD</t>
  </si>
  <si>
    <t>S/O K SATHINDRAN, Regist. Off.- 2nd Floor, SDF-I KSIDC Industrial Growth Centre, Kinalur, Balussery, Kozhikode, Kerala-673612,</t>
  </si>
  <si>
    <t>DXTPK1841N</t>
  </si>
  <si>
    <t>11-08-2025</t>
  </si>
  <si>
    <t>11-07-2026</t>
  </si>
  <si>
    <t>Booking ID: ISXGRKA5696</t>
  </si>
  <si>
    <t>PRANAV GUTPA</t>
  </si>
  <si>
    <t>APEIRON PROJECTS PRIVATE LIMITED</t>
  </si>
  <si>
    <t>S/O YOGESH KUMAR GUPTA, R/o Floor No.: 2nd Floor, Building No. 33 B, Road/Street: Institutional Area, Locality/Sub Locality: Sector 32, City/Town/Village: Gurugram, 
District: Gurugram, State: Haryana Pin Code- 122001</t>
  </si>
  <si>
    <t>AAICA9578J</t>
  </si>
  <si>
    <t>Booking ID: ISXGRKA5706</t>
  </si>
  <si>
    <t>renewal Done R1 R2 and R3 Location Change to Platinum</t>
  </si>
  <si>
    <t>Ms. PANCHALEE THAKUR</t>
  </si>
  <si>
    <t>PURPLE COMMUNICATIONS LLP</t>
  </si>
  <si>
    <t>No. 20 Old /341 New, Nehru Park, Jorhat, Assam, 785001.</t>
  </si>
  <si>
    <t>Akriti Yadav</t>
  </si>
  <si>
    <t>Operation Executive-Renewals</t>
  </si>
  <si>
    <t xml:space="preserve">	+91 92180 28456 | +91 729 2020 900</t>
  </si>
  <si>
    <t>20-08-2025</t>
  </si>
  <si>
    <t>20-07-2026</t>
  </si>
  <si>
    <t xml:space="preserve">Booking ID: ISXBRKA5860R3 </t>
  </si>
  <si>
    <t>Mrs.</t>
  </si>
  <si>
    <t>PRIYANKAR BANIK</t>
  </si>
  <si>
    <t>GRABIT SPICES PVT LTD</t>
  </si>
  <si>
    <t>D/o- BISWA RANJAN BANIK, R/o- 441,Mahamayatala Road, Garia, Sarada Shop, South 24, Parganas, Kolkata, South Twenty Four Parganas, West, Bengal, 700084</t>
  </si>
  <si>
    <t>AAKCG5118L</t>
  </si>
  <si>
    <t>Kolkata</t>
  </si>
  <si>
    <t>13-08-2025</t>
  </si>
  <si>
    <t>13-07-2026</t>
  </si>
  <si>
    <t xml:space="preserve">Booking ID: ISXGRKA6066 </t>
  </si>
  <si>
    <t>RAHUL JHABAK</t>
  </si>
  <si>
    <t>JHABAK INTERNATIONAL</t>
  </si>
  <si>
    <t>S/O HANUMANMAL JHABAK, R/o BLDG - U1, PHASE-1, GALA NO. 201, MUNISUVRAT COMPLEX, BHIWANDI, THANE - 421302,</t>
  </si>
  <si>
    <t>AVXPJ5366Q</t>
  </si>
  <si>
    <t>Booking ID: ISXGRKA5981</t>
  </si>
  <si>
    <t>KAMALEY SADANANDA SAGAR</t>
  </si>
  <si>
    <t>Cipheronix Technologies</t>
  </si>
  <si>
    <t>S/O K ESWARAPPA, R/o 4-12-25-1, kilchin pet, near arogyamata church, VTC: Adoni, PO: Adoni, Sub District: Adoni, District: Kurnool, State: Andhra Pradesh, PIN Code: 518301,</t>
  </si>
  <si>
    <t>CJSPK7662P</t>
  </si>
  <si>
    <t xml:space="preserve">Booking ID: ISXBRKA6259 </t>
  </si>
  <si>
    <t>SATYANARAYAN MALL</t>
  </si>
  <si>
    <t>EST BRAND SERVICES PRIVATE LIMITED</t>
  </si>
  <si>
    <t>S/o PITAMBER MALL, R/o FIRST
FLOOR HOUSE NO. 793-B, PALAM VIHAR, NEAR VYAPAR KENDRA, POST OFFICE CHOMA
(62), GURGAON, Palam Vihar (Gurgaon), Gurgaon, Palam Vihar, Haryana, India, 122017</t>
  </si>
  <si>
    <t>AAFCE6465M</t>
  </si>
  <si>
    <t>Booking ID: ISXGRKA6270</t>
  </si>
  <si>
    <t>PRATIKSHA</t>
  </si>
  <si>
    <t>GATEWAYS AVIATION PVT.LTD.</t>
  </si>
  <si>
    <t>D/O JITENDRA KUMAR DUBE, R/o 901 9th floor AKASH DEEP BUILDING 26 BARAKHAMBA ROAD, CONNAUGHT PLACE, DELHI 110001</t>
  </si>
  <si>
    <t>GPJPP6273N</t>
  </si>
  <si>
    <t xml:space="preserve">Booking ID: ISXGRKA6389 </t>
  </si>
  <si>
    <t>Parmod Kumar</t>
  </si>
  <si>
    <t>Rise Infraventures Limited</t>
  </si>
  <si>
    <t>S/O Dilbag, R/o Floor No .: house no 17 ward no 2 village devsar bhiwani haryana 127046</t>
  </si>
  <si>
    <t>HMPPK6648A</t>
  </si>
  <si>
    <t>Booking ID: ISXBRKA6347</t>
  </si>
  <si>
    <t>Aug'25 billing is done till this booking</t>
  </si>
  <si>
    <t>SHIKHAR GUPTA</t>
  </si>
  <si>
    <t>STAR INTERNATIONAL</t>
  </si>
  <si>
    <t>Registered office at 57 A, ANAND INDUSTRIAL ESTATE, MOHAN NAGAR, GHAZIABAD, Ghaziabad, Uttar Pradesh, 20100</t>
  </si>
  <si>
    <t>AFPPG4297K</t>
  </si>
  <si>
    <t>Uttar pradesh</t>
  </si>
  <si>
    <t xml:space="preserve">Booking ID: ISXGRKA6581 </t>
  </si>
  <si>
    <t>Gandharav Mongia</t>
  </si>
  <si>
    <t xml:space="preserve"> Casotec E-Retail Private Limited</t>
  </si>
  <si>
    <t>S/O Satish Kumar Mongia, having its Registered office at Plot No. 133, Udyog Vihar, Phase - VI, Sector - 37, Gurugram Haryana -12200</t>
  </si>
  <si>
    <t>AAHCC8764B</t>
  </si>
  <si>
    <t>Booking ID: ISXGRKA6596</t>
  </si>
  <si>
    <t>29AAHCC8764B1ZG</t>
  </si>
  <si>
    <t xml:space="preserve"> VIDIT S JAIN</t>
  </si>
  <si>
    <t>S/O- PUSHKAR PRATAP JAIN, Regist. Off. - Ground Floor, House No. 115, Rishabh Vihar,
Karkardooma, East Delhi, Delhi, 110092</t>
  </si>
  <si>
    <t>Booking ID: ISXGRKA6081</t>
  </si>
  <si>
    <t>SUNIL CHHABRA</t>
  </si>
  <si>
    <t>FRANTIC TRADING PRIVATE LIMITED</t>
  </si>
  <si>
    <t>S/O BISHAN DASS CHHABRA Regd/O BASEMENT FLOOR, A-28 SECTOR -63, NOIDA, G B NAGAR, Gautam Buddha Nagar, Uttar Pradesh, 201301</t>
  </si>
  <si>
    <t>AADCF0930G</t>
  </si>
  <si>
    <t xml:space="preserve">72177 20851 </t>
  </si>
  <si>
    <t xml:space="preserve"> Booking ID: ISXGRKA6886R3</t>
  </si>
  <si>
    <t>Riyaz Ahmed Shaikh</t>
  </si>
  <si>
    <t>TrendTech Enterprises</t>
  </si>
  <si>
    <t>S/O Late. Rafiuddin Sheikh R/o A1-203, Block A1, Century Commanders Vista, Behind 
Ramanashree California Resort, Ferrar Nagar, Yelahanka New Town, District: Bengaluru, State:
Karnataka, PIN Code: 560064</t>
  </si>
  <si>
    <t>BASPS1795M</t>
  </si>
  <si>
    <t>Booking ID: ISXGRKA6863</t>
  </si>
  <si>
    <t>Raj Kumar
Singh</t>
  </si>
  <si>
    <t>S/O LATE BANSHI SINGH Regd. Off. At 202 Ground Floor MS SAROJ ARORA BALMUKUND
KHAND GIRI NAGAR South East Delhi 110019</t>
  </si>
  <si>
    <t>Renewal Booking ID: ISXGRKA5967R1</t>
  </si>
  <si>
    <t>Renewal (R2)</t>
  </si>
  <si>
    <t xml:space="preserve">Paras Suresh Mehta  </t>
  </si>
  <si>
    <t>NAPSUMS TECHNOLOGIES LLP</t>
  </si>
  <si>
    <t>S/O Suresh Mehta Registered office address at C-104, Regency
Bldg, At, Kaul Heritage, Vasai (W), Bassein Road, Manikpur Police Station, Bassein, Thane-
401202,Maharashtra, India</t>
  </si>
  <si>
    <t>AAWFN1183H</t>
  </si>
  <si>
    <t>+91 92180 28456 | +91 729 2020 900</t>
  </si>
  <si>
    <t>Booking ID: ISXGRKA7024</t>
  </si>
  <si>
    <t>KUNTENNAGARI CHINNA HARIKRISHNA</t>
  </si>
  <si>
    <t>KCERIES</t>
  </si>
  <si>
    <t>S/O KUNTENNAGARI RANGAIAH, R/o 5-75, S C Colony, Peddavaduguru, Peddavaduguru, VTC: Peddavadugur, PO: Pedda Vadagur, Sub District: Peddavadugur, District: Ananthapur, State: Andhra Pradesh, PIN Code: 515405</t>
  </si>
  <si>
    <t>AOOPH7163P</t>
  </si>
  <si>
    <t>Andra pradesh</t>
  </si>
  <si>
    <t>Sakshi Dubey</t>
  </si>
  <si>
    <t>87507 94338</t>
  </si>
  <si>
    <t>Booking ID: ISXOTGRKA1047</t>
  </si>
  <si>
    <t>V ALEKHYA REDDY</t>
  </si>
  <si>
    <t>VELORA CLOTHINGS</t>
  </si>
  <si>
    <t>D/O V RAVINDER REDDY, R/o 1-11-219/1/1, Flat No 301, Samala Royal APTS, Gurumurthy Lane, Begumpet, VTC: Ameerpet, PO: Begumpet, Sub District: Ameerpet, District: Hyderabad, State: Telangana, PIN Code: 500016</t>
  </si>
  <si>
    <t>FDAPR7743M</t>
  </si>
  <si>
    <t>Hyderbad</t>
  </si>
  <si>
    <t>Sakshi Dube</t>
  </si>
  <si>
    <t xml:space="preserve">Booking ID: ISXBRKA7072 </t>
  </si>
  <si>
    <t>KUMAR GAURAV</t>
  </si>
  <si>
    <t>LOOMANTHA ENTERPRISES PRIVATE LIMITED</t>
  </si>
  <si>
    <t>W/o Ravi shastri , having it’s Regd/o 206 F/F Phase 1 Aom Vihar, Uttam Nagar, PO: D.k Mohan Garden, DIST: West Delhi, Delhi-110059</t>
  </si>
  <si>
    <t>COUPB8840K</t>
  </si>
  <si>
    <t>Renewal Booking ID: ISXGRKA6457</t>
  </si>
  <si>
    <t>SURESH RAJA</t>
  </si>
  <si>
    <t>KICKSMITH STUDIOS PRIVATE LIMITED</t>
  </si>
  <si>
    <t>S/O RAJA , R/o 2287, First Floor, 7th Cross, AECS Layout, A-Block, Singasandra, PO: Singasandra, DIST: Bengaluru, Kamataka - 560068</t>
  </si>
  <si>
    <t>CAOPS6613K</t>
  </si>
  <si>
    <t>Shivani Mourya</t>
  </si>
  <si>
    <t xml:space="preserve">92207 26732 </t>
  </si>
  <si>
    <t>Booking ID: ISXBRKA7119</t>
  </si>
  <si>
    <t>Aarthi Sivaprakasam</t>
  </si>
  <si>
    <t>D/O Sivaprakasam Chinnandu, R/o 178/81, Narayan Nagar, Honda, Sattari, Sanquelim, North Goa, Goa, 403505</t>
  </si>
  <si>
    <t>FGGPS5444M</t>
  </si>
  <si>
    <t>Booking ID: ISXGRKA7067</t>
  </si>
  <si>
    <t xml:space="preserve"> Yathish Gangadharaiah</t>
  </si>
  <si>
    <t>Glowings Commerce Private Limited</t>
  </si>
  <si>
    <t>S/O Gangadharaiah N, R/o Flat No 301, 3 rd Floor, Celestial Apartment, 438, Vishwamanava Double Road, Kuvempu Nagar, Mysuru, Karnataka, PIN 570023</t>
  </si>
  <si>
    <t>AARPY6755B</t>
  </si>
  <si>
    <t>Mysuru</t>
  </si>
  <si>
    <t xml:space="preserve">Booking ID: ISXGRKA7129 </t>
  </si>
  <si>
    <t>Areeb Siddiqui</t>
  </si>
  <si>
    <t xml:space="preserve"> IA OVERSEAS LLP</t>
  </si>
  <si>
    <t>S/O Imran Ali R/o 18, QUASIM NAGAR, UNNAO, Unnao, Uttar Pradesh, 209801</t>
  </si>
  <si>
    <t>96218 67512</t>
  </si>
  <si>
    <t>AAFFI7943B</t>
  </si>
  <si>
    <t>Booking ID: ISXGRKA6766</t>
  </si>
  <si>
    <t>ANKIT VERMA</t>
  </si>
  <si>
    <t>CALMROOTS NATURALS PVT LTD</t>
  </si>
  <si>
    <t>S/O ANIL VERMA, R/o F-398, T P Nagar, Kanpur Road, Lucknow, Lucknow, Uttar Pradesh, 226012</t>
  </si>
  <si>
    <t>ARRPV9377G</t>
  </si>
  <si>
    <t xml:space="preserve">Booking ID: ISXBRKA6624 </t>
  </si>
  <si>
    <t>AISHWARYA V</t>
  </si>
  <si>
    <t>Sankari Enterprise</t>
  </si>
  <si>
    <t>D/O VIVEKANANDHAN, R/o – Gnana lilam ,42/1337 A, Ayyappankavu, Emakulam North, Ernakulam, Ernakulam North, Kerala, 682018</t>
  </si>
  <si>
    <t>AFPFS2077D</t>
  </si>
  <si>
    <t>Booking ID: ISXGRKA7056</t>
  </si>
  <si>
    <t>UMANG MONGA</t>
  </si>
  <si>
    <t>S/O ANIL MONGA, R/o H NO-44/72 ROAD NO- 72 Punjabi Bagh West Delhi Delhi - 110026</t>
  </si>
  <si>
    <t>AAIPM9865D</t>
  </si>
  <si>
    <t xml:space="preserve">Booking ID: ISXAZGRKA1109 </t>
  </si>
  <si>
    <t>Samrat Saurav Bora</t>
  </si>
  <si>
    <t>PIXSYSAI LLP</t>
  </si>
  <si>
    <t>S/O Lakhyajit Borah, R/o HINDU GAON, Hindu Gaon, Lakhimpur, Assam - 787032</t>
  </si>
  <si>
    <t>ARWPB3161E</t>
  </si>
  <si>
    <t xml:space="preserve">Booking ID: ISXBRKA7199 </t>
  </si>
  <si>
    <t>Booking end here for Sep'25 billing</t>
  </si>
  <si>
    <t>Nivedita Jaiswal</t>
  </si>
  <si>
    <t>Techperspect Software Pvt Ltd</t>
  </si>
  <si>
    <t>D/O Mohit Chand Jaiswal Registered office at D-90, B-1, Gate No.4, Freedom Fighter Enclave, Neb
Sarai, Delhi- 110068</t>
  </si>
  <si>
    <t>AADCT7440D</t>
  </si>
  <si>
    <t>Booking ID: ISXGRKA7516</t>
  </si>
  <si>
    <t>Mohammad Muqeem</t>
  </si>
  <si>
    <t>Muqeem &amp; Brothers Private Limited</t>
  </si>
  <si>
    <t>S/O- Mohammad Yaseen, Resist. Off. - H.NO 463, Kotla, Sarai Tareen, Sambhal, Moradabad, Uttar Pradesh, 244303</t>
  </si>
  <si>
    <t>AAMCM8962E</t>
  </si>
  <si>
    <t xml:space="preserve">Booking ID: ISXGRKA6327 </t>
  </si>
  <si>
    <t>Prakash Shahi</t>
  </si>
  <si>
    <t>Boho Lifestyle LLP</t>
  </si>
  <si>
    <t>S/O of Shekhar Shahi, R/O E 303, BPTP Park Prime, Badshahpur Road, Sector 66, Gurgaon 122101</t>
  </si>
  <si>
    <t>ABAFB8475F</t>
  </si>
  <si>
    <t>Booking ID: ISXGRKA7569</t>
  </si>
  <si>
    <t>ABHISHEK RAMESH SHAH</t>
  </si>
  <si>
    <t>HNR Retail Private Limited</t>
  </si>
  <si>
    <t>S/o RAMESH P SHAH, having its registered office at Plot #359, 3rd Floor, Palai Complex, 301,
Bhandarkar Rd, above Beautiful store, Matunga East, Mumbai, Maharashtra 400019</t>
  </si>
  <si>
    <t>AAECH1410N</t>
  </si>
  <si>
    <t>Booking ID: ISXGRKA7565</t>
  </si>
  <si>
    <t>Shishir Gupta</t>
  </si>
  <si>
    <t xml:space="preserve"> IK JEWELS (INDIA) LIMITED</t>
  </si>
  <si>
    <t>S/O Ish Kripa Gupta, having its Registered Office at 15/8, Convent road, Dehradun, 248001</t>
  </si>
  <si>
    <t>AABCE5881F</t>
  </si>
  <si>
    <t>Dehradun</t>
  </si>
  <si>
    <t>Booking ID: ISXGRKA6227</t>
  </si>
  <si>
    <t>PRANAY KUMAR SINGH</t>
  </si>
  <si>
    <t>Future Oriented Research Conferences And Exhibitions Private Limited (FORCE Private Limited)</t>
  </si>
  <si>
    <t>S/O VARUN KUMAR
SINGH, R/o Villa no 4442, KALINDI HILLS, FARIDABAD,SECTOR-49, Faridabad Nit,, Faridabad,
Haryana, 121001,</t>
  </si>
  <si>
    <t>COJPS2181B</t>
  </si>
  <si>
    <t>Booking ID: ISXGRKA7540</t>
  </si>
  <si>
    <t xml:space="preserve">ABHILASH M </t>
  </si>
  <si>
    <t>SLICKSHOP TECHNOLOGIES LLP</t>
  </si>
  <si>
    <t>S/O MURALEEDHARAN PILLAI , R/o M R Bhavanam, Muthukattukara, Nooranad, Palamel, Alappuzha Kerala - 690504</t>
  </si>
  <si>
    <t>BYIPA9074M</t>
  </si>
  <si>
    <t>Booking ID: ISXGRKA7682</t>
  </si>
  <si>
    <t>Akshay Chaudhry</t>
  </si>
  <si>
    <t>S/O Late Ajay Chaudhry, R/o E-47 Sector - 39, Near Ryan International School, Noida, Noida, Gautam Buddha Nagar, Uttar Pradesh, 201301</t>
  </si>
  <si>
    <t>Booking ID: ISXGRKA7447</t>
  </si>
  <si>
    <t>SAKTHIMANOJ</t>
  </si>
  <si>
    <t>Trident Tex</t>
  </si>
  <si>
    <t>S/O ARUMUGHAM , R/o 34, SAI BABA NAGAR, TIRUPUR, Tiruppur, PO: Gandhinagar, DIST: Tiruppur. Tamil Nadu - 641603</t>
  </si>
  <si>
    <t>DZSPS3831P</t>
  </si>
  <si>
    <t>Tamilnadu</t>
  </si>
  <si>
    <t xml:space="preserve">Booking ID: ISXGRKA7799 </t>
  </si>
  <si>
    <t>Benny Thomas</t>
  </si>
  <si>
    <t>Rampverse Technologies</t>
  </si>
  <si>
    <t>S/O Thomas Konnolil Idicula, R/o 501-convoy hights 100 fit road Shobhagpura Shobhagpura, Udaipur Rajasthan – 313011</t>
  </si>
  <si>
    <t>ALMPT5898E</t>
  </si>
  <si>
    <t>Booking ID: ISXBRKA7731</t>
  </si>
  <si>
    <t>Shreya Khator,</t>
  </si>
  <si>
    <t>ZAPPKRAFT MOBILITY PRIVATE LIMITED</t>
  </si>
  <si>
    <t>D/O Rishi Khator, and Director Mr. Ashish Verma S/O Deepak Verma R/o Flat-5A, T-2, Signum Gardenia, 3 dr gs bose road,New Ballygunge, Kolkata -700039,</t>
  </si>
  <si>
    <t>DWYPK8023E and AWOPV9667J</t>
  </si>
  <si>
    <t>Booking ID: ISXBRKA3732</t>
  </si>
  <si>
    <t>Mr. Sharad Jindal</t>
  </si>
  <si>
    <t>Oddway Icare Private Limited</t>
  </si>
  <si>
    <t>S/O Mr. Inderjeet Jindal, R/o 141A Block, fourth floor, sushant lok 1, Chakarpur, PO: Chakarpur, DIST: Gurgaon, Haryana 122002</t>
  </si>
  <si>
    <t>AGQPJ2213G</t>
  </si>
  <si>
    <t>Booking ID: ISXGRKA7906</t>
  </si>
  <si>
    <t>Som Jaiswal</t>
  </si>
  <si>
    <t>HELPINGAI TECHNOLOGIES AND INNOVATIONS PRIVATE LIMITED</t>
  </si>
  <si>
    <t>S/O Ishwar Chand Jaiswal, R/o Jaiswal Building, Deoria Road, Gurung Tiraha, Gorakhpur, Gorakhpur, Uttar Pradesh - 273008</t>
  </si>
  <si>
    <t>CXOPJ4018E</t>
  </si>
  <si>
    <t xml:space="preserve">Booking ID: ISXBRKA7673 </t>
  </si>
  <si>
    <t>S/O ANJANI KUMAR, R/o 328, Sector-1/C, Bokaro, Steel City, Bokaro Steel City, Bokaro- Jharkhand- 827001</t>
  </si>
  <si>
    <t>Renewal Booking ID: ISXGRKA7953R1</t>
  </si>
  <si>
    <t>Renewal (R1)</t>
  </si>
  <si>
    <t>renewal Done R2</t>
  </si>
  <si>
    <t>LASIF P</t>
  </si>
  <si>
    <t>HELIEF INDIA</t>
  </si>
  <si>
    <t>S/O UMMER P R/o- VTC: Moorkkanad, PO: Moorkkanad, District: Malappuram, Kerala-679338</t>
  </si>
  <si>
    <t>AVSPL4003D</t>
  </si>
  <si>
    <t>Booking ID: ISXBRKA8005</t>
  </si>
  <si>
    <t>NAVEEN KAPOOR</t>
  </si>
  <si>
    <t>Hexa Trendz Private Limited</t>
  </si>
  <si>
    <t>S/O PREM CHAND KAPOOR, R/o House No 123, Third Floor, Pocket 16, Sector 24 Rohini, Near DDA Park, Rithala, North West Delhi 110085</t>
  </si>
  <si>
    <t>AJPPK1520R</t>
  </si>
  <si>
    <t>Booking ID: ISXGRKA8099</t>
  </si>
  <si>
    <t>PRITHVI SUJAYA SHETTY</t>
  </si>
  <si>
    <t> LEAFWORKS DYNAMICS PRIVATE LIMITED</t>
  </si>
  <si>
    <t>S/O SUJAYA DOGRA SHETTY, Registered Office Address B 209, 312 B HOSAHALLI RD, WEST BY MODERN SPAACES, Sarjapura, Anekal, Bangalore- 562125</t>
  </si>
  <si>
    <t>AAGCL4083R</t>
  </si>
  <si>
    <t>Booking ID: ISXBRKA8107</t>
  </si>
  <si>
    <t>KANNAN</t>
  </si>
  <si>
    <t>VANIGAN SUPERMARTS</t>
  </si>
  <si>
    <t>S/O RAMASAMY, R/o 105/6C-1, KAVITHALAKSHMI NAGAR, Tiruppur, Anuppapalayam, Tamil Nadu, 641652</t>
  </si>
  <si>
    <t>CNCPK6138E,</t>
  </si>
  <si>
    <t>Booking ID: ISXGRKA8162</t>
  </si>
  <si>
    <t>Oct'25 bookings end here for billing</t>
  </si>
  <si>
    <t>S/O AMARESHAPPA SAJJAN, R/o 8/7/687/1, Gandhi Nagar, Koppal, Dist: Koppal Karnataka- 583231,</t>
  </si>
  <si>
    <t>Koppal</t>
  </si>
  <si>
    <t>Booking ID:ISXBRKA8167R1</t>
  </si>
  <si>
    <t>Usha Sharma</t>
  </si>
  <si>
    <t>Monkey Mice Tour Solutions Private Limited</t>
  </si>
  <si>
    <t>D/o Rameshwar Das Sharma and Shyambati c/o Rajaram Bhati, R/o B5 pandav nagar opp mother dairy plant Patparganj road delhi 110092</t>
  </si>
  <si>
    <t>9953684599 and 9810605352</t>
  </si>
  <si>
    <t>AASCM1603L</t>
  </si>
  <si>
    <t>Booking ID: ISXGRKA8339</t>
  </si>
  <si>
    <t>K J PRAKASH RAO</t>
  </si>
  <si>
    <t>Prakash Enterprises</t>
  </si>
  <si>
    <t>S/O KARSUDI HARI PRAKASH RAO, R/o B BLOCK FLAT NO. 405 JAMUNA SHREE APARTMENT, KUMAR CHOWK JUGSALAI, GHORA CHOWK, JUGSALAI, Jugsalai, East Singhbhum, Jharkhand, 831006</t>
  </si>
  <si>
    <t>ATQPR7515J</t>
  </si>
  <si>
    <t xml:space="preserve">Booking ID: ISXVSGRKA1216 </t>
  </si>
  <si>
    <t>Rahul Chawla</t>
  </si>
  <si>
    <t>Kraftel Tradehub LLP</t>
  </si>
  <si>
    <t>S/O Vinod Chawla, R/o Floor No .: 3rd Floor Building No./Flat No .: B/350 Name Of Premises/Building: 0 Road/Street: Dwarka Locality/Sub Locality: Sector 19 Dwarka City/Town/Village: New Delhi District: South West Delhi State: Delhi PIN Code: 110075</t>
  </si>
  <si>
    <t>ABEFK4820F</t>
  </si>
  <si>
    <t>Booking ID: ISXGRKA8411</t>
  </si>
  <si>
    <t>Renewal Booking ID: ISXGRKA8351R1</t>
  </si>
  <si>
    <t>Rahul Sivagnanam</t>
  </si>
  <si>
    <t>RAHUL SLVAGNANAM</t>
  </si>
  <si>
    <t>S/O V Sivagnanam , R/o NO 10 M AM TOWERS,VISHWAPANANAYAKANPETTAI, PUTHUR, Tiruchirappalli, PO: Tennur, DIST: Tiruchirappalli, Tamil Nadu - 620017</t>
  </si>
  <si>
    <t>CGHPR9975G</t>
  </si>
  <si>
    <t>TamilNadu</t>
  </si>
  <si>
    <t>Booking ID:  ISXGRKA8464</t>
  </si>
  <si>
    <t>Krishna Tamaliya Vora</t>
  </si>
  <si>
    <t>PEARL PALASH PRIVATE LIMITED</t>
  </si>
  <si>
    <t>S/O N R Tamaliya, R/o 1801, 18th Floor Tower - I,Casa Grande, Tulsi Pipe Road, Lower Parel, Delisle Road, Mumbai City, Maharashtra - 400013</t>
  </si>
  <si>
    <t>AFHPT4621C</t>
  </si>
  <si>
    <t>Booking ID: ISXGRKA8312</t>
  </si>
  <si>
    <t>ANURAG CHHABRA</t>
  </si>
  <si>
    <t>SUPRLIFE VENTURES PRIVATE LIMITED</t>
  </si>
  <si>
    <t>S/O MANOJ CHHABRA, Registered Office Address at Plot No. 417, Udyog Vihar, DLF Ph-II, DIf Ph-ii, Gurgaon- 122008, Haryana</t>
  </si>
  <si>
    <t>ABOCS7029P</t>
  </si>
  <si>
    <t>Booking ID: ISXOTGRKA1226</t>
  </si>
  <si>
    <t>ROOTALE VENTURES LLP</t>
  </si>
  <si>
    <t>S/O HASSAN KP, R/o /155A ROOTALE COMPLEX Neeruttikkal Kuzhimanna PO Malappuram DT Kerala PIN 673641</t>
  </si>
  <si>
    <t>AMAPHB551M</t>
  </si>
  <si>
    <t>Booking id ISXGRKA8452</t>
  </si>
  <si>
    <t>Kuldeep Singh</t>
  </si>
  <si>
    <t>KRISHNA COURIERS AND CARGO</t>
  </si>
  <si>
    <t>S/O Sehdev Singh, R/o 190/1, Khanpur Kalan (56), PO: Kanyagurukul Khanpur, DIST: Sonipat, Haryana - 131305</t>
  </si>
  <si>
    <t>AZXPM1452C</t>
  </si>
  <si>
    <t>+91 9717508542 | +91 729 2020 900</t>
  </si>
  <si>
    <t>Booking ID: ISXGRKA8621</t>
  </si>
  <si>
    <t>Randhir roy</t>
  </si>
  <si>
    <t>ROY &amp; ROY DIGITAL SOLUTIONS PVT LTD</t>
  </si>
  <si>
    <t>S/O RANJIT ROY Registered office at A 2003,RNA NG ECLAT, Millat Nagar,Andheri West Mumbai 400058</t>
  </si>
  <si>
    <t>AALCR9542C</t>
  </si>
  <si>
    <t>Booking ID: ISXBRKA7068R1 </t>
  </si>
  <si>
    <t>BHOJRAJ HEMRAJ TELI</t>
  </si>
  <si>
    <t xml:space="preserve"> HYT ENGINEERING COMPANY PRIVATE LIMITED</t>
  </si>
  <si>
    <t>S/o HEMRAJ
YADAV TELI, Regd/o Plot No. 29/10, 29/10/1, 29/10/2, D-2 Block, MIDC, Chinchwad, Pune- 411019</t>
  </si>
  <si>
    <t>AAACH5158H</t>
  </si>
  <si>
    <t>Pune</t>
  </si>
  <si>
    <t>Dedicated desk plan (D D P)</t>
  </si>
  <si>
    <t>Booking ID: ISXDDKA8650</t>
  </si>
  <si>
    <t>Wang Shih Ming</t>
  </si>
  <si>
    <t>ARTELION SMART MATERIALS PRIVATE LIMITED</t>
  </si>
  <si>
    <t>S/O Wang, Chao Ching, R/o 4 F., No. 886, Xingfu Rd., Xinzhuang Dist., New Taipei City 242023</t>
  </si>
  <si>
    <t xml:space="preserve">Booking ID: ISXOTDDKA1243 </t>
  </si>
  <si>
    <t>Dedictaed desk no.  AC_015</t>
  </si>
  <si>
    <t>Kiran G A</t>
  </si>
  <si>
    <t>S/O ANNAPPACHAR, R/o G R, 257, h p F638. gas office road, shardha colony, Basaveshwaranagar, Bangalore North, Basaveshwaranagar, Bangalore, Karnataka, 560079</t>
  </si>
  <si>
    <t>BFCPG2178D</t>
  </si>
  <si>
    <t xml:space="preserve">Booking ID: ISXVSGRKA1238 </t>
  </si>
  <si>
    <t>CHETAN RAHUL MAHORE</t>
  </si>
  <si>
    <t>MiniPals</t>
  </si>
  <si>
    <t>S/O RAHUL DAYARAM MAHORE, R/o Flat No 102, Avighna Krupa, Nandivali Cross Road, Behind The Nest, Gandhi Nagar, VTC: Dombivli, PO: Tilaknagar, District: Thane, State: Maharashtra, PIN Code: 421201</t>
  </si>
  <si>
    <t>CKQPM4953C</t>
  </si>
  <si>
    <t xml:space="preserve">Booking ID: ISXVSGRKA1223 </t>
  </si>
  <si>
    <t>SIDDHARTH CHAND THAKUR</t>
  </si>
  <si>
    <t>WINNI PET CARE</t>
  </si>
  <si>
    <t>S/O MOHAN CHAND, R/o Floor No .: NA Building No./Flat No .: House No. 7/5 Name Of Premises/Building: NA Road/Street: Kalayani View Nearby Landmark: Near News Print Locality/Sub Locality: Rudrapur City/Town/Village: Rudrapur District: Udham Singh Nagar State: Uttarakhand PIN Code: 263153</t>
  </si>
  <si>
    <t>AAFFW0319P</t>
  </si>
  <si>
    <t>Booking ID: ISXGRKA8606</t>
  </si>
  <si>
    <t>Renewal Booking ID: ISXGRKA8720R1</t>
  </si>
  <si>
    <t>BONAM NIKHIL BABU</t>
  </si>
  <si>
    <t>Bonam Royal Craftings</t>
  </si>
  <si>
    <t>S/O BONAM RAJENDRA PRASAD, R/o 1-158, G I C colleney, penukonda, penukonda, Penukonda, Anantapur, Andhra Pradesh - 515110,</t>
  </si>
  <si>
    <t>CBYPB8788F</t>
  </si>
  <si>
    <t>Andra Pradesh</t>
  </si>
  <si>
    <t xml:space="preserve">Booking ID: ISXVSGRKA1239 </t>
  </si>
  <si>
    <t xml:space="preserve"> Narayan Ramamoorthy</t>
  </si>
  <si>
    <t>S/O Ramamoorthy Devraj Residence address at #C-704, UKN Esperanza Varthur
Whitefield Road Thubarahalli Whitefield Bangalore South Bangalore Karnataka – 560066</t>
  </si>
  <si>
    <t>AADCW6509L</t>
  </si>
  <si>
    <t>Booking ID: ISXGRKA8772R2</t>
  </si>
  <si>
    <t>29AADCW6509L1ZS</t>
  </si>
  <si>
    <t>Renewal Booking ID: ISXGRKA8767R1</t>
  </si>
  <si>
    <t>Renewal Booking ID: ISXGRKA8721R1</t>
  </si>
  <si>
    <t>Praveen Jayasekar</t>
  </si>
  <si>
    <t>Success Gyan India Llp</t>
  </si>
  <si>
    <t>Regd/o Flat No:No 24,old No.30, Block Sector:/Location-T.nagar, Road:Bhagirathi Ammal Street, Chennai, Tamil nadu, 600017</t>
  </si>
  <si>
    <t>ADXFS7805B</t>
  </si>
  <si>
    <t>Booking ID: ISXGRKA8321 </t>
  </si>
  <si>
    <t>Renewal Booking ID: ISXGRKA8783R1</t>
  </si>
  <si>
    <t xml:space="preserve"> DEEPAK AGARWAL</t>
  </si>
  <si>
    <t>Deepam</t>
  </si>
  <si>
    <t>S/O ANJANI AGARWAL, R/o 215, Vardhman Nagar Badarwas, Ajmer Road, VTC: New Sanganer Road, PO: Shyam Nagar, District: Jaipur, State: Rajasthan, PIN Code: 302019</t>
  </si>
  <si>
    <t>BMQPA0748A</t>
  </si>
  <si>
    <t>Booking ID: ISXGRKA8785</t>
  </si>
  <si>
    <t>Muhammed nizar T R</t>
  </si>
  <si>
    <t>Addlux</t>
  </si>
  <si>
    <t>S/O Razak, R/o THACHARAYI PALLATH, ADHOOR. VELLARAKKAD. Eyyal, Thrissur, Kerala - 680584</t>
  </si>
  <si>
    <t>GINPR4621D</t>
  </si>
  <si>
    <t>Booking ID: ISXGRKA8228</t>
  </si>
  <si>
    <t>GOVIND SINGH YADAV</t>
  </si>
  <si>
    <t>PINNACLE ADVISORS</t>
  </si>
  <si>
    <t>S/O Devender Singh Yadav , R/o Village-kapriwas, Kapariwas(290), Rewari,
Haryana - 123110</t>
  </si>
  <si>
    <t>Booking ID: ISXGRKA8327</t>
  </si>
  <si>
    <t>THEBROL</t>
  </si>
  <si>
    <t>VN CNC TECH INDIA</t>
  </si>
  <si>
    <t>D/o PRABHU S , R/o D-17/1, 14th Cross, New Bagaluru Layout, Bangalore North, PO: St. Thomas Town, DIST: Bangalare, Kamataka - 560084,</t>
  </si>
  <si>
    <t>CUKPT7999H</t>
  </si>
  <si>
    <t>Booking ID: ISXGRKA8587</t>
  </si>
  <si>
    <t>Renewal Booking ID: ISXGRKA8866R1</t>
  </si>
  <si>
    <t>Nov Bookings End Here</t>
  </si>
  <si>
    <t>POOJA BHAGERIA</t>
  </si>
  <si>
    <t>A AND M TEXTILES</t>
  </si>
  <si>
    <t>S/O PAWAN AGARWAL, R/o A/604, opera house, near Agrasen bhavan, city light Road, Surat City, Surat, Gujarat - 395007</t>
  </si>
  <si>
    <t>ACCFA0174B</t>
  </si>
  <si>
    <t>Surat</t>
  </si>
  <si>
    <t>13-12-2025</t>
  </si>
  <si>
    <t xml:space="preserve">Booking ID: ISXBRKA9008 </t>
  </si>
  <si>
    <t>Abhijith Castelino</t>
  </si>
  <si>
    <t>SWIGGY INSTAMART PRIVATE LIMITED</t>
  </si>
  <si>
    <t>No.55 Sy No.8-14, Ground Floor, I &amp;amp;J Block, Embassy Tech Village, Outer Ring Road, Devarbisanahalli, Bengaluru-560103</t>
  </si>
  <si>
    <t>ABRCS3170L</t>
  </si>
  <si>
    <t>Shared DEsk Plan (S D P)</t>
  </si>
  <si>
    <t>Booking ID: ISXSDKA9211</t>
  </si>
  <si>
    <t>Company Nam: ABRCS3170L</t>
  </si>
  <si>
    <t>AMAN</t>
  </si>
  <si>
    <t>ELEWINZA</t>
  </si>
  <si>
    <t>S/O Rajender Kumar R/o Post Office dohag Tehsil Joginder Nagar, Yora (74), Dohag, Mandi, Himachal Pradesh, 176120</t>
  </si>
  <si>
    <t>BUHPA2474A</t>
  </si>
  <si>
    <t>Himachal pradesh</t>
  </si>
  <si>
    <t>Booking ID: ISXGRKA9294</t>
  </si>
  <si>
    <t>Devindra Anand Pandit</t>
  </si>
  <si>
    <t>DCP Consultancy Services</t>
  </si>
  <si>
    <t>S/O ANANDRAO, R/o #267 ..Sapthagiri Layout,, Opp I S I, Muthuraya Nagar, Bangalore South, Bangalore, Karnataka, 560059</t>
  </si>
  <si>
    <t>ATQPP0071K</t>
  </si>
  <si>
    <t xml:space="preserve">Booking ID: ISXVSGRKA1279 </t>
  </si>
  <si>
    <t>Sumaiya Siddiqa</t>
  </si>
  <si>
    <t>Moon Atelier</t>
  </si>
  <si>
    <t>D/o Syed Akram Pasha, R/o No. 1109, 15th Cross, 1st Stage, 1st Phase, Near Siddaganga School, Chandra Layout, VTC: Nagarabhavi DO: Nagarabhavi Sub-District: Bangalore North District: Bengaluru State: Karnataka PIN: 560072</t>
  </si>
  <si>
    <t>GUMPS5635H</t>
  </si>
  <si>
    <t>Booking ID: ISXGRKA8929</t>
  </si>
  <si>
    <t xml:space="preserve"> DEEPIKA ABHINAV UPADHYAY </t>
  </si>
  <si>
    <t>PERFECT HARMONY PRODUCTIONS PRIVATE LIMITED</t>
  </si>
  <si>
    <t>D/O PRAKASH KRISHNARAO
KOLHEKAR Regd./O A-7/27, VAIJAYANTI, SUNDER NAGAR, SANTACRUZ, EAST, Mumbai, Suburban, Maharashtra, 400098</t>
  </si>
  <si>
    <t>AADCP9664R</t>
  </si>
  <si>
    <t>Booking ID:	ISXGRKA9301</t>
  </si>
  <si>
    <t>Jegadeesh Jayanthilal</t>
  </si>
  <si>
    <t>JKS Consultancy Services</t>
  </si>
  <si>
    <t>S/O Jayanthilal Rajaram, R/o D1-1208, SNN Raj Serenity Apartments, Begur Koppa Main Road, SNN Raj Serenity Apartments, Yelenahalli, VTC: Yelenahalli, PO: Bommanahalli, District: Bengaluru, State: Karnataka, PIN Code: 560068</t>
  </si>
  <si>
    <t>AIQPJ4024P</t>
  </si>
  <si>
    <t xml:space="preserve">Booking ID: ISXVSGRKA1280 </t>
  </si>
  <si>
    <t>ANKIT AGGARWAL</t>
  </si>
  <si>
    <t>BISTRO 57 FOODS &amp; BEVERAGES PRIVATE LIMITED</t>
  </si>
  <si>
    <t>S/O KEWAL KRISHAN AGGARWAL, Registered Office Address at House No. 5258, 02nd Floor,Kolahpur Road Landmark near Shrimati Saries Subzi Mand,NA,NEW DELHI, North Delhi- 110007, Delhi, India</t>
  </si>
  <si>
    <t>AAMCM0116G</t>
  </si>
  <si>
    <t xml:space="preserve">Booking ID: ISXOTGRKA1294 </t>
  </si>
  <si>
    <t>Booking ID:	ISXGRKA8978R1</t>
  </si>
  <si>
    <t>DHRUV AGARWAL</t>
  </si>
  <si>
    <t>Hager Stone International Private Limited</t>
  </si>
  <si>
    <t>S/o RAJIV AGARWAL, R/o B-16, Satyawati Colony, Ashok Vihar, Phase-3 North West Delhi, Delhi, 110087</t>
  </si>
  <si>
    <t>AAECH3768B</t>
  </si>
  <si>
    <t>Booking ID: ISXGRKA9340</t>
  </si>
  <si>
    <t>Abhaykumar Handigund</t>
  </si>
  <si>
    <t>Vishalaamruta enterprises</t>
  </si>
  <si>
    <t>S/O Parappa, R/o No. F 3 on the first floor situated at Anjanadri SAS bearing BBMP No. 62/6/8, Begur Main Road, Vivekanadanagar, Bommanahalli, Bangalore – 560068</t>
  </si>
  <si>
    <t>ALJPH5765K</t>
  </si>
  <si>
    <t xml:space="preserve">Booking ID: ISXOTGRKA1276 </t>
  </si>
  <si>
    <t xml:space="preserve">
Current Year Booking ID: ISXBRKA7773R1	</t>
  </si>
  <si>
    <t>Shiva sureka</t>
  </si>
  <si>
    <t>Once Upon India LLP</t>
  </si>
  <si>
    <t>S/O Suresh kumar sureka , Registered office at C-21, First Floor, Sector 6, Noida, Gautam Buddha Nagar, Noida, Uttar Pradesh, India, 201301</t>
  </si>
  <si>
    <t>AAJFO8895J</t>
  </si>
  <si>
    <t>Booking ID: ISXGRKA9328</t>
  </si>
  <si>
    <t>ICEMAX UNIVERSAL PRIVATE LIMITED</t>
  </si>
  <si>
    <t>, S/O Paras Kumar Bansal, Redge. Off. At 3rd Floor, 311-312 , Manglam Paradise, Rohini, Sector 3, Plot No 8, Manglam Place, North West Delhi, Delhi - 110085</t>
  </si>
  <si>
    <t xml:space="preserve">Raghav Bansal, </t>
  </si>
  <si>
    <t>18-12-2025</t>
  </si>
  <si>
    <t>17-11-2026</t>
  </si>
  <si>
    <t>Booking ID: ISXGRKA9374</t>
  </si>
  <si>
    <t>19-12-2025</t>
  </si>
  <si>
    <t>18-11-2026</t>
  </si>
  <si>
    <t>Current Year Booking ID:	ISXGRKA9673R1
Previous Year Booking ID:	ISX202413197KA6838GR</t>
  </si>
  <si>
    <t>CELESTIALTROVE ENTERPRISES</t>
  </si>
  <si>
    <t>24-12-2025</t>
  </si>
  <si>
    <t>23-11-2026</t>
  </si>
  <si>
    <t>Current Year Booking ID:	ISXBRKA9708R1
Previous Year Booking ID:	ISX202412406KA5083BR</t>
  </si>
  <si>
    <t xml:space="preserve">	Joythi Daarole</t>
  </si>
  <si>
    <t xml:space="preserve">	TRAVOLIER PAY INDIA PRIVATE LIMITED</t>
  </si>
  <si>
    <t>28-12-25</t>
  </si>
  <si>
    <t>27-11-26</t>
  </si>
  <si>
    <t>Kulcou (OPC) Private Ltd.</t>
  </si>
  <si>
    <t>30-12-2025</t>
  </si>
  <si>
    <t>29-11-2026</t>
  </si>
  <si>
    <t>Booking ID: ISXVSGRKA1292</t>
  </si>
  <si>
    <t>December Booking END Here</t>
  </si>
  <si>
    <t>Pavan Kumar Reddy Molakala</t>
  </si>
  <si>
    <t>CUREOYNX PHARMA PRIVATE LIMITED</t>
  </si>
  <si>
    <t xml:space="preserve">
Current Year Booking ID: ISXBRKA9563R1	
Previous Year Booking ID: ISX202413165KA6762BR</t>
  </si>
  <si>
    <t xml:space="preserve">KRISHAN AGARWAL	</t>
  </si>
  <si>
    <t>NIRMIT BHARAT</t>
  </si>
  <si>
    <t>Booking ID: ISXGRKA9122</t>
  </si>
  <si>
    <t>Xyberah Technologies Pvt Ltd</t>
  </si>
  <si>
    <t>Booking ID: ISXVSGRKA1329</t>
  </si>
  <si>
    <t> </t>
  </si>
  <si>
    <t> Current Year Booking ID: ISXGRKA10039R2	
Previous Year Booking ID: ISX202513424KA7338GRR1</t>
  </si>
  <si>
    <t>AR KIDS LLP</t>
  </si>
  <si>
    <t xml:space="preserve">Booking ID: ISXGRKA10002
</t>
  </si>
  <si>
    <t xml:space="preserve">	SACHIN MEHRA</t>
  </si>
  <si>
    <t xml:space="preserve">	FREIGHT FORCE PRIVATE LIMITED </t>
  </si>
  <si>
    <t>S/O RAM KRISHAN MEHRA, Regd. Off. 10TH, 1002-1003 V, KANCHANJUNGA ROAD, 18, BARAKHAMABA ROAD, NEW DELHI, DELHI,11001</t>
  </si>
  <si>
    <t>Current Year Booking ID:	ISXGRKA10179R1
Previous Year Booking ID:	ISX202513597KA7752GR</t>
  </si>
  <si>
    <t>Priyanka Agarwal</t>
  </si>
  <si>
    <t>P INSPIRATION</t>
  </si>
  <si>
    <t>Booking ID: ISXGRKA10008</t>
  </si>
  <si>
    <t xml:space="preserve">	Partner Soniya
Karande</t>
  </si>
  <si>
    <t xml:space="preserve">	Velthic Foods LLP</t>
  </si>
  <si>
    <t xml:space="preserve">
Current Year Booking ID:	ISXGRKA10164R1
Previous Year Booking ID:	ISX202513775KA8186GR</t>
  </si>
  <si>
    <t xml:space="preserve"> Orion Solren Pvt Ltd </t>
  </si>
  <si>
    <t>26-02-2026</t>
  </si>
  <si>
    <t>25-01-2027</t>
  </si>
  <si>
    <t> Current Year Booking ID:	ISXGRKA10191R1
Previous Year Booking ID:	ISX202514174KA9312GR</t>
  </si>
  <si>
    <t xml:space="preserve">	Divya Kumar Gupta</t>
  </si>
  <si>
    <t xml:space="preserve">	Illuminate Hybren Pvt Ltd </t>
  </si>
  <si>
    <t xml:space="preserve">
Current Year Booking ID:	ISXGRKA10193R1
Previous Year Booking ID:	ISX202513689KA7984GR</t>
  </si>
  <si>
    <t xml:space="preserve">	JADE HYBREN PRIVATE LIMITED </t>
  </si>
  <si>
    <t xml:space="preserve">
Current Year Booking ID:	ISXGRKA10195R1
Previous Year Booking ID:	ISX202513688KA7985GR</t>
  </si>
  <si>
    <t>Priyanka Bharti</t>
  </si>
  <si>
    <t>VGR INDIA OFFICIAL PVT LTD</t>
  </si>
  <si>
    <t>28-12-2025</t>
  </si>
  <si>
    <t>27-11-2026</t>
  </si>
  <si>
    <t xml:space="preserve">
Current Year Booking ID: ISXGRKA10200R1	
Previous Year Booking ID: ISX202513653KA7851GR</t>
  </si>
  <si>
    <t>Mr. Vardhman Soni,</t>
  </si>
  <si>
    <t xml:space="preserve">M/s Katyayani Organics </t>
  </si>
  <si>
    <t xml:space="preserve">S/O Mr. Atul Soni, R/o Building No./Flat No .: HIG 460 E7 Extension Road/Street: Arera Colony
City/Town/Village: Bhopal District: Bhopal State: Madhya Pradesh PIN Code: 462016,
</t>
  </si>
  <si>
    <t xml:space="preserve">JYOPS2031C, </t>
  </si>
  <si>
    <t>Booking ID ISXGRKA8823</t>
  </si>
  <si>
    <t>PLACE STUDIOS</t>
  </si>
  <si>
    <t>Booking ID:  ISXGRKA10133</t>
  </si>
  <si>
    <t>Akhand Swaroop</t>
  </si>
  <si>
    <t xml:space="preserve">Growfitz Kiwi Foods Private Limited </t>
  </si>
  <si>
    <t xml:space="preserve">
Current Year Booking ID: ISXGRKA10272R1	
Previous Year Booking ID: ISX202513683KA7971GR</t>
  </si>
  <si>
    <t>CLM Tech India Pvt. Ltd</t>
  </si>
  <si>
    <t>15-01-2026</t>
  </si>
  <si>
    <t>14-12-2026</t>
  </si>
  <si>
    <t>Booking ID: ISXVSGRKA1336</t>
  </si>
  <si>
    <t>Software Solutions</t>
  </si>
  <si>
    <t>17-01-2026</t>
  </si>
  <si>
    <t>16-01-2026</t>
  </si>
  <si>
    <t>Booking ID:  ISXVSGRKA1286</t>
  </si>
  <si>
    <t xml:space="preserve">USHA SHRINIVASMURTY VADAIR
</t>
  </si>
  <si>
    <t>Ashok Kumar</t>
  </si>
  <si>
    <t xml:space="preserve">
9319775809</t>
  </si>
  <si>
    <t>25-01-2026</t>
  </si>
  <si>
    <t>24-12-2026</t>
  </si>
  <si>
    <t>Current Year Booking ID:
ISXDDKA10347R1
Previous Year Booking ID:
ISX202410739KA7784DDSK</t>
  </si>
  <si>
    <t>Current Year Booking ID:
ISXGRKA10568R1
Previous Year Booking ID:
ISX202514099KA9036GR</t>
  </si>
  <si>
    <t>27-01-2026</t>
  </si>
  <si>
    <t>26-12-2026</t>
  </si>
  <si>
    <t>Current Year Booking ID:
ISXGRKA10565R1
Previous Year Booking ID:
ISX202212062KA8755GR</t>
  </si>
  <si>
    <t>Shivji Singla and Sons(ssandsons)</t>
  </si>
  <si>
    <t>Current Year Booking ID:
ISXGRKA10469R1
Previous Year Booking ID:
ISX202514056KA8944GR</t>
  </si>
  <si>
    <t xml:space="preserve"> FLEETX TECHNOLOGIES PRIVATE LIMITED</t>
  </si>
  <si>
    <t xml:space="preserve">Booking ID: ISXGRKA10045 </t>
  </si>
  <si>
    <t xml:space="preserve">
CA Lakshmi</t>
  </si>
  <si>
    <t xml:space="preserve">
EZHIL ENTERPRISES</t>
  </si>
  <si>
    <t>28-12-2026</t>
  </si>
  <si>
    <t>Booking ID:
ISXOTGRKA1317</t>
  </si>
  <si>
    <t xml:space="preserve">
Procyon Star Pvt Ltd</t>
  </si>
  <si>
    <t>30-01-2026</t>
  </si>
  <si>
    <t>29-12-2026</t>
  </si>
  <si>
    <t xml:space="preserve">
ISXGRKA10674</t>
  </si>
  <si>
    <t xml:space="preserve">
Arindam Sarkar</t>
  </si>
  <si>
    <t xml:space="preserve">
Neelovokz Private limited</t>
  </si>
  <si>
    <t>30-12-2026</t>
  </si>
  <si>
    <t>Booking ID:
ISXBRKA10659</t>
  </si>
  <si>
    <t xml:space="preserve">
Gokuladivya K</t>
  </si>
  <si>
    <t>Booking ID:
ISXVSGRKA1407</t>
  </si>
  <si>
    <t>Booking ID:
ISXBRKA10731R1</t>
  </si>
  <si>
    <t xml:space="preserve"> G.NAGARAJAN</t>
  </si>
  <si>
    <t>SKYFALL VOICE COMMUNICATIONS PVT LTD</t>
  </si>
  <si>
    <t>Booking ID ISXGRKA9170</t>
  </si>
  <si>
    <t xml:space="preserve">
Varun sahni</t>
  </si>
  <si>
    <t>Current Year Booking ID:
ISXGRKA10942R1</t>
  </si>
  <si>
    <t>Current Year Booking ID:
ISXBRKA10714R1</t>
  </si>
  <si>
    <t xml:space="preserve">
Mukesh Yadav</t>
  </si>
  <si>
    <t xml:space="preserve">
ZIIOTTO TECHNOLOGIES PRIVATE LIMITED</t>
  </si>
  <si>
    <t>S/O Abhinandan prasad yadav, R/o Barmasia, Katihar, Katihar, Bihar - 854105</t>
  </si>
  <si>
    <t>AQDPK4932C</t>
  </si>
  <si>
    <t>13-02-2026</t>
  </si>
  <si>
    <t>Booking ID:
ISXBRKA7741</t>
  </si>
  <si>
    <t>Current Year Booking ID:
ISXBRKA11043R1</t>
  </si>
  <si>
    <t>21-02-2026</t>
  </si>
  <si>
    <t>20-01-2027</t>
  </si>
  <si>
    <t>Current Year Booking ID:
ISXGRKA11148R1</t>
  </si>
  <si>
    <r>
      <t>Virtual Office Operations Team  </t>
    </r>
    <r>
      <rPr>
        <sz val="12"/>
        <color rgb="FF000000"/>
        <rFont val="Arial"/>
        <family val="2"/>
      </rPr>
      <t> </t>
    </r>
  </si>
  <si>
    <t>18-12-2027</t>
  </si>
  <si>
    <t>Current Year Booking ID:
ISXGRKA10641R1</t>
  </si>
  <si>
    <t>19-11-2026</t>
  </si>
  <si>
    <t>Current Year Booking ID:
ISXGRKA11196R1</t>
  </si>
  <si>
    <t xml:space="preserve">
ASHOK MEHRA RAVI PRABHAKAR SHETTY DESIGNATED PARTNER</t>
  </si>
  <si>
    <t xml:space="preserve">
MEDIPEER SKILLS LLP</t>
  </si>
  <si>
    <t>16-01-2027</t>
  </si>
  <si>
    <t>Booking ID:
ISXGRKA10892</t>
  </si>
  <si>
    <t xml:space="preserve">
Aakash Gulati</t>
  </si>
  <si>
    <t xml:space="preserve">
Logic Etail Pvt Ltd</t>
  </si>
  <si>
    <t>19-02-2026</t>
  </si>
  <si>
    <t>18-01-2027</t>
  </si>
  <si>
    <t>Booking ID:
ISXGRKA11339</t>
  </si>
  <si>
    <t xml:space="preserve">
Poonam</t>
  </si>
  <si>
    <t xml:space="preserve">
Najeeb Kunil</t>
  </si>
  <si>
    <t>20-02-2026</t>
  </si>
  <si>
    <t>19-01-2027</t>
  </si>
  <si>
    <t>Booking ID:
ISXGRKA11062</t>
  </si>
  <si>
    <t>24-02-2026</t>
  </si>
  <si>
    <t>Current Year Booking ID:
ISXGRKA8451R1</t>
  </si>
  <si>
    <t xml:space="preserve">
NAGARAJAN G</t>
  </si>
  <si>
    <t>LCUBE VOICE TECHNOLOGIES PRIVATE LIMITED</t>
  </si>
  <si>
    <t>23-01-2027</t>
  </si>
  <si>
    <t>Booking ID:
ISXBRKA11496</t>
  </si>
  <si>
    <t xml:space="preserve">
Sangameshwar Sutar,Rajiv Saraff</t>
  </si>
  <si>
    <t xml:space="preserve">
Vasturaj Developers LLP</t>
  </si>
  <si>
    <t>25-02-2026</t>
  </si>
  <si>
    <t>24-01-2027</t>
  </si>
  <si>
    <t>Booking ID:
ISXBRKA11570</t>
  </si>
  <si>
    <t>Current Year Booking ID:
ISXGRKA11476R1</t>
  </si>
  <si>
    <t xml:space="preserve">
Prashant Chandrakant Bolye</t>
  </si>
  <si>
    <t xml:space="preserve">S/O Chandrakant Shankar Bolye Regd. Off. Sy. No.403/1(Old), 120 (New), 3rd Floor, Niharika Jubilee One, Road No.1, Jubilee Hills, Hyderabad, Shaikpet, Telangana, India, 500033 </t>
  </si>
  <si>
    <t xml:space="preserve">AAJCP6978N </t>
  </si>
  <si>
    <t>Booking ID:
ISXGRKA11653</t>
  </si>
  <si>
    <t>ZOUK COMMUNITY CENTERS LLP</t>
  </si>
  <si>
    <t>27-02-2026</t>
  </si>
  <si>
    <t>26-01-2027</t>
  </si>
  <si>
    <t>Booking ID:
ISXGRKA11061</t>
  </si>
  <si>
    <t>Feb'26 Bill Ended Here</t>
  </si>
  <si>
    <t>Ashwani Godeja</t>
  </si>
  <si>
    <t>Prime Nest</t>
  </si>
  <si>
    <t>Booking ID:
ISXGRKA11632</t>
  </si>
  <si>
    <t xml:space="preserve">
MANASHI SENGUPTA</t>
  </si>
  <si>
    <t xml:space="preserve">
ANANYA</t>
  </si>
  <si>
    <t>Booking ID:
ISXVSGRKA1273</t>
  </si>
  <si>
    <t>Krish Corp</t>
  </si>
  <si>
    <t>Booking ID:
ISXGRKA11747</t>
  </si>
  <si>
    <t>10-02-202</t>
  </si>
  <si>
    <t>Current Year Booking ID:
ISXGRKA11947R1</t>
  </si>
  <si>
    <t xml:space="preserve">
Dhirendra Singh</t>
  </si>
  <si>
    <t xml:space="preserve">
Weebo Networks Pvt Ltd</t>
  </si>
  <si>
    <t>Booking ID:
ISXGRKA11673</t>
  </si>
  <si>
    <t>24-01-2026</t>
  </si>
  <si>
    <t>23-12-2026</t>
  </si>
  <si>
    <t>Current Year Booking ID:
ISXGRKA10840R1</t>
  </si>
  <si>
    <t>Ketaki Mahendra / 
Gunjan Aneja,</t>
  </si>
  <si>
    <t>Current Year Booking ID:
ISXGRKA12004R1</t>
  </si>
  <si>
    <t>Current Year Booking ID:
ISXGRKA11962R1</t>
  </si>
  <si>
    <t>Current Year Booking ID:
ISXBRKA12157R1</t>
  </si>
  <si>
    <t>Partner Nutan Guleria</t>
  </si>
  <si>
    <t>TRIP TRIBAL LLP (Under Incorporation)</t>
  </si>
  <si>
    <t>D/O Kuldeep guleria , R/o #238, WARD NO.6,
Ropa Colony, Tehsil Sarkaghat,
Sarkaghat(T), PO: Sarkaghat, DIST: Mandi,
Himachal Pradesh - 175024</t>
  </si>
  <si>
    <t>BJNPG0679J</t>
  </si>
  <si>
    <t>18-03-2026</t>
  </si>
  <si>
    <t>17-02-2027</t>
  </si>
  <si>
    <t>Booking ID ISXBRKA12166</t>
  </si>
  <si>
    <t>Ankit Kumar</t>
  </si>
  <si>
    <t xml:space="preserve">Shri Krishna Enterprises
</t>
  </si>
  <si>
    <t xml:space="preserve">Booking ID:
ISXGRKA12212
</t>
  </si>
  <si>
    <t xml:space="preserve">Nimisha Dixit </t>
  </si>
  <si>
    <t>Dog-O-Bow PVT LTD</t>
  </si>
  <si>
    <t>D/O  Pravin Sharad Dixit, Registered office at 51304, PINE BLOCK, INDU FORTUNE FIELDS KUKATPALLY, Hyderabad, Hyderabad, Telangana, India, 500085</t>
  </si>
  <si>
    <t>AAGCD6647K</t>
  </si>
  <si>
    <t>20-03-2026</t>
  </si>
  <si>
    <t>19-02-2027</t>
  </si>
  <si>
    <t xml:space="preserve">Booking ID ISXGRKA9839, </t>
  </si>
  <si>
    <t xml:space="preserve">
Team Rustic Private Limited</t>
  </si>
  <si>
    <t>Current Year Booking ID:
ISXGRKA12075R1</t>
  </si>
  <si>
    <t>17-05-2026</t>
  </si>
  <si>
    <t>16-04-2027</t>
  </si>
  <si>
    <t>Current Year Booking ID:
ISXGRKA10406R1</t>
  </si>
  <si>
    <t xml:space="preserve">
PRADEEP KUMAR RAWAT</t>
  </si>
  <si>
    <t>Cambium Retail Pvt. Ltd</t>
  </si>
  <si>
    <t>24-02-2028</t>
  </si>
  <si>
    <t>Booking ID:
ISXGRKA10007R5</t>
  </si>
  <si>
    <t>Current Year Booking ID:
ISXGRKA12393R1</t>
  </si>
  <si>
    <t xml:space="preserve">
Kumar Abhinav</t>
  </si>
  <si>
    <t xml:space="preserve">
QUANTELIS AI INDIA PRIVATE LIMITED</t>
  </si>
  <si>
    <t>D/O G Vijayakumar, R/o Vigyan, 15 / 67- 3, Elankom Gardens, Vellayambalam Sasthamangalam P O. Thiruvananthapuram, Sasthamangalam,
Thiruvananthapuram Kerala, 695010</t>
  </si>
  <si>
    <t>AICPV1973B</t>
  </si>
  <si>
    <t>26-03-2026</t>
  </si>
  <si>
    <t>25-02-2027</t>
  </si>
  <si>
    <t>Booking ID:ISXBRKA12007</t>
  </si>
  <si>
    <t>23-03-2026</t>
  </si>
  <si>
    <t>22-02-2027</t>
  </si>
  <si>
    <t>Current Year Booking ID:
ISXGRKA12250R1</t>
  </si>
  <si>
    <t>21-03-2026</t>
  </si>
  <si>
    <t>20-02-2027</t>
  </si>
  <si>
    <t>Current Year Booking ID:
ISXGRKA12287R1</t>
  </si>
  <si>
    <t>24-02-2027</t>
  </si>
  <si>
    <t>Current Year Booking ID:
ISXBRKA12309R1</t>
  </si>
  <si>
    <t xml:space="preserve">
Dileep Patel</t>
  </si>
  <si>
    <t>28-03-2026</t>
  </si>
  <si>
    <t>Current Year Booking ID:
ISXGRKA12318R1</t>
  </si>
  <si>
    <t>Current Year Booking ID:
ISXGRKA12153R1</t>
  </si>
  <si>
    <t>Current Year Booking ID:
ISXGRKA12384R1</t>
  </si>
  <si>
    <t>Current Year Booking ID:
ISXBRKA12482R1</t>
  </si>
  <si>
    <t xml:space="preserve">
Quest Hybren Private Limited</t>
  </si>
  <si>
    <t>S/O Krishanraj rajkumar gupta, Registered Office at Mahindra Tower, Pandurang Budhkar Marg, Worli, Mumbai, Mumbai- 400018, Maharashtra</t>
  </si>
  <si>
    <t>AAACQ9997P</t>
  </si>
  <si>
    <t>31-03-2026</t>
  </si>
  <si>
    <t>30-02-2027</t>
  </si>
  <si>
    <t xml:space="preserve"> Booking ID ISXGRKA12233 </t>
  </si>
  <si>
    <t xml:space="preserve">
Pulse Hybren Private Limited</t>
  </si>
  <si>
    <t>AAOCP7124P</t>
  </si>
  <si>
    <t>Booking ID:
ISXGRKA12234</t>
  </si>
  <si>
    <t xml:space="preserve">
Kyros Hybren Private Limited</t>
  </si>
  <si>
    <t>AAKCK6696H</t>
  </si>
  <si>
    <t>Booking ID:
ISXGRKA12235</t>
  </si>
  <si>
    <t>Current Year Booking ID:
ISXGRKA12668R1</t>
  </si>
  <si>
    <t>Current Year Booking ID:
ISXGRKA12492R1</t>
  </si>
  <si>
    <t>Current Year Booking ID:
ISXGRKA12189R1</t>
  </si>
  <si>
    <t>17-12-2025</t>
  </si>
  <si>
    <t>16-11-2026</t>
  </si>
  <si>
    <t>Current Year Booking ID:
ISXGRKA12640R1</t>
  </si>
  <si>
    <t>Current Year Booking ID:
ISXGRKA22053R1</t>
  </si>
  <si>
    <t>PREMARAJ KOOSAPOOJARY</t>
  </si>
  <si>
    <t xml:space="preserve">
Data Communications</t>
  </si>
  <si>
    <t>S/o KOOSA POOJARY, R/o 2-281 BAILADY HOUSE KURIYA, PUTTUR DAKSHINA KANNADA, KARNATAKA 574210</t>
  </si>
  <si>
    <t>GTJPK6750B</t>
  </si>
  <si>
    <t>Booking ID:
ISXBRKA12559R4</t>
  </si>
  <si>
    <t>22-04-2026</t>
  </si>
  <si>
    <t>21-03-2027</t>
  </si>
  <si>
    <t>Current Year Booking ID:
ISXGRKA22067R1</t>
  </si>
  <si>
    <t>Current Year Booking ID:
ISXGRKA22051R1</t>
  </si>
  <si>
    <t>Current Year Booking ID:
ISXGRKA12357R1</t>
  </si>
  <si>
    <t xml:space="preserve">
Neha Jain</t>
  </si>
  <si>
    <t xml:space="preserve">
Tiggy and Bonnet</t>
  </si>
  <si>
    <t>Booking ID:
ISXGRKA12761</t>
  </si>
  <si>
    <t>Current Year Booking ID:
ISXGRKA10135R1</t>
  </si>
  <si>
    <t xml:space="preserve">
Binod Kumar Giri</t>
  </si>
  <si>
    <t>PACKBRIDGE SOLUTIONS LLP</t>
  </si>
  <si>
    <t>S/O RAMESHWAR GIRI, R/o PLOT NO L-35, A- BLOCK, CHANAKYA PALCE UTTAM NAGAR, Uttam Nagar, PO: D.k Mohan Garden, DIST: West Delhi, Delhi - 110059</t>
  </si>
  <si>
    <t>APRPG5420J</t>
  </si>
  <si>
    <t>Booking ID:
ISXBRKA10167</t>
  </si>
  <si>
    <t>13-04-2026</t>
  </si>
  <si>
    <t>Current Year Booking ID:
ISXGRKA22162R3</t>
  </si>
  <si>
    <t>Current Year Booking ID:
ISXBRKA9092R1</t>
  </si>
  <si>
    <t xml:space="preserve">
Zeenath Khan</t>
  </si>
  <si>
    <t xml:space="preserve"> SEPTEMBER TEN ENTERPRISES</t>
  </si>
  <si>
    <t>D/o Mohammad Taqui Khan, R/o 502 Jamuna Amrut Chs, S.v.road, Mtnl, Jogeshwari West, Mumbai, Mumbai, Maharashtra - 400102</t>
  </si>
  <si>
    <t xml:space="preserve">AAFPI0001E </t>
  </si>
  <si>
    <t>Booking ID:
ISXGRKA12757</t>
  </si>
  <si>
    <t>Current Year Booking ID:
ISXGRKA22180R1</t>
  </si>
  <si>
    <t>15-04-2026</t>
  </si>
  <si>
    <t>14-03-2027</t>
  </si>
  <si>
    <t>Current Year Booking ID:
ISXOTGRKA1595R1</t>
  </si>
  <si>
    <t>13-12-2026</t>
  </si>
  <si>
    <t>Current Year Booking ID:
ISXGRKA22253R1</t>
  </si>
  <si>
    <t>Current Year Booking ID:
ISXGRKA12429R1</t>
  </si>
  <si>
    <t>Vikram Natesh D</t>
  </si>
  <si>
    <t xml:space="preserve">NIRAL VORTEX PRIVATE LIMITED (Under Incorporation) </t>
  </si>
  <si>
    <t>S/O Dinakaran, R/o 2/16, MIDDLE STREET, CHETTIYAR STREET, Pottapatti, Madurai, Tamil Nadu - 625103</t>
  </si>
  <si>
    <t>ANIPV9742K,</t>
  </si>
  <si>
    <t>16-04-2026</t>
  </si>
  <si>
    <t>15-03-2027</t>
  </si>
  <si>
    <t>Booking ID:
ISXBRKA12859</t>
  </si>
  <si>
    <t xml:space="preserve">
Samridhi</t>
  </si>
  <si>
    <t>Breatheasy Private Limited</t>
  </si>
  <si>
    <t>21-04-2026</t>
  </si>
  <si>
    <t>20-03-2027</t>
  </si>
  <si>
    <t>Booking ID:
ISXGRKA12861</t>
  </si>
  <si>
    <t>Current Year Booking ID:
ISXGRKA22400R1</t>
  </si>
  <si>
    <t>15-03-2026</t>
  </si>
  <si>
    <t>14-02-2027</t>
  </si>
  <si>
    <t>Current Year Booking ID:
ISXGRKA22409R1</t>
  </si>
  <si>
    <t>Current Year Booking ID:
ISXGRKA22342R1</t>
  </si>
  <si>
    <r>
      <t>AADCU1685R</t>
    </r>
    <r>
      <rPr>
        <sz val="12"/>
        <color theme="1"/>
        <rFont val="Times New Roman"/>
        <family val="1"/>
      </rPr>
      <t xml:space="preserve"> </t>
    </r>
  </si>
  <si>
    <t>Current Year Booking ID:
ISXGRKA10316R1</t>
  </si>
  <si>
    <t>31-02-2027</t>
  </si>
  <si>
    <t>Current Year Booking ID:
ISXGRKA22113R1</t>
  </si>
  <si>
    <t>30-04-2026</t>
  </si>
  <si>
    <t>29-03-2027</t>
  </si>
  <si>
    <t>Current Year Booking ID:
ISXGRKA22461R4</t>
  </si>
  <si>
    <t>Current Year Booking ID:
ISXGRKA22485R1</t>
  </si>
  <si>
    <t>Current Year Booking ID:
ISXBRKA22399R1</t>
  </si>
  <si>
    <t>27-03-2027</t>
  </si>
  <si>
    <t>Current Year Booking ID:
ISXGRKA22196R1</t>
  </si>
  <si>
    <t>Current Year Booking ID:
ISXGRKA22240R1</t>
  </si>
  <si>
    <t>Vasani Hasmukhbhai Dhirubhai</t>
  </si>
  <si>
    <t xml:space="preserve">
SAMANTHA FAB</t>
  </si>
  <si>
    <t>s/o Dhirubhai Vallabhbhai Vasani, R/o Spining Mil Compound,Varachha Road, 71,V-2,Mamtapark Society,Surat City, Surat,Gujarat - 395006</t>
  </si>
  <si>
    <t>AFTFS1757A</t>
  </si>
  <si>
    <t>Booking ID:
ISXVSGRKA1618</t>
  </si>
  <si>
    <t>Current Year Booking ID:
ISXGRKA11848R1</t>
  </si>
  <si>
    <t>April Bills End Here</t>
  </si>
  <si>
    <t>15-02-2027</t>
  </si>
  <si>
    <t>Current Year Booking ID:
ISXGRKA22744R1</t>
  </si>
  <si>
    <t xml:space="preserve">
Aminul Hoque</t>
  </si>
  <si>
    <t>Current Year Booking ID:
ISXGRKA12603R1</t>
  </si>
  <si>
    <t>GST+ Shared Desk</t>
  </si>
  <si>
    <t>11*</t>
  </si>
  <si>
    <t>Current Year Booking ID:
ISXSDKA22778R1</t>
  </si>
  <si>
    <t>16-03-2026</t>
  </si>
  <si>
    <t>Current Year Booking ID:
ISXBRKA22845R1</t>
  </si>
  <si>
    <t>S/O Raghunath Sahai, Regd. Off GROUND FLOOR, G-2, PIONEER PARK PHASE 1, CONDOMINIUM COMPLEX, SECTOR 61, GURUGRAM, HARYANA, 122101</t>
  </si>
  <si>
    <t>ABUPN7957L</t>
  </si>
  <si>
    <t>29-04-2027</t>
  </si>
  <si>
    <t>30-06-2027</t>
  </si>
  <si>
    <t>Booking ID: ISXGRKA12139R1,</t>
  </si>
  <si>
    <t>30-05-2026</t>
  </si>
  <si>
    <t>Current Year Booking ID:
ISXGRKA23071R1</t>
  </si>
  <si>
    <t>25-05-2026</t>
  </si>
  <si>
    <t>24-04-2027</t>
  </si>
  <si>
    <t>9*</t>
  </si>
  <si>
    <t>Current Year Booking ID:
ISXGRKA22945R1</t>
  </si>
  <si>
    <t>13-05-2026</t>
  </si>
  <si>
    <t>Current Year Booking ID:
ISXGRKA23137R1</t>
  </si>
  <si>
    <t>16-05-2026</t>
  </si>
  <si>
    <t>15-04-2027</t>
  </si>
  <si>
    <t>Current Year Booking ID:
ISXBRKA22982R1</t>
  </si>
  <si>
    <t>Current Year Booking ID:
ISXGRKA23218R1</t>
  </si>
  <si>
    <t>22-04-2027</t>
  </si>
  <si>
    <t>Current Year Booking ID:
ISXGRKA23241R1</t>
  </si>
  <si>
    <t>Current Year Booking ID:
ISXGRKA23261R1</t>
  </si>
  <si>
    <t>Current Year Booking ID:
ISXGRKA23104R1</t>
  </si>
  <si>
    <t>Current Year Booking ID:
ISXGRKA23314R1</t>
  </si>
  <si>
    <t>Current Year Booking ID:
ISXGRKA23391R1</t>
  </si>
  <si>
    <t>Current Year Booking ID:
ISXGRKA23478R1</t>
  </si>
  <si>
    <t>Current Year Booking ID:
ISXBRKA23215R1</t>
  </si>
  <si>
    <t>Current Year Booking ID:
ISXBRKA23456R1</t>
  </si>
  <si>
    <t>18-02-2026</t>
  </si>
  <si>
    <t>17-01-2027</t>
  </si>
  <si>
    <t>Current Year Booking ID:
ISXGRKA23085R1</t>
  </si>
  <si>
    <t>5.5*</t>
  </si>
  <si>
    <t>Current Year Booking ID:
ISXGRKA22092R1</t>
  </si>
  <si>
    <t>Current Year Booking ID:
ISXGRKA23558R1</t>
  </si>
  <si>
    <t>Current Year Booking ID:
ISXGRKA22152R1</t>
  </si>
  <si>
    <t>27-04-2026</t>
  </si>
  <si>
    <t>26-03-2027</t>
  </si>
  <si>
    <t>Current Year Booking ID:
ISXBRKA23039R1</t>
  </si>
  <si>
    <t>Current Year Booking ID:
ISXGRKA23464R1</t>
  </si>
  <si>
    <t>29-06-2026</t>
  </si>
  <si>
    <t>28-05-2027</t>
  </si>
  <si>
    <t>Current Year Booking ID:
ISXGRKA23534R1</t>
  </si>
  <si>
    <t>Current Year Booking ID:
ISXGRKA22851R1</t>
  </si>
  <si>
    <t>Current Year Booking ID:
ISXBRKA23528R1</t>
  </si>
  <si>
    <t>24-05-2026</t>
  </si>
  <si>
    <t>23-04-2027</t>
  </si>
  <si>
    <t>Current Year Booking ID:
ISXGRKA22724R1</t>
  </si>
  <si>
    <t>Current Year Booking ID:
ISXGRKA22703R1</t>
  </si>
  <si>
    <t>27-05-2026</t>
  </si>
  <si>
    <t>26-04-2027</t>
  </si>
  <si>
    <t>Current Year Booking ID:
ISXGRKA23547R1</t>
  </si>
  <si>
    <t>Current Year Booking ID:
ISXGRKA23654R1</t>
  </si>
  <si>
    <t>Current Year Booking ID:
ISXGRKA23410R1</t>
  </si>
  <si>
    <t>Current Year Booking ID:
ISXGRKA23650R1</t>
  </si>
  <si>
    <t>30-06-2026</t>
  </si>
  <si>
    <t>29-05-2027</t>
  </si>
  <si>
    <t>Current Year Booking ID:
ISXBRKA23711R1</t>
  </si>
  <si>
    <t>Current Year Booking ID:
ISXGRKA23649R1</t>
  </si>
  <si>
    <t>31-05-2027</t>
  </si>
  <si>
    <t>Current Year Booking ID:
ISXGRKA23885R1</t>
  </si>
  <si>
    <t>Alok Bajoria</t>
  </si>
  <si>
    <t>NurtuRise Advisors LLP</t>
  </si>
  <si>
    <t>S/O-Radheshyam Bajoria, R/oD202, Rohan Jharoka Apartments, Kempapura Village, Yemlur, Bangalore, Karnataka 560037, with PAN Number AEEPB4001L, with mobile number 9900541650 and (2) Ashok Suresh Chandavarkar, S/O Suresh Shripad Chandavarkar, R/o Villa 196 Prestige Lake Side Habitat,Varthur Hobli,, Gunjur, Gunjur, PO:Gunjur, DIST:Bengaluru, Karnataka, 560087</t>
  </si>
  <si>
    <t>AABPC4874B,</t>
  </si>
  <si>
    <t>15-06-2026</t>
  </si>
  <si>
    <t>14-05-2027</t>
  </si>
  <si>
    <t>Current Year Booking ID:
ISXBRKA23808R1</t>
  </si>
  <si>
    <t>Rise bill for old also, previously not raised this bill</t>
  </si>
  <si>
    <t>Current Year Booking ID:
ISXGRKA23453R1</t>
  </si>
  <si>
    <t>Current Year Booking ID:
ISXGRKA23602R1</t>
  </si>
  <si>
    <t>16-06-2026</t>
  </si>
  <si>
    <t>15-05-2027</t>
  </si>
  <si>
    <t>Current Year Booking ID:
ISXGRKA23845R1</t>
  </si>
  <si>
    <t>26-07-2026</t>
  </si>
  <si>
    <t>25-06-2027</t>
  </si>
  <si>
    <t>Current Year Booking ID:
ISXOTGRKA1731R1</t>
  </si>
  <si>
    <t>Current Year Booking ID:
ISXBRKA24118R1</t>
  </si>
  <si>
    <t>16-12-2025</t>
  </si>
  <si>
    <t>15-12-2026</t>
  </si>
  <si>
    <t xml:space="preserve">
Current Year Booking ID:	ISXGRKA10560R1</t>
  </si>
  <si>
    <t>Current Year Booking ID:
ISXGRKA24174R1</t>
  </si>
  <si>
    <t>25-06-2026</t>
  </si>
  <si>
    <t>24-05-2027</t>
  </si>
  <si>
    <t>Current Year Booking ID:
ISXGRKA24220R1</t>
  </si>
  <si>
    <t xml:space="preserve">VIKRAM TONGYA/Vikram Tongya HUF
</t>
  </si>
  <si>
    <t>Current year Booking ID: 
ISXOTGRKA1732R1,</t>
  </si>
  <si>
    <t>Current Year Booking ID:	ISXBRKA12737R1</t>
  </si>
  <si>
    <t>15-02-2026</t>
  </si>
  <si>
    <t>Current Year Booking ID:
ISXGRKA24379R1</t>
  </si>
  <si>
    <t>SUBHASH CHANDRA GUPTA</t>
  </si>
  <si>
    <t>NEXT WORLD HOLIDAYS PRIVATE LIMITED</t>
  </si>
  <si>
    <t xml:space="preserve">S/O Shyam Sunder Gupta Regd. Off. At Unit No TS-26 Seventh Floor Galaxy Blue Sapphire Plaza Plot No C-03 Sector-4 Greater Noida Gautam Buddha Nagar Uttar Pradesh 201306 </t>
  </si>
  <si>
    <t xml:space="preserve">AAJCN0337K </t>
  </si>
  <si>
    <t>Booking ID:
ISXGRKA24452</t>
  </si>
  <si>
    <t>Current Year Booking ID:
ISXGRKA24369R1</t>
  </si>
  <si>
    <t xml:space="preserve">
Pradeesh Lakshmanan</t>
  </si>
  <si>
    <t>Current Year Booking ID:
ISXBRKA24397R1</t>
  </si>
  <si>
    <t xml:space="preserve">
Current Year Booking ID:
ISXGRKA24537R1</t>
  </si>
  <si>
    <t>Current Year Booking ID:
ISXGRKA24507R1</t>
  </si>
  <si>
    <t>19-06-2027</t>
  </si>
  <si>
    <t>Current Year Booking ID:
ISXBRKA24579R4</t>
  </si>
  <si>
    <t>23-07-2026</t>
  </si>
  <si>
    <t>22-06-2027</t>
  </si>
  <si>
    <t>Current Year Booking ID:
ISXGRKA24622R1</t>
  </si>
  <si>
    <t>Current Year Booking ID:
ISXGRKA24630R4</t>
  </si>
  <si>
    <t>HOTSPOT ELECTRONICS</t>
  </si>
  <si>
    <t>16-07-2026</t>
  </si>
  <si>
    <t>15-06-2027</t>
  </si>
  <si>
    <t>Booking ID -  ISXGRKA22830R4</t>
  </si>
  <si>
    <t>28-07-2026</t>
  </si>
  <si>
    <t>27-06-2027</t>
  </si>
  <si>
    <t>Current Year Booking ID:
ISXGRKA24634R1</t>
  </si>
  <si>
    <t>Current Year Booking ID:
ISXGRKA24520R1</t>
  </si>
  <si>
    <t>14-05-2026</t>
  </si>
  <si>
    <t>13-04-2027</t>
  </si>
  <si>
    <t>Current Year Booking ID:
ISXGRKA24080R1</t>
  </si>
  <si>
    <t>Star Enterprises/STAR INTERNATIONAL</t>
  </si>
  <si>
    <t>31-07-2027</t>
  </si>
  <si>
    <t>Current Year Booking ID:
ISXGRKA24704R1</t>
  </si>
  <si>
    <t>Current Year Booking ID:
ISXBRKA24880R1</t>
  </si>
  <si>
    <t>19-06-2026</t>
  </si>
  <si>
    <t>18-05-2027</t>
  </si>
  <si>
    <t>30k</t>
  </si>
  <si>
    <t>Current Year Booking ID:
ISXDDKA24705R1</t>
  </si>
  <si>
    <t>30-05-2027</t>
  </si>
  <si>
    <t>Current Year Booking ID:
ISXGRKA25151R1</t>
  </si>
  <si>
    <t>Current Year Booking ID:
ISXBRKA24759R1</t>
  </si>
  <si>
    <t>Renewal Booking ID: ISXGRKA22973R1,</t>
  </si>
  <si>
    <t>27-04-2027</t>
  </si>
  <si>
    <t>Current Year Booking ID:
ISXGRKA23656R1</t>
  </si>
  <si>
    <t>15-08-2026</t>
  </si>
  <si>
    <t>14-07-2027</t>
  </si>
  <si>
    <t>Current Year Booking ID:
ISXGRKA25523R2</t>
  </si>
  <si>
    <t>Current Year Booking ID:
ISXGRKA25241R1</t>
  </si>
  <si>
    <t>Current Year Booking ID:
ISXBRKA25629R1</t>
  </si>
  <si>
    <t>13-09-2026</t>
  </si>
  <si>
    <t>Current Year Booking ID:
ISXGRKA25781R1</t>
  </si>
  <si>
    <t>23-08-2026</t>
  </si>
  <si>
    <t>22-07-2027</t>
  </si>
  <si>
    <t>Current Year Booking ID:
ISXBRKA25699R2</t>
  </si>
  <si>
    <t>Current Year Booking ID:
ISXGRKA24707R1</t>
  </si>
  <si>
    <t>Current Year Booking ID:
ISXGRKA25726R1</t>
  </si>
  <si>
    <t>Current Year Booking ID:
ISXGRKA24256R1</t>
  </si>
  <si>
    <t>17-09-2026</t>
  </si>
  <si>
    <t>16-08-2027</t>
  </si>
  <si>
    <t>Current Year Booking ID:
ISXGRKA25662R1</t>
  </si>
  <si>
    <t>25-07-2026</t>
  </si>
  <si>
    <t>24-06-2027</t>
  </si>
  <si>
    <t>Current Year Booking ID:
ISXGRKA25266R1</t>
  </si>
  <si>
    <t>Current Year Booking ID:
ISXGRKA25984R1</t>
  </si>
  <si>
    <t>29-09-2026</t>
  </si>
  <si>
    <t>28-08-2027</t>
  </si>
  <si>
    <t>Current Year Booking ID:
ISXGRKA25976R1</t>
  </si>
  <si>
    <t>Current Year Booking ID:
ISXGRKA26147R1</t>
  </si>
  <si>
    <t>Current Year Booking ID:
ISXGRKA25691R1</t>
  </si>
  <si>
    <t>16-09-2026</t>
  </si>
  <si>
    <t>15-08-2027</t>
  </si>
  <si>
    <t>Current Year Booking ID:
ISXGRKA26083R1</t>
  </si>
  <si>
    <t>Current Year Booking ID:
ISXGRKA26138R1</t>
  </si>
  <si>
    <t>Current Year Booking ID:
ISXGRKA25971R1</t>
  </si>
  <si>
    <t>23-09-2026</t>
  </si>
  <si>
    <t>22-08-2027</t>
  </si>
  <si>
    <t>Current Year Booking ID:
ISXGRKA26296R2</t>
  </si>
  <si>
    <t>HELIEF INDIA LLP</t>
  </si>
  <si>
    <t>25-09-2026</t>
  </si>
  <si>
    <t>24-08-2027</t>
  </si>
  <si>
    <t>Current Year Booking ID:
ISXBRKA26481R1</t>
  </si>
  <si>
    <t>18-08-2026</t>
  </si>
  <si>
    <t>17-07-2027</t>
  </si>
  <si>
    <t>Current Year Booking ID:
ISXBRKA25789R1</t>
  </si>
  <si>
    <t>Siddaram Mallangouda Patil</t>
  </si>
  <si>
    <t>S/o Mallangouda Pati, Zalaki Tq- Indi, Zalaki, 
Bijapur Karnataka - 586204</t>
  </si>
  <si>
    <t>99016 10675</t>
  </si>
  <si>
    <t>Booking W-003</t>
  </si>
  <si>
    <t>GST Number</t>
  </si>
  <si>
    <t>Booking id</t>
  </si>
  <si>
    <t>Ms</t>
  </si>
  <si>
    <t>Piyush Priyadarshi</t>
  </si>
  <si>
    <t>SNAPVISA CONSULTANCY SERVICES LLP</t>
  </si>
  <si>
    <t>C/O: Harish Jhamnani, H.I.G-325, Ratanlal nagar, Udyog Nagar, Kanpur Nagar, Uttar Pradesh - 208022</t>
  </si>
  <si>
    <t>EEWPP6941H &amp; 
ALXPJ4204H</t>
  </si>
  <si>
    <t>hello@snapvisa.in</t>
  </si>
  <si>
    <t>INVK-2425-26387</t>
  </si>
  <si>
    <t>Agreement is done</t>
  </si>
  <si>
    <t>Renewal R1  Done</t>
  </si>
  <si>
    <t>VARUN MALIK</t>
  </si>
  <si>
    <t>ENOKI HOSPITALITY PVT LTD</t>
  </si>
  <si>
    <t>Varun Malik S/o Late Shri Narendra Malik, The Belaire Flat No C 103, Tower C, DLF city Phase 5, Gurugram Haryana, Gula Pahari (77), 122003</t>
  </si>
  <si>
    <t>AGOPM2154M</t>
  </si>
  <si>
    <t>accounts@enoki.in</t>
  </si>
  <si>
    <t>INVK-2425-26771</t>
  </si>
  <si>
    <t>Danish Thomas</t>
  </si>
  <si>
    <t>SafeNetX IT solutions</t>
  </si>
  <si>
    <t>96 5B CROSS PART 2
KANAKASHREE LAYOUT
BENGALURU KARNATAKA
560077</t>
  </si>
  <si>
    <t>ADSPT0572F</t>
  </si>
  <si>
    <t xml:space="preserve">
INVK-2425-27565</t>
  </si>
  <si>
    <t>Billing till for Feb</t>
  </si>
  <si>
    <t>CECILIA ROSITA JULIET DSILVA</t>
  </si>
  <si>
    <t>SpringboardPro</t>
  </si>
  <si>
    <t>Cecilia Rosita Julet D Silva D / O : Albert D Silve # 420 4th B Cross OMBR Layout Horamavu Bangalore Karnataka 560043</t>
  </si>
  <si>
    <t>ADRPD7423Q</t>
  </si>
  <si>
    <t>INVK-2425-27718</t>
  </si>
  <si>
    <t>Deepak Gajender</t>
  </si>
  <si>
    <t>yiolet</t>
  </si>
  <si>
    <t>No. 33/2, 2nd Street, Ferns Residency, K Narayanapura, Kothanur Post, Bangalore, Karnataka 560077</t>
  </si>
  <si>
    <t>INVK-2425-29212</t>
  </si>
  <si>
    <t>Ashok Kumar V</t>
  </si>
  <si>
    <t>GS ELECTRONICS</t>
  </si>
  <si>
    <t>No. 285, Raghu Nivas Nilaya, 9th cross, New Baiyappanahalli, Kanakadasa Road, Indiranagar, Bangalore - 560038</t>
  </si>
  <si>
    <t>INVK-2425-29454</t>
  </si>
  <si>
    <t>Ithihas Khasak</t>
  </si>
  <si>
    <t>Social sambar</t>
  </si>
  <si>
    <t>S/O SUGATHAN R PICHINATTU THARAYIL SOUTH WEST THAZHAVA KUTHIRAPANTHY P O KARUNAGAPPALLY THAZHAVA KOLLAM KERALA 690523</t>
  </si>
  <si>
    <t>EJMPK5836F</t>
  </si>
  <si>
    <t>INVK-2425-30649</t>
  </si>
  <si>
    <t>Savreen Kaur</t>
  </si>
  <si>
    <t>Apsraa</t>
  </si>
  <si>
    <t>H.No. 136, Model Colony, Hoshiarpur, 146001, Punjab</t>
  </si>
  <si>
    <t>LMEPK5010P</t>
  </si>
  <si>
    <t>INVK-2425-30493</t>
  </si>
  <si>
    <t>Renewal R1 and R2 Done</t>
  </si>
  <si>
    <t>Veer kumar</t>
  </si>
  <si>
    <t>Mayas concept Studio</t>
  </si>
  <si>
    <t>Ward no. 5, Subhash Road, Mudigere talluk, 577132</t>
  </si>
  <si>
    <t>INVK-2425-32018</t>
  </si>
  <si>
    <t>Billing for March</t>
  </si>
  <si>
    <t>B K Singh</t>
  </si>
  <si>
    <t>Pia Fashions</t>
  </si>
  <si>
    <t>FLAT 414, SUKRITI THE AUSPICIOUS, MAHALAXMI LAYOUT, YESHVANTPUR, BENGALURU - 560086 KA</t>
  </si>
  <si>
    <t>INVK-2425-31604</t>
  </si>
  <si>
    <t>Puja Dutta</t>
  </si>
  <si>
    <t>F305, Bren Paddington, Bellandur, (near Motherhood hospital) 560103</t>
  </si>
  <si>
    <t>INVK-2425-32023</t>
  </si>
  <si>
    <t>M/S ARADHAN VENTURES</t>
  </si>
  <si>
    <t>Sailaja Veggalam</t>
  </si>
  <si>
    <t>S4SOFTWARE SYSTEMS PRIVATE LIMITED</t>
  </si>
  <si>
    <t>A303, Samrudhi homes uplands, Balagere Rd, Devastanagalu, Vartur, Opp Halli Thota, Bangalore, KA-560087</t>
  </si>
  <si>
    <t>INVK-2526-00719</t>
  </si>
  <si>
    <t>Sakshi Bajaj</t>
  </si>
  <si>
    <t>Pink Fabb</t>
  </si>
  <si>
    <t>MA-80, BASEMENT, MOULSARI AVENUE ROAD, DLF PHASE 3</t>
  </si>
  <si>
    <t>INVK-2526-01055</t>
  </si>
  <si>
    <t>Aarushi Ravindra Chawla</t>
  </si>
  <si>
    <t>RA4C FOODS PRIVATE LIMITED</t>
  </si>
  <si>
    <t>2067/35, Row House B-1/5, Dunes Residency, Dunetha, Nani Daman, Daman - 396210</t>
  </si>
  <si>
    <t>Daman</t>
  </si>
  <si>
    <t>INVK-2526-01599</t>
  </si>
  <si>
    <t>Harsharaj U Melanta</t>
  </si>
  <si>
    <t>Ist floor, Ramaiah house 1st line, 3rd cross, Hanumanthnagar, Ramanahalli, Karnataka - 577101</t>
  </si>
  <si>
    <t xml:space="preserve">Karnataka </t>
  </si>
  <si>
    <t>INVK-2526-01701</t>
  </si>
  <si>
    <t xml:space="preserve">	Niharika Gupta</t>
  </si>
  <si>
    <t>B-702 NCC URBAN IVORY HEIGHTS, MARATHAHALLI OUTER RING ROAD, K R PURAM HOBLI, MAHADEVPURA, KARNATAKA-560016</t>
  </si>
  <si>
    <t>INVK-2526-01968</t>
  </si>
  <si>
    <t>Ritesh Billawa</t>
  </si>
  <si>
    <t>ZENITH ROBOTICS PRIVATE LIMITED</t>
  </si>
  <si>
    <t>4-1, 4th Floor, Suryavanshi Apartment (Janardhan) Munireddy Layout, Doddanagamangala, Eelctronic City Phase 2</t>
  </si>
  <si>
    <t>INVK-2526-01971</t>
  </si>
  <si>
    <t>Swarna K P</t>
  </si>
  <si>
    <t>Ruthu Enterprises</t>
  </si>
  <si>
    <t>NO 934, Achyutha , 7th block, 2nd phase , Hoskerehalli, Banashankari 3rd stage , Bangalore -560085</t>
  </si>
  <si>
    <t>INVK-2526-02021</t>
  </si>
  <si>
    <t>Varsha Chauhan</t>
  </si>
  <si>
    <t>BMSCORP TECHNOLOGIES PRIVATE LIMITED</t>
  </si>
  <si>
    <t>V 24A/12 , DLF PHASE-3 , GURGAON -122010</t>
  </si>
  <si>
    <t xml:space="preserve">Gurgaon </t>
  </si>
  <si>
    <t>INVK-2526-01494</t>
  </si>
  <si>
    <t>Jagpreet Singh</t>
  </si>
  <si>
    <t>PIXELSPOT SOLUTIONS PRIVATE LIMITED</t>
  </si>
  <si>
    <t>F 11 Sps enclave, judicial layout, thalaghtapura, off kanakapura road, bangalore 560062</t>
  </si>
  <si>
    <t>INVK-2526-02133</t>
  </si>
  <si>
    <t>Dinesh Kumar Avula</t>
  </si>
  <si>
    <t>DAKDINESH</t>
  </si>
  <si>
    <t>103, sumukha maple grove, akshayanagar, bengaluru 560076</t>
  </si>
  <si>
    <t xml:space="preserve">INVK-2526-02249	</t>
  </si>
  <si>
    <t>.
AMAN GUPTA</t>
  </si>
  <si>
    <t>ALTEZZASYS SYSTEMS PRIVATE LIMITED</t>
  </si>
  <si>
    <t>S/O VIJAY GUPTA TOWER 19-902, PLOT NO. GH 03, SECTOR-100, NOIDA, GAUTAM BUDDHA NAGAR, NOIDA GAUTAM BUDDHA NAGAR UTTAR PRADESH 201304</t>
  </si>
  <si>
    <t xml:space="preserve">INVK-2526-02155	</t>
  </si>
  <si>
    <t>Sabu Joseph</t>
  </si>
  <si>
    <t>B5 301, Ramky One North Apartment, Avalahalli, Doddaballapur Road, Yelahanka, Bangalore 560064</t>
  </si>
  <si>
    <t>INVK-2526-03272</t>
  </si>
  <si>
    <t>Muniraja E</t>
  </si>
  <si>
    <t>Sharvari Infra LLP</t>
  </si>
  <si>
    <t>No. 11/13, 3rd B Cross, Lal Bahadur Nagar, East of NGEF Layout, Kasturi Nagar, Bangalore 560043</t>
  </si>
  <si>
    <t>INVK-2526-03141</t>
  </si>
  <si>
    <t>AKASH GUPTA</t>
  </si>
  <si>
    <t>VITIKA FOODS PRIVATE LIMITED</t>
  </si>
  <si>
    <t>RATU ROAD RANCHI</t>
  </si>
  <si>
    <t>INVK-2526-03244</t>
  </si>
  <si>
    <t>Vijay Gururaj Shurpali</t>
  </si>
  <si>
    <t>Vijay Gururaj Shurpali</t>
  </si>
  <si>
    <t>F-01, 29&amp;30, 3rd Main, 5th Cross, ShardambaNagar, Jalahalli, Bengaluru - 560013</t>
  </si>
  <si>
    <t>INVK-2526-03411</t>
  </si>
  <si>
    <t>Anand Dhodapkar</t>
  </si>
  <si>
    <t>BLOOMIGALE INNOVATIONS PRIVATE LIMITED</t>
  </si>
  <si>
    <t>404, BURLINGTON, HIRANANDANI ESTATE, THANE WEST</t>
  </si>
  <si>
    <t>INVK-2526-01783</t>
  </si>
  <si>
    <t>TWO FORTY FIVE DEGREES COMMUNICATIONS PRIVATE LIMITED</t>
  </si>
  <si>
    <t xml:space="preserve">
1335,Sector 45,Gurgaon Haryana 122003</t>
  </si>
  <si>
    <t>INVK-2526-01988</t>
  </si>
  <si>
    <t>Goldee Udani</t>
  </si>
  <si>
    <t>Feroxa Ventures LLP</t>
  </si>
  <si>
    <t>S1, Salarpuria Haven, 160 6th Cross Road, Defence Colony, Indiranagar, Bangalore - 560038</t>
  </si>
  <si>
    <t>INVK-2526-03710</t>
  </si>
  <si>
    <t>Himalaya Gupta</t>
  </si>
  <si>
    <t>Himadeep Ventures LLP</t>
  </si>
  <si>
    <t>ARS Green Villae No. 310 Phase 2, Sy. No. 105, Sompura, Sarjapur Marathalli Road, Bengaluru 562125</t>
  </si>
  <si>
    <t>INVK-2526-03711</t>
  </si>
  <si>
    <t>Dinakar R</t>
  </si>
  <si>
    <t>RC Ventures</t>
  </si>
  <si>
    <t>C/O V Ramu, No 49, 4th Main Road, Ranganathapura, Bangalore North, Bengaluru. Karnataka - 560079</t>
  </si>
  <si>
    <t xml:space="preserve">INVK-2526-04176	</t>
  </si>
  <si>
    <t>Ravi Raj G</t>
  </si>
  <si>
    <t xml:space="preserve">	SILVERRING VENTURES</t>
  </si>
  <si>
    <t>C/O Ravi Raj G, 15 A, Nandhagokulanagara, Mahadevapura, Nelamangala, Bangalore - 562123</t>
  </si>
  <si>
    <t xml:space="preserve">	INVK-2526-04607</t>
  </si>
  <si>
    <t>Azhar</t>
  </si>
  <si>
    <t>SIDRA FRUITS</t>
  </si>
  <si>
    <t>13A-15/4 Mathina Nagar, Mettupalayam, Coimbatore, Tamil Nadu, 641301</t>
  </si>
  <si>
    <t>INVK-2526-03879</t>
  </si>
  <si>
    <t>SRINATH SRINIVASAN</t>
  </si>
  <si>
    <t>NaviraAI</t>
  </si>
  <si>
    <t>Unit 28C, Habitat Crest, whitefield main road, Bangalore - 560048</t>
  </si>
  <si>
    <t>INVK-2526-05050</t>
  </si>
  <si>
    <t>P P Len Cariappa</t>
  </si>
  <si>
    <t>Capfluent Pvt Ltd</t>
  </si>
  <si>
    <t>No 89, 101, 1st floor, 4th cross Reliable residency Ph1 HSR layout 2nd sector extension Haraluru Bangalore 560102</t>
  </si>
  <si>
    <t>INVK-2526-04614</t>
  </si>
  <si>
    <t>Joshia Anitha LJ</t>
  </si>
  <si>
    <t>SustainComply Solutions</t>
  </si>
  <si>
    <t>5J, PSW Apts, Venkatapura, Kengeri Hobli, Bangalore 560060</t>
  </si>
  <si>
    <t>INVK-2526-05150</t>
  </si>
  <si>
    <t>UMMADI JYOTI</t>
  </si>
  <si>
    <t>TMC WELLNESS PRIVATE LIMITED</t>
  </si>
  <si>
    <t>INVK-2526-05296</t>
  </si>
  <si>
    <t>ANURAG YADAVA</t>
  </si>
  <si>
    <t>NUTRA DALE PRIVATE LIMITED</t>
  </si>
  <si>
    <t>403, Sector 35 A, Chandigarh - 160036</t>
  </si>
  <si>
    <t>INVK-2526-04984</t>
  </si>
  <si>
    <t xml:space="preserve">
Leena V</t>
  </si>
  <si>
    <t>ELOHIM WORLDWIDE AIRPORT ASSIST PRIVATE LIMITED</t>
  </si>
  <si>
    <t>SY No. 24/14, Shakthi Tranquilis, Flat No. B-103, 1st Floor, Venkatadri Block, , Seegahalli Village, Bangalore - 560067</t>
  </si>
  <si>
    <t>INVK-2526-05097</t>
  </si>
  <si>
    <t>Jeevan C U</t>
  </si>
  <si>
    <t>Jeevan C U Foods</t>
  </si>
  <si>
    <t xml:space="preserve">
#17, 2nd Floor, 7th Main Road, II stage Indiranagar Bangalore 560038</t>
  </si>
  <si>
    <t>INVK-2526-05449</t>
  </si>
  <si>
    <t>Rihan Thomas</t>
  </si>
  <si>
    <t>Nuvoro Foods Private Limited</t>
  </si>
  <si>
    <t>Kuttikayam Estate, Ranni Perunad, Mampara P.O, Pathanamthitta District, Kerala - 689711</t>
  </si>
  <si>
    <t>INVK-2526-05310</t>
  </si>
  <si>
    <t>Prankit Jain</t>
  </si>
  <si>
    <t>GPICARBN Technology Private Limited</t>
  </si>
  <si>
    <t>Flat 603, Tower Crema, Mahagun Morpheus, Sector-50, Noida, Uttar Pradesh, 201301</t>
  </si>
  <si>
    <t>INVK-2526-05595</t>
  </si>
  <si>
    <t>Sabari GiriNathan</t>
  </si>
  <si>
    <t>SABARIGIRINATHAN P</t>
  </si>
  <si>
    <t>15/21 A, kamarajar Street kalveerm Palayam vadavalli Coimbatore- 641046</t>
  </si>
  <si>
    <t>Coimbatore</t>
  </si>
  <si>
    <t>INVK-2526-05754</t>
  </si>
  <si>
    <t>RAJENDRA VISWESHWAR BHAT</t>
  </si>
  <si>
    <t>NAOMI LOGISTICS PRIVATE LIMITED</t>
  </si>
  <si>
    <t>BANGALORE</t>
  </si>
  <si>
    <t>INVK-2526-05900</t>
  </si>
  <si>
    <t>Upasana Ajaykumar Trivedi</t>
  </si>
  <si>
    <t>Upasana Ajaykumar Trivedi</t>
  </si>
  <si>
    <t>B1-1007 DSK Madhuban, Safedpul SakiNaka Andheri east, Mumbai, Maharastra- 400072.</t>
  </si>
  <si>
    <t>INVK-2526-05991</t>
  </si>
  <si>
    <t xml:space="preserve">	Prabhu</t>
  </si>
  <si>
    <t>Priyanka Ramesh/Nexus Technologies</t>
  </si>
  <si>
    <t>114/7 Alzeem centre 7th block</t>
  </si>
  <si>
    <t>INVK-2526-06005</t>
  </si>
  <si>
    <t>Renewal Done R1 Directly from customer</t>
  </si>
  <si>
    <t>MURARI LAL</t>
  </si>
  <si>
    <t>ToraTax</t>
  </si>
  <si>
    <t>MURARI LAL, NEAR VIVEKANAND SCHOOL, BHAGWATIGANJ, BALRAMPUR, UTTAR PRADESH 271201</t>
  </si>
  <si>
    <t>Mailing address (M.A)</t>
  </si>
  <si>
    <t>INVK-2526-05729</t>
  </si>
  <si>
    <t>Shreya Chaurasiya</t>
  </si>
  <si>
    <t>Luella Enterprises</t>
  </si>
  <si>
    <t>Shop No 2, Part 1, Mohini Heights, 5th Rd, Khar West, Mumbai, Maharashtra 400052</t>
  </si>
  <si>
    <t xml:space="preserve">	INVK-2526-06018</t>
  </si>
  <si>
    <t>Mukund Raj</t>
  </si>
  <si>
    <t>MR Consultancy</t>
  </si>
  <si>
    <t>NO.6 GOLDEN AVENUE, 1ST CROSS STREET, KEELKATALLAI, CHENNAI - 600117</t>
  </si>
  <si>
    <t>INVK-2526-06327</t>
  </si>
  <si>
    <t>KSHITIJ AGRAWAL</t>
  </si>
  <si>
    <t>MEET Consultants</t>
  </si>
  <si>
    <t>A-1601, Salarpuria Sattva Magnificia ,, Tin Factory, Old Madras Road, Next to Tin Factory, 78 Dooravani Nagar, VTC: Doorvaninagar, PO: Doorvaninagar, District: Bengaluru, State: Karnataka, PIN Code: 560016</t>
  </si>
  <si>
    <t>INVK-2526-06019</t>
  </si>
  <si>
    <t>Madhurima Aggarwal</t>
  </si>
  <si>
    <t>MAASH Ventures</t>
  </si>
  <si>
    <t>A-1601 Salarpuria Sattva Magnificia, Old Madras Road,, Near tin factory, Old madras road, Doorvaninagar, Bengaluru, Karnataka, 560016</t>
  </si>
  <si>
    <t>INVK-2526-06020</t>
  </si>
  <si>
    <t>Mobarak Haque</t>
  </si>
  <si>
    <t>OXYON PHARMACEUTICALS PRIVATE LIMITED</t>
  </si>
  <si>
    <t>Baruna, Raigram, Purba Bardhaman</t>
  </si>
  <si>
    <t>INVK-2526-02307</t>
  </si>
  <si>
    <t>KADAPALA REDDY SREYES</t>
  </si>
  <si>
    <t>KADAPALA AGROTECH PRIVATE LIMITED</t>
  </si>
  <si>
    <t>443A/56 Road Number-86 Jubilee Hills, Phase-3 Shaikpet| Hyderabad Telangana - 500033</t>
  </si>
  <si>
    <t>INVK-2526-05179</t>
  </si>
  <si>
    <t>Saumya Alagh</t>
  </si>
  <si>
    <t>NYNM ORGANICS PRIVATE LIMITED</t>
  </si>
  <si>
    <t>Tower-A, 2nd Floor, Paras Twin Tower, Sector-54, Gurgaon, Haryana-122001</t>
  </si>
  <si>
    <t>INVK-2526-07677</t>
  </si>
  <si>
    <t>Adil Pasha</t>
  </si>
  <si>
    <t>Mahnoor Enterprises</t>
  </si>
  <si>
    <t>4/8 Pettigrew street, mackan road Bangalore 560001</t>
  </si>
  <si>
    <t>INVK-2526-07562</t>
  </si>
  <si>
    <t>Mohammed Raiyan Madarveet</t>
  </si>
  <si>
    <t>GatherOn Events</t>
  </si>
  <si>
    <t>Sai Satyam Apartments, B205, Divya Unathi Layout, Hennur Gardens, Horamavu, Bangalore, Karnataka 560043</t>
  </si>
  <si>
    <t>INVK-2526-06919</t>
  </si>
  <si>
    <t>Sohan</t>
  </si>
  <si>
    <t>Reliance Roots</t>
  </si>
  <si>
    <t>NO-33 KUNTALU REDDY LAYOUT NO-18,JIGANI HOBALI,JIGANI-560105</t>
  </si>
  <si>
    <t>INVK-2526-07832</t>
  </si>
  <si>
    <t>Shivam Pandey pvt ltd</t>
  </si>
  <si>
    <t>FLAT NO B 118, B block, D S MAX SIGNATURE APARTMENT, 1ST FLOOR, DEVI NAGAR, RMV EXTENSION II STAGE, BENGALURU - 560094</t>
  </si>
  <si>
    <t xml:space="preserve">INVK-2526-08282	</t>
  </si>
  <si>
    <t>Dtrauss</t>
  </si>
  <si>
    <t>H.No. EWS 4759 Kalyanpur Awas Vikas 3</t>
  </si>
  <si>
    <t>INVK-2526-07565</t>
  </si>
  <si>
    <t>Nitesh Sinha</t>
  </si>
  <si>
    <t>CalmSparks Tech Private Limited</t>
  </si>
  <si>
    <t>B-803, August Park Apartment, Kaggadasapura Main Road, C V Raman Nagar, Bangalore</t>
  </si>
  <si>
    <t>INVK-2526-08477</t>
  </si>
  <si>
    <t>Shruthi</t>
  </si>
  <si>
    <t>Daksh Aarav Enterprises</t>
  </si>
  <si>
    <t>No 13, 3rd cross, N R colony (HAL post) Old Airport road, Bangalore 560017</t>
  </si>
  <si>
    <t>INVK-2526-05762</t>
  </si>
  <si>
    <t>Vishal Banwari</t>
  </si>
  <si>
    <t>VIKSIT AITECH GLOBAL PRIVATE LIMITED</t>
  </si>
  <si>
    <t>128 Sindhi colony laskhar Gwalior,474001</t>
  </si>
  <si>
    <t>INVK-2526-08958</t>
  </si>
  <si>
    <t>CHIRANJIV PARITOSH</t>
  </si>
  <si>
    <t>VADER VENTURES LLP</t>
  </si>
  <si>
    <t>417, Century Pragati Lakshmi Layout, JP Nagar 7th Phase, Bangalore - 560076</t>
  </si>
  <si>
    <t xml:space="preserve">	INVK-2526-09453</t>
  </si>
  <si>
    <t>RACHNA KHANNA</t>
  </si>
  <si>
    <t>GEEK GENIUS INDIA</t>
  </si>
  <si>
    <t>Shop No. 4, 17/2 A, S.F Tilak Nagar, New Delhi 110018</t>
  </si>
  <si>
    <t xml:space="preserve">INVK-2526-09594	</t>
  </si>
  <si>
    <t>NITISH KUMAR JHA</t>
  </si>
  <si>
    <t>Khasra No.9/18/2, Gali No. 38A, B Block, Part II, Kaushik Enclave, Burari, North Delhi, Delhi 110084</t>
  </si>
  <si>
    <t>INVK-2526-09412</t>
  </si>
  <si>
    <t>Ankush Goyal</t>
  </si>
  <si>
    <t>ONE REAL ENGINEER (OPC) PRIVATE LIMITED</t>
  </si>
  <si>
    <t>Isai Ambalam Guesthouse, Auroville, Tamilnadu - 605101</t>
  </si>
  <si>
    <t>INVK-2526-09765</t>
  </si>
  <si>
    <t>VIKRAM SINGH SHEKHAWAT</t>
  </si>
  <si>
    <t>Vikram Ventures</t>
  </si>
  <si>
    <t>15 RAI KA BAG, PURANI POLICE LINE JODHPUR 342001</t>
  </si>
  <si>
    <t xml:space="preserve">INVK-2526-10117	</t>
  </si>
  <si>
    <t>Sameer Bharadwaj</t>
  </si>
  <si>
    <t>BHARADHWAJ ASSOCIATES</t>
  </si>
  <si>
    <t>#820, 1st E Main , Rajendra Prasad Road , Girinagar’s, Bangalore South , Banashankari South Bangalore , Karnataka 560085</t>
  </si>
  <si>
    <t xml:space="preserve">	INVK-2526-09904</t>
  </si>
  <si>
    <t>Muhammad Haseeb</t>
  </si>
  <si>
    <t>GREENS EXPORTS AND IMPORTS</t>
  </si>
  <si>
    <t>S/o Sulaiman, Parambath, Kottappally, PO: Thodannur, Dist: Kozhikode, Kerala, 673541</t>
  </si>
  <si>
    <t>INVK-2526-09560</t>
  </si>
  <si>
    <t>Laxman</t>
  </si>
  <si>
    <t>BOTFLARE A.I. TECHNOLOGIES PRIVATE LIMITED</t>
  </si>
  <si>
    <t>S/o goverdhan singh, rajputo ka baas, jhalamkand, jodhpur 342005</t>
  </si>
  <si>
    <t>INVK-2526-10417</t>
  </si>
  <si>
    <t>Anil Kumar</t>
  </si>
  <si>
    <t>Zelena Enterprises</t>
  </si>
  <si>
    <t>Village Kolharbigha Post Samas Thana barbigha sanwas Sheikhpura Bihar 811101</t>
  </si>
  <si>
    <t>INVK-2526-11004</t>
  </si>
  <si>
    <t>Chonden</t>
  </si>
  <si>
    <t>HaeYo Dating APP LLP</t>
  </si>
  <si>
    <t>HaeYo, 17, 2nd floor, 7th Main Rd, II Stage Indiranagar Bengaluru, Karnataka 560038</t>
  </si>
  <si>
    <t xml:space="preserve">
9108236547</t>
  </si>
  <si>
    <t>INVK-2526-10825</t>
  </si>
  <si>
    <t>IdeaSpline Technologies</t>
  </si>
  <si>
    <t>125, 9th Cross, BDS Garden, K Narayanapura Cross, Geddalahalli, Bengaluru 560077</t>
  </si>
  <si>
    <t>INVK-2526-11157</t>
  </si>
  <si>
    <t>Gautam Sonti</t>
  </si>
  <si>
    <t>South Docs LLP</t>
  </si>
  <si>
    <t>003 Savoy Apartment, 3 Coles Road, Fraser Town (Pulikeshi Nagar), Bangalore 560005</t>
  </si>
  <si>
    <t>.
INVK-2526-11161</t>
  </si>
  <si>
    <t>Christine Jose Sales</t>
  </si>
  <si>
    <t>Big Bear Studios</t>
  </si>
  <si>
    <t>401, Viceroy Sagar, Kasavanahalli, Sharajapur Road, 560035</t>
  </si>
  <si>
    <t>INVK-2526-11027</t>
  </si>
  <si>
    <t>Endorphin Foods Private Limited</t>
  </si>
  <si>
    <t>111d/1, Kolimedu, Seetharamapalyam, Tirucehngode, Namakkal , Tamil Nadu 637209</t>
  </si>
  <si>
    <t>INVK-2526-11825</t>
  </si>
  <si>
    <t>IG APPLE</t>
  </si>
  <si>
    <t>13A-15/4, Mathina Nagra, Mettupalayam, Coimbatore, 641301</t>
  </si>
  <si>
    <t>INVK-2526-10519</t>
  </si>
  <si>
    <t>SMT Fruit</t>
  </si>
  <si>
    <t>INVK-2526-10520</t>
  </si>
  <si>
    <t>CoreMind Solutions</t>
  </si>
  <si>
    <t>S/O: Shri Roshan Lal Choudhary, Row House No # 1st / 5 Block, Panchvati Colony, Oppsite To Govt Hospital, Gadarwara, Narsinghpur, Madhya Pradesh - 487551</t>
  </si>
  <si>
    <t>INVK-2526-11320</t>
  </si>
  <si>
    <t>QUADRIMATIC TECHNOLOGIES INDIA PRIVATE LIMITED</t>
  </si>
  <si>
    <t>G-2 2/2 Chalet Apts, 13th Cross Opp Bescom Malleswaram 560003 Bangalore North, Karnataka</t>
  </si>
  <si>
    <t>INVK-2526-11821</t>
  </si>
  <si>
    <t>Renewal Done R1(Directly from customer)</t>
  </si>
  <si>
    <t>GREEN NEXUS INNOVATION PRIVATE LIMITED</t>
  </si>
  <si>
    <t>18, Shree Lakshmi Nagar, Airport Road , Chhota Bangarda, Indore</t>
  </si>
  <si>
    <t>Indore</t>
  </si>
  <si>
    <t>INVK-2526-11832</t>
  </si>
  <si>
    <t>RAVATA RAM</t>
  </si>
  <si>
    <t>B203, Veracious Rosedale, Whitefield, Bengaluru. PIN 560066</t>
  </si>
  <si>
    <t>INVK-2526-11470</t>
  </si>
  <si>
    <t>YLASA PRIVATE LIMITED</t>
  </si>
  <si>
    <t>Outer Ring Road, Near Anjaneya Temple, Mahadevapura Village, Banglore.560048</t>
  </si>
  <si>
    <t>INVK-2526-12521</t>
  </si>
  <si>
    <t>ByteFlow Consultancies</t>
  </si>
  <si>
    <t>O-1058, Brigade Lakefront Apartment, Seetharampalya, Mahadevapura, Bengaluru, Karnataka, 560048</t>
  </si>
  <si>
    <t>INVK-2526-10972</t>
  </si>
  <si>
    <t>FALABELLA DIGITAL LABS INDIA PRIVATE LIMITED</t>
  </si>
  <si>
    <t>Birch A34, TATA Sherwood, Basvanagar Main Road, Marathahalli, Bengaluru 560037</t>
  </si>
  <si>
    <t>INVK-2526-09917</t>
  </si>
  <si>
    <t>Digitalpix</t>
  </si>
  <si>
    <t>#J501, Shriram Blue Apartments, Sy No.123, Medahalli Kadugodi Rd, Sonnenahalli Colony, Krishnarajapuram, Bengaluru, Karnataka 560049</t>
  </si>
  <si>
    <t>29AOIPV6879G1ZY</t>
  </si>
  <si>
    <t>INVK-2526-12514</t>
  </si>
  <si>
    <t>Rinsr Technologies Private Limited</t>
  </si>
  <si>
    <t>Sreelathalayam, PO Muzhappilangad, Near S N Madam, Kannur, Kerala - 670662</t>
  </si>
  <si>
    <t xml:space="preserve">
6361161942</t>
  </si>
  <si>
    <t>INVK-2526-12378</t>
  </si>
  <si>
    <t xml:space="preserve">	M Sasikumar</t>
  </si>
  <si>
    <t>RIVERBYTE INFOTECH PRIVATE LIMITED</t>
  </si>
  <si>
    <t>8/41,Naddimirajuvari palli,Devapatla,Cuddapah,Andhra Pradesh</t>
  </si>
  <si>
    <t>INVK-2526-13093</t>
  </si>
  <si>
    <t>Abdil Al kazmi</t>
  </si>
  <si>
    <t>SIMZOTEK PRIVATE LIMITED</t>
  </si>
  <si>
    <t>C/O: IJLAL AHASAN RAGIB WARD 02 RAMPUR BAKHRI BASANTPUR BAKHARI MUZAFFARPUR BIHAR 843121</t>
  </si>
  <si>
    <t xml:space="preserve">
9102522615</t>
  </si>
  <si>
    <t>MUMPK4766P</t>
  </si>
  <si>
    <t>INVK-2526-13136</t>
  </si>
  <si>
    <t>Parthiban</t>
  </si>
  <si>
    <t>PURESEARCH</t>
  </si>
  <si>
    <t>S/O: UMAPATHY SUBRAMANI # 419/D 3RD CROSS, VIVEKNAGAR MAIN ROAD VIVEKNAGAR BANGALORE SOUTH BANGALORE KARNATAKA 560047</t>
  </si>
  <si>
    <t>AUPPP4387E</t>
  </si>
  <si>
    <t>INVK-2526-02936</t>
  </si>
  <si>
    <t>Shyam Nandan Singh</t>
  </si>
  <si>
    <t>TagLinked</t>
  </si>
  <si>
    <t>TOWER 2, FLAT NO: 705-A, R R BUILDERS, SANCHAR NAGAR, ADAMPUR, KHAGAUL, DANAPUR, PATNA, BIHAR. PIN: 801105</t>
  </si>
  <si>
    <t>AVEPS7063C</t>
  </si>
  <si>
    <t>Patna</t>
  </si>
  <si>
    <t>INVK-2526-14221</t>
  </si>
  <si>
    <t>Vanamala Praveen Kumar</t>
  </si>
  <si>
    <t>The Phi Brands LLP</t>
  </si>
  <si>
    <t>S/O: VANAMALA RAJENDRA PRASAD H NO 2-5-153 GANDHI ROAD KORATLA KARIMNAGAR TELANGANA 505326</t>
  </si>
  <si>
    <t>ATFPV5590E</t>
  </si>
  <si>
    <t>INVK-2526-13381</t>
  </si>
  <si>
    <t>HARITH RENUKUMAR</t>
  </si>
  <si>
    <t>DREYBOX SOLUTIONS PRIVATE LIMITED</t>
  </si>
  <si>
    <t>639 6TH MAIN ROAD VISHVESHVARIAH PARK HAL 3RD STAGE, NEW THIPPASANDRA NEW THIPPASANDRA BENGALURU KARNATAKA 560075</t>
  </si>
  <si>
    <t>DHFPR8755A</t>
  </si>
  <si>
    <t>INVK-2526-12700</t>
  </si>
  <si>
    <t>UMAR KHATAB SP</t>
  </si>
  <si>
    <t>EVOLVIX DIGITAL SOLUTIONS LLP</t>
  </si>
  <si>
    <t>SUMAYYA ABIDAS,MUTTAM,NEAR VMUP SCHOOL,P O VENGARA,MADAYI,KANNUR,KERALA 670305</t>
  </si>
  <si>
    <t>DBEPP9606M</t>
  </si>
  <si>
    <t xml:space="preserve">	INVK-2526-14278</t>
  </si>
  <si>
    <t>Srenibas Achary Bodduru</t>
  </si>
  <si>
    <t>AS MOBILES PRIVATE LIMITED</t>
  </si>
  <si>
    <t>FLAT 302, 3rd Floor, Plot No. 62 M. No. 1-65/A/1/62Kavuri Hills, Guttala Begumpet Village SerilingampallyMandal, Jubilee Hills, Hyderabad, Shaikpet, Telangana,India, 500033.</t>
  </si>
  <si>
    <t>BZDPS3412D</t>
  </si>
  <si>
    <t>Hyderabad</t>
  </si>
  <si>
    <t>INVK-2526-14101</t>
  </si>
  <si>
    <t>Syed Yasin</t>
  </si>
  <si>
    <t>Sayara Ventures Private Limited</t>
  </si>
  <si>
    <t>31/6, 101, 2 Floor, Anjenaya Swamy Temple Street, Marappa Garden, Benson Town, Bengaluru, Karnataka 560046</t>
  </si>
  <si>
    <t>ABXPY8672L</t>
  </si>
  <si>
    <t>INVK-2526-14531</t>
  </si>
  <si>
    <t>BRAND STORM</t>
  </si>
  <si>
    <t>AVIJIT DAS</t>
  </si>
  <si>
    <t>Avijit Das AB-141 SECTOR-1 Bidhannagar ( M ) Bidhannagar CC Block Barrackpur I North 24 Parganas West Bengal 700064</t>
  </si>
  <si>
    <t xml:space="preserve">
8981132609</t>
  </si>
  <si>
    <t>ASKPD3882H</t>
  </si>
  <si>
    <t>INVK-2526-12856</t>
  </si>
  <si>
    <t>Yogesh bangera</t>
  </si>
  <si>
    <t>UttamNivaha e-commerce private limited</t>
  </si>
  <si>
    <t>2B-65 dayana picture takis Udupi kukkikatte Udupi Karnataka 576101</t>
  </si>
  <si>
    <t>AIPPY2407C</t>
  </si>
  <si>
    <t>Udupi</t>
  </si>
  <si>
    <t>29AADCU9325Q1ZG</t>
  </si>
  <si>
    <t>.
INVK-2526-13495</t>
  </si>
  <si>
    <t>Keya Mitra</t>
  </si>
  <si>
    <t>Travel Story World</t>
  </si>
  <si>
    <t>Keya Sen Mitra Keya Sen Mitra. Flat Number 041 , Building A1 , Dlf westend heights , Akshaya Nagar , VTC : Begur , PO : Bommanahalli , District : Bengaluru. State : Karnataka , PIN Code : 560068</t>
  </si>
  <si>
    <t>AHPPM5966K</t>
  </si>
  <si>
    <t xml:space="preserve">Benaglore </t>
  </si>
  <si>
    <t>INVK-2526-13038</t>
  </si>
  <si>
    <t>Ravi Grover</t>
  </si>
  <si>
    <t>AMBERZEN FRAGRANCES PRIVATE LIMITED</t>
  </si>
  <si>
    <t>S / O : Mohan Lal Grover , 5H / 11 , NIT faridabad , Faridabad , Faridabad , Haryana , 121001</t>
  </si>
  <si>
    <t>APNPG2994M</t>
  </si>
  <si>
    <t>Aliya Almaz</t>
  </si>
  <si>
    <t>SAMEETHA TECHNOLOGIES (OPC) PRIVATE LIMITED</t>
  </si>
  <si>
    <t>312 Parthaleela Nilaya 4th Main Road</t>
  </si>
  <si>
    <t>AWCPA5761A</t>
  </si>
  <si>
    <t>INVK-2526-14532</t>
  </si>
  <si>
    <t>Anisha Patel</t>
  </si>
  <si>
    <t>iPause</t>
  </si>
  <si>
    <t>Flat no. 302, Parimala Elite Swamy Vivekananda Road, Whitefield, Bengaluru</t>
  </si>
  <si>
    <t>FMV002370E</t>
  </si>
  <si>
    <t>INVK-2526-14753</t>
  </si>
  <si>
    <t>KAVVEN RAJA YOGARAJA</t>
  </si>
  <si>
    <t>EYI LOGISTICS</t>
  </si>
  <si>
    <t>S/O: YOGARAJA 48 DEPUTY COLLECTORS COLONY 3RD STREET K K NAGAR ALAVANDAN MADURAI TAMIL NADU 625020</t>
  </si>
  <si>
    <t xml:space="preserve">
9994616661</t>
  </si>
  <si>
    <t>DQRPK0159N</t>
  </si>
  <si>
    <t>INVK-2526-14688</t>
  </si>
  <si>
    <t>Samuel Solomon</t>
  </si>
  <si>
    <t>Solomon&amp;co</t>
  </si>
  <si>
    <t>S/O D SOLOMON #13 ANGELS ORPHANAGE, ANATHA ASHRAM COMPUND OLD CEMETERY ROAD OPP ST XAVIERS HIGH SCHOOL TASKER TOWN BANGALORE NORTH BANGALORE KARNATAKA 560051</t>
  </si>
  <si>
    <t>EICPS1884L</t>
  </si>
  <si>
    <t>INVK-2526-12857</t>
  </si>
  <si>
    <t>Liyakathali K</t>
  </si>
  <si>
    <t>LYKTRONIX PRIVATE LIMITED</t>
  </si>
  <si>
    <t>S/o Saidalavi K, Koorithodi, Chullikkode, Puzhakkattiri, Kadungapuram PO, Malappuram Dist, Kerala, 679321</t>
  </si>
  <si>
    <t>ACLPL9301Q</t>
  </si>
  <si>
    <t>renewal Done R1 Location change to Platinum</t>
  </si>
  <si>
    <t>INVK-2526-14691</t>
  </si>
  <si>
    <t>Kaustubh</t>
  </si>
  <si>
    <t>NORTHBLUE DESIGNS ENTERPRISES PRIVATE LIMITED</t>
  </si>
  <si>
    <t>WHITEFIELD MAIN ROAD NEAR HOPE FARM CIRCLE WHITEFIELD WHITEFIELD BENGALURU KARNATAKA 560066</t>
  </si>
  <si>
    <t xml:space="preserve">
9739068069</t>
  </si>
  <si>
    <t>AJJPK1164B</t>
  </si>
  <si>
    <t>INVK-2526-13119</t>
  </si>
  <si>
    <t>Vaibhav Shukla</t>
  </si>
  <si>
    <t>RSECTIONS INTERNET LLP</t>
  </si>
  <si>
    <t>S/O: SANJAY KUMAR SHUKLA F 898 KAMLA NAGAR DAYAL BAGH AGRA UTTAR PRADESH 282005</t>
  </si>
  <si>
    <t xml:space="preserve">
9720502237</t>
  </si>
  <si>
    <t>FJYPS5360F</t>
  </si>
  <si>
    <t>INVK-2526-14757</t>
  </si>
  <si>
    <t>evin joy</t>
  </si>
  <si>
    <t>Voxgen Technologies LLP</t>
  </si>
  <si>
    <t>Flat no: A401, SVS orchids, 3rd main, 1st cross, Raghavendra circle, Ramamurthy Nagar, Bangalore-560016</t>
  </si>
  <si>
    <t>ATCPJ6403D</t>
  </si>
  <si>
    <t>INVK-2526-15497</t>
  </si>
  <si>
    <t>RAZAL ALI K</t>
  </si>
  <si>
    <t>MATELINK GLOBAL CONNECT SOLUTIONS PRIVATE LIMITED</t>
  </si>
  <si>
    <t>S/o Ahammed Kutty, Mustafa Manzil, Anjarakandy PO, Keezhallur, Kannur, Kerala, 670612</t>
  </si>
  <si>
    <t>AZSPR8019D</t>
  </si>
  <si>
    <t>INVK-2526-15496</t>
  </si>
  <si>
    <t>Deepak Gupta (Preeti Gupta)</t>
  </si>
  <si>
    <t>LEAFPURE PRIVATE LIMITED</t>
  </si>
  <si>
    <t>W/O : Sachin Gupta , House No - 21 / 4 Shakti Nagar , Malka Ganj , Malka Ganj , North Delhi Delhi 110007</t>
  </si>
  <si>
    <t>AKBPG2125P</t>
  </si>
  <si>
    <t>Hemsai L</t>
  </si>
  <si>
    <t>Gallerina Designs</t>
  </si>
  <si>
    <t>#34, Shree Guru Krupa , 4th Cross , Shankar mutt road , kalkere , B'lore -43</t>
  </si>
  <si>
    <t>BAEPH4050C</t>
  </si>
  <si>
    <t xml:space="preserve">INVK-2526-15633	</t>
  </si>
  <si>
    <t>SHAKTI PRASAD BADAJENA</t>
  </si>
  <si>
    <t>BIDHATECH SPIRITUAL SOLUTIONS PRIVATE LIMITED</t>
  </si>
  <si>
    <t>S/O DHARANIDHARA BADAJENA 2RA-74 UNIT-1 NEAR KAMALA NEHERU COLLEGE ASHOK NAGAR UNIT-1 BHUBANESWAR KHORDHA ORISSA 751009</t>
  </si>
  <si>
    <t>BOMPB0560H</t>
  </si>
  <si>
    <t>INVK-2526-13679</t>
  </si>
  <si>
    <t>Aug'25 bill is till this booking</t>
  </si>
  <si>
    <t>Monika Shahi</t>
  </si>
  <si>
    <t>E-104, MIMS RESIDENCY AGRAHARA VILLAGE HOBLI AGRAHARA BENGALURU KARNATAKA 560064</t>
  </si>
  <si>
    <t>HNOPS7860E</t>
  </si>
  <si>
    <t>INVK-2526-15787</t>
  </si>
  <si>
    <t>CHIRAYU SHARMA</t>
  </si>
  <si>
    <t>HIMUTT INFRA AND ENERGY PROJECTS PRIVATE LIMITED</t>
  </si>
  <si>
    <t>S/O: MAHENDRA SHARMA 21-7-60 GHANSI BAZAR BAD KA JAHAD HYDERABAD CHARMINAR HYDERABAD TELANGANA 500002</t>
  </si>
  <si>
    <t>HHPPS1492R</t>
  </si>
  <si>
    <t>INVK-2526-16509</t>
  </si>
  <si>
    <t>CRAVINGS KITCHEN PRIVATE LIMITED</t>
  </si>
  <si>
    <t>S/O: VIJOY THOMAS KUTTIKAYAM OPP. CATHOLIC CHURCH PERUNAD PATHANAMTHITTA KERALA 689711</t>
  </si>
  <si>
    <t>BAYPT6220N</t>
  </si>
  <si>
    <t>INVK-2526-16105</t>
  </si>
  <si>
    <t>Muhammath</t>
  </si>
  <si>
    <t>THARWA CONSULTING PRIVATE LIMITED</t>
  </si>
  <si>
    <t>BS / O Abdul Rasheed , NO 21 / 93 , MARKET # ROAD , THUCKALAY , THUCKALAY ," Thackalai , PO : Thuckalay , DIST : Kanniyakumari , Tamil Nadu - 629175</t>
  </si>
  <si>
    <t>DBBPM0001E</t>
  </si>
  <si>
    <t>INVK-2526-16540</t>
  </si>
  <si>
    <t>Veni Gupta</t>
  </si>
  <si>
    <t>TRIRIKA LIFESTYLE PRIVATE LIMITED</t>
  </si>
  <si>
    <t>20/82 1ST FLOOR SHAKTI NAGAR MALKA GANJ NORTH DELHI DELHI 110007</t>
  </si>
  <si>
    <t>CAQPG3373J</t>
  </si>
  <si>
    <t>INVK-2526-16757</t>
  </si>
  <si>
    <t xml:space="preserve">
Swapan Das</t>
  </si>
  <si>
    <t>VOULTRA LOCK PRIVATE LIMITED</t>
  </si>
  <si>
    <t>C/O BIREN DAS NH15 NEAR DON BOSCO SCHOOL HARMOTI GAON HARMOTI 95 F.S. GRANT LAKHIMPUR ASSAM 784160</t>
  </si>
  <si>
    <t>CCXPD8100M</t>
  </si>
  <si>
    <t>INVK-2526-16655</t>
  </si>
  <si>
    <t>SHUBHAM DWIVEDI</t>
  </si>
  <si>
    <t>CELLNOX TECHNOLOGIES INDIA PRIVATE LIMITED</t>
  </si>
  <si>
    <t>S/O: OM PRAKASH DWIVEDI NAGAR PALIKA ROAD SUBHASH NAGAR PUKHRAYAN (DEHAT) KANPUR DEHAT UTTAR PRADESH 209111</t>
  </si>
  <si>
    <t>BHFPD3410A</t>
  </si>
  <si>
    <t>INVK-2526-16809</t>
  </si>
  <si>
    <t xml:space="preserve"> Afsha Hanif Galar</t>
  </si>
  <si>
    <t>Hey Sorelle</t>
  </si>
  <si>
    <t>59 / 1 , Suguna Opal , Flat 310 , 1st Main Road , Chinnana Layout , L R Bande Road , Opp GVR PLAZA , Kavalbyrsandra , Bangalore North , POR T Nagar , DIST : Bengaluru , Karnataka , 560032</t>
  </si>
  <si>
    <t xml:space="preserve">
9902466101</t>
  </si>
  <si>
    <t>AMWPG9561E</t>
  </si>
  <si>
    <t>INVK-2526-16414</t>
  </si>
  <si>
    <t>ABHINIT KISHORE</t>
  </si>
  <si>
    <t>TYUTLIVE TECHNOLOGIES PRIVATE LIMITED</t>
  </si>
  <si>
    <t>B003, ABODH VALMARK APARTMENTS VEERANAPALYA ROAD GOVINDPURA, NAGVARA</t>
  </si>
  <si>
    <t xml:space="preserve">
8660815110</t>
  </si>
  <si>
    <t>AEPPK0290R</t>
  </si>
  <si>
    <t xml:space="preserve"> INVK-2526-12240</t>
  </si>
  <si>
    <t>abhinit@tyutlive.com</t>
  </si>
  <si>
    <t>Aalok Jayant Bharadwaj / Bindu Chandana</t>
  </si>
  <si>
    <t>Plain Strange Media LLP</t>
  </si>
  <si>
    <t>S/O JAYANT S BHARADWAJ NO 218 ANJANA 25TH CROSS 3RD MAIN 6TH BLOCK JAYANAGAR BANGALORE SOUTH BANGALORE KARNATAKA 560070</t>
  </si>
  <si>
    <t>AJXPB0181D / AFUPC4473L</t>
  </si>
  <si>
    <t>INVK-2526-17385</t>
  </si>
  <si>
    <t>aalokjb@gmail.com</t>
  </si>
  <si>
    <t xml:space="preserve">	Maneesh K</t>
  </si>
  <si>
    <t>SWIMGURU GLOBAL LLP</t>
  </si>
  <si>
    <t>S/O: BABU KARIYATTIL MADAM ATTAPPILLY ATTAPPILLY KADAVU MATTATHURKUNNU MATTATHUR THRISSUR KERALA 680684</t>
  </si>
  <si>
    <t xml:space="preserve">
9048997845</t>
  </si>
  <si>
    <t>CUZPM3493A</t>
  </si>
  <si>
    <t>ID : INVK-2526-17864</t>
  </si>
  <si>
    <t>manukariyattil@gmail.com</t>
  </si>
  <si>
    <t>Shaik Shamreen</t>
  </si>
  <si>
    <t>Shaik Shamreen D / O Mabhu Subhani HARIDASU NAGAR EAST GANGAVARAM Nayambhola Palem Tallur , Prakasam Andhra Pradesh - 523264</t>
  </si>
  <si>
    <t>SAZPS8179B</t>
  </si>
  <si>
    <t xml:space="preserve"> INVK-2526-17511</t>
  </si>
  <si>
    <t>THAPASYA VIJAYARAGHAVAN</t>
  </si>
  <si>
    <t>BEANERY FOODS PRIVATE LIMITED</t>
  </si>
  <si>
    <t>D / o : Vijayaraghavan Kannan , Plot Babukhan Millenium , Erramanzil , No-15 B , 6-3-1099 / 1100 , Behind Somajiguda , Nampally , Hyderabad , Telangana , 500082</t>
  </si>
  <si>
    <t>ANWPV6074E</t>
  </si>
  <si>
    <t>INVK-2526-18114</t>
  </si>
  <si>
    <t>Koustav Mukherjee</t>
  </si>
  <si>
    <t>SEVENAI TECHNOLOGIES PRIVATE LIMITED</t>
  </si>
  <si>
    <t>S/O MANAS KUMAR MUKHERJEE FLAT NO 7613 VIJAYA GARDEN JAMSHEDPUR BARIDIH COLONY EAST SINGHBHUM JHARKHAND 831017</t>
  </si>
  <si>
    <t xml:space="preserve">
8674805219</t>
  </si>
  <si>
    <t>CKLPM9571M</t>
  </si>
  <si>
    <t>Hjarkhand</t>
  </si>
  <si>
    <t>INVK-2526-18299</t>
  </si>
  <si>
    <t xml:space="preserve">
koustavmukherjee19@gmail.com</t>
  </si>
  <si>
    <t>Aalok A Deshmukh</t>
  </si>
  <si>
    <t>SUPER DATA LABS PRIVATE LIMITED</t>
  </si>
  <si>
    <t>Aalok Arvind Deshmukh S / O : Arvind Deshmukh B / 27 , Ashish CHS 2nd Cross Road , Swami Samarth Nagar Lokhandwala Complex Andheri West Azad Nagar Azad Nagar Mumbai Maharashtra 400053</t>
  </si>
  <si>
    <t xml:space="preserve">
9769003441</t>
  </si>
  <si>
    <t>AHTPD1621Q</t>
  </si>
  <si>
    <t>INVK-2526-18002</t>
  </si>
  <si>
    <t>shweta@mysuperhumanrace.com</t>
  </si>
  <si>
    <t>Nivetha A</t>
  </si>
  <si>
    <t>NIVIS INFRA Pvt Ltd</t>
  </si>
  <si>
    <t>KANNAN G 43 1ST CROSS KUDLU KUDLU BENGALURU KARNATAKA 560068</t>
  </si>
  <si>
    <t>FHZPA7685E</t>
  </si>
  <si>
    <t>Sep'25 billing bookings ends here</t>
  </si>
  <si>
    <t>ID : INVK-2526-18393</t>
  </si>
  <si>
    <t>nivisinfra@gmail.com</t>
  </si>
  <si>
    <t>Mohan Rajamani</t>
  </si>
  <si>
    <t>Zenvore Tech Kitchens Pvt. Ltd</t>
  </si>
  <si>
    <t>C/O T S RAJAMANI NO 901 ARCHITHA AITHAL AAROHI APARTMENT HALAGEVADERAHALLI OPP TO JNANAKSHI SCHOOL RAJARAJESHWARI NAGAR BANGALORE SOUTH BENGALURU KARNATAKA 560098</t>
  </si>
  <si>
    <t>ACGPM5645K</t>
  </si>
  <si>
    <t>INVK-2526-19156</t>
  </si>
  <si>
    <t>VISHESH ANIL KUMAR</t>
  </si>
  <si>
    <t>VED ASTRA DYNAMICS PRIVATE LIMITED</t>
  </si>
  <si>
    <t>C/O ANIL KUMAR MUNISWAMY NO 318 6TH A CROSS O M B R LAYOUT BANASAWADI BANGALORE NORTH BENGALURU KARNATAKA 560043</t>
  </si>
  <si>
    <t xml:space="preserve">
9686980895</t>
  </si>
  <si>
    <t>ELOPK9770G</t>
  </si>
  <si>
    <t>INVK-2526-18401</t>
  </si>
  <si>
    <t>vishesh@vedastradynamics.com</t>
  </si>
  <si>
    <t xml:space="preserve">Ashief
</t>
  </si>
  <si>
    <t>Ashief</t>
  </si>
  <si>
    <t>C/O AMEERBASHA 5/69-1 KARAGATHU MUNUSAMI STREET KARIMANGALAM POST KARIMANGALAM TALUK KARIMANGALAM DHARMAPURI TAMIL NADU 635111</t>
  </si>
  <si>
    <t>DJWPA6580H</t>
  </si>
  <si>
    <t>billby27hustle@outlook.com</t>
  </si>
  <si>
    <t>Shaad Majeed</t>
  </si>
  <si>
    <t>NO 1 1ST CROSS, 4TH MAIN B BLOCK VINAYAKANAGAR, HAL H A L OLD TOWN BENGALURU KARNATAKA 560017</t>
  </si>
  <si>
    <t xml:space="preserve">
9980455001</t>
  </si>
  <si>
    <t>ARPPM8073R</t>
  </si>
  <si>
    <t>INVK-2526-17702</t>
  </si>
  <si>
    <t xml:space="preserve">
shaadm@live.com</t>
  </si>
  <si>
    <t>AMRIT SAHU</t>
  </si>
  <si>
    <t>M/S Amrit Sahu</t>
  </si>
  <si>
    <t>C/O NIRANJAN SAHU FLAT NO-210, 2ND FLOOR, BLOCK-B, STALWART HEIGHTS APARTMENT NEAR CITY WOMENS COLLEGE SOUBHAGYA NAGAR BHUBANESWAR(M.C) KHORDA ODISHA 751003</t>
  </si>
  <si>
    <t>JLLPS4046B</t>
  </si>
  <si>
    <t>INVK-2526-19198</t>
  </si>
  <si>
    <t>amritsahu.iitkgp@gmail.com</t>
  </si>
  <si>
    <t>Pallapu Siva Sankar</t>
  </si>
  <si>
    <t>Nexora Systems</t>
  </si>
  <si>
    <t>Pallapu Siva Sankar S / O : Pallapu Katam Raju , 12 / 24 , VADDIPALLI , Padamatikona , Chinnamandem VTC : Chinnamandem , PO : Chinnamandem , Sub District : Chinnamandem , District : Cuddapah , State : Andhra Pradesh S / O : Pallapu Katam Raju , 12 / 24 , VADDIPALLI , na Padamatikona , Chinnamandem , Chinnamandem , PO Chinnamandem , DIST : Cuddapah , Andhra Pradesh-516214</t>
  </si>
  <si>
    <t>AKSPP1107O</t>
  </si>
  <si>
    <t>INVK-2526-19280</t>
  </si>
  <si>
    <t>dinesh1260@gmail.com</t>
  </si>
  <si>
    <t>renewal Done R1 Directly from Customer</t>
  </si>
  <si>
    <t>C S THAMMAIAH</t>
  </si>
  <si>
    <t>GULLY 707</t>
  </si>
  <si>
    <t>S/O: SANTOSH C C #0420,G1 YASHCHANDRA APARTMENTS 7TH MAIN 10TH CROSS OPP BBMP OFFICE VIJAYABANK COLONY,BILLEKAHALLI BANGALORE SOUTH BANGALORE KARNATAKA 560076</t>
  </si>
  <si>
    <t>CXMPT4429D</t>
  </si>
  <si>
    <t>INVK-2526-19438</t>
  </si>
  <si>
    <t xml:space="preserve">
thashvinthammaiah97@gmail.com</t>
  </si>
  <si>
    <t>DISTRO GROW</t>
  </si>
  <si>
    <t>INVK-2526-08352</t>
  </si>
  <si>
    <t>MOHAMMED ASHIK HUSSAIN</t>
  </si>
  <si>
    <t>NIGAR GARMENTS (OPC) PRIVATE LIMITED</t>
  </si>
  <si>
    <t>S / O ABDHUL SATHAR , 20-26 / 32 MOHAMMED ASHIQ MANZIL , TC ROAD , AKKAREKERE , ULLAL , VTC : Mangalore , PO : Ullal , District : Dakshina Kannada , State : Karnataka , PIN Code : 575020.</t>
  </si>
  <si>
    <t>BCEPH3211B</t>
  </si>
  <si>
    <t>Dakshina Kannada</t>
  </si>
  <si>
    <t>INVK-2526-19823</t>
  </si>
  <si>
    <t>mcfcorporateservices@gmail.com</t>
  </si>
  <si>
    <t>Mandeep Kumar Yadav</t>
  </si>
  <si>
    <t>COUTURE HOSPITALITY LLP</t>
  </si>
  <si>
    <t>Mandeep Kumar Yadav S / O Murali Prasad Yadav No 15 Sri Ram Nilaya 6th Cross Near Andriya Apartment Anjana Murthy Circle Lottegollahalli Bangalore North Bengaluru Karnataka - 560094</t>
  </si>
  <si>
    <t>AZDPY2468A</t>
  </si>
  <si>
    <t>INVK-2526-20031</t>
  </si>
  <si>
    <t>thebarwarchi@gmail.com</t>
  </si>
  <si>
    <t>SETHU LAKSHMY NAIR</t>
  </si>
  <si>
    <t>AVENTRA DYNAMICS LLP</t>
  </si>
  <si>
    <t>C/O S RAJAN KADAKKILETHU HOUSE KIZHAKKENADA MAHADEVAR TEMPLE - EAST NADA KEEZHCHERIMEL CHENGANNUR ALAPPUZHA KERALA 689121</t>
  </si>
  <si>
    <t>HAUPS5981P</t>
  </si>
  <si>
    <t>INVK-2526-19616</t>
  </si>
  <si>
    <t xml:space="preserve">
bh@aventradynamics.com</t>
  </si>
  <si>
    <t xml:space="preserve">AMIT MISHRA
</t>
  </si>
  <si>
    <t>VERTEXONE VENTURES PRIVATE LIMITED</t>
  </si>
  <si>
    <t>UK Mishra , Wing 3A , Flat No. 811 , Sobha Quartz , Green Glen Layout , Near Outer Ring Road , Bellandur , Bellandur , Bengaluru , Karnataka , 560103</t>
  </si>
  <si>
    <t xml:space="preserve">
9540099199</t>
  </si>
  <si>
    <t>ANKPM1420F</t>
  </si>
  <si>
    <t>INVK-2526-20010</t>
  </si>
  <si>
    <t xml:space="preserve">
amit@negotrix.com</t>
  </si>
  <si>
    <t>PRATHU BARONIA</t>
  </si>
  <si>
    <t>REDKILL TECHNOLOGIES PRIVATE LIMITED</t>
  </si>
  <si>
    <t>5C/152 5TH CROSS EAST OF NGEF LAYOUT, KASTURI NAGAR BANASWADI BENGALURU KARNATAKA 560043</t>
  </si>
  <si>
    <t xml:space="preserve">
7738695845</t>
  </si>
  <si>
    <t>BZVPB8995C</t>
  </si>
  <si>
    <t>INVK-2526-20398</t>
  </si>
  <si>
    <t xml:space="preserve">
praton@redkill.in</t>
  </si>
  <si>
    <t>Naveen Arali</t>
  </si>
  <si>
    <t>Kanama</t>
  </si>
  <si>
    <t>C / O : FM Arali , A501 Purva Venezia , Major Unnikrishnan Road , Mother. Dairy Circle , Yelahanka New Town , Bangalore North , Bengaluru , Karnataka , 560064</t>
  </si>
  <si>
    <t>CYWPA3623F</t>
  </si>
  <si>
    <t xml:space="preserve"> INVK-2526-20486</t>
  </si>
  <si>
    <t>aralinaveen@gmail.com</t>
  </si>
  <si>
    <t xml:space="preserve"> Ansul Agarwal</t>
  </si>
  <si>
    <t>Dinami Global LLP</t>
  </si>
  <si>
    <t>S/O: DIN DAYAL AGARWAL BEHIND S.B.I BANK MUSABANI NO.1 MUSABANI EAST SINGHBHUM JHARKHAND 832104</t>
  </si>
  <si>
    <t>BLVPA7591M</t>
  </si>
  <si>
    <t>INVK-2526-20383</t>
  </si>
  <si>
    <t>aaansul72@gmail.com</t>
  </si>
  <si>
    <t>John Thomas</t>
  </si>
  <si>
    <t>FLY CELESTA PRIVATE LIMITED</t>
  </si>
  <si>
    <t>S / O Jose Thomas P J , 4A,Golden Residency Apartments , SA Road , Kochi M.G.Road , Ernakulam , Kerala - 682016</t>
  </si>
  <si>
    <t>AMTPJ0345A</t>
  </si>
  <si>
    <t xml:space="preserve"> 29AAFCF6898K1ZP</t>
  </si>
  <si>
    <t>1 year charges to be billed in nov'25 month bill</t>
  </si>
  <si>
    <t xml:space="preserve">INVK-2526-20109	</t>
  </si>
  <si>
    <t>flycelesta@gmail.com</t>
  </si>
  <si>
    <t xml:space="preserve"> Saharsh Tibrewal
</t>
  </si>
  <si>
    <t xml:space="preserve"> Inception Strategies</t>
  </si>
  <si>
    <t>C/O: SURESH TIBREWAL RENAISSANCE NATURE WALK, VILLA 31 AYYAPPA NAGAR OPPOSSITE DIYA ACADEMY OF LEARNING KODIGEHALLI MAIN ROAD KRISHNARAJAPURAM BENGALURU KARNATAKA 560036</t>
  </si>
  <si>
    <t>ALDPT2635A</t>
  </si>
  <si>
    <t>INVK-2526-19358</t>
  </si>
  <si>
    <t>saharshtibrewal@gmail.com</t>
  </si>
  <si>
    <t xml:space="preserve">Shemmy Sam Chandy
</t>
  </si>
  <si>
    <t>KAFKO TECHNOLOGIES PVT LTD</t>
  </si>
  <si>
    <t>Shemmy Sam Chandy S / O : Outhikamannil Sakaria Chandy Outhikamannil ( H ). Manganam PO , Vijayapuram Kottayam Manganam Kerala 686018</t>
  </si>
  <si>
    <t>AGGPC0132P</t>
  </si>
  <si>
    <t>INVK-2526-20762</t>
  </si>
  <si>
    <t xml:space="preserve">
reachsamalways@gmail.com</t>
  </si>
  <si>
    <t>EKRAMULLA KHAN ROSHNI KHATOON</t>
  </si>
  <si>
    <t>TANTAM GIFTING PRIVATE LIMITED</t>
  </si>
  <si>
    <t>E Roshni Khatoon D / O B A Ekramulla Khan , Koolz Topaz Hill , Flat No G4 , BMK Layout Shampura New Extension , No 11 1st Main Road , VTC : Bangalore North , PO : RT Nagar , District : Bengaluru , State : Karnataka , PIN Code : 560032</t>
  </si>
  <si>
    <t>EANPK6961F</t>
  </si>
  <si>
    <t xml:space="preserve">INVK-2526-20521	</t>
  </si>
  <si>
    <t>roshnikhanrocks@gmail.com</t>
  </si>
  <si>
    <t>Aum Mahendra Ahluwalia</t>
  </si>
  <si>
    <t>Azzili</t>
  </si>
  <si>
    <t>301 , Enchanting Glen , Rustam Bagh , Old Airport Road , Bangalore North , Bengaluru , Karnataka , 560017</t>
  </si>
  <si>
    <t xml:space="preserve">
9513222279</t>
  </si>
  <si>
    <t>AHTPA2193C</t>
  </si>
  <si>
    <t>INVK-2526-20259</t>
  </si>
  <si>
    <t>aum.ahl@gmail.com</t>
  </si>
  <si>
    <t>Bill period 03/09/2025 to 03/10/2025</t>
  </si>
  <si>
    <t>PRATIKSHIT PANDEY</t>
  </si>
  <si>
    <t>ANCHAL AROMATICS LLP</t>
  </si>
  <si>
    <t>S/O JAI SHANKAR PANDEY 29 B SHARASWATI KUNJ-2 RAEBARELY ROAD SHARASWATIPURAM SGPGI LUCKNOW UTTAR PRADESH 226014</t>
  </si>
  <si>
    <t>BPPPP1072L</t>
  </si>
  <si>
    <t>INVK-2526-01872</t>
  </si>
  <si>
    <t xml:space="preserve">
pratikshitp@gmail.com</t>
  </si>
  <si>
    <t xml:space="preserve"> Mario Madan Vinay</t>
  </si>
  <si>
    <t>MVNI TECH LABS LLP</t>
  </si>
  <si>
    <t>NO 1298 10TH CROSS ROAD 1ST STAGE 4TH BLOCK HBR LAYOUT BANGALORE NORTH BENGALURU KARNATAKA 560043</t>
  </si>
  <si>
    <t>BFQPM2952B</t>
  </si>
  <si>
    <t>INVK-2526-21300</t>
  </si>
  <si>
    <t>mariovinay@gmail.com</t>
  </si>
  <si>
    <t>Arrears</t>
  </si>
  <si>
    <t>Maha Lakshmi</t>
  </si>
  <si>
    <t>Lakshmi Fashions</t>
  </si>
  <si>
    <t>D/O SAGA SURESH 9-103 VARALAKSHMI ROAD DHARMAVARAM ANANTAPUR ANDHRA PRADESH 515671</t>
  </si>
  <si>
    <t>BPSPS5857P</t>
  </si>
  <si>
    <t>INVK-2526-20421</t>
  </si>
  <si>
    <t>glakshmi85000@gmail.com</t>
  </si>
  <si>
    <t xml:space="preserve">Handover date </t>
  </si>
  <si>
    <t>17/09/2025</t>
  </si>
  <si>
    <t xml:space="preserve">
Khysar Banu</t>
  </si>
  <si>
    <t>Key Real Estate Advisors</t>
  </si>
  <si>
    <t>C/O: MOHAMMED KHALEEL NO 662 2ND FLOOR 9TH MAIN 3RD BLOCK H B R LAYOUT BANGALORE NORTH BENGALURU KARNATAKA 560043</t>
  </si>
  <si>
    <t xml:space="preserve">
9902844774</t>
  </si>
  <si>
    <t>AUKPB4030F</t>
  </si>
  <si>
    <t xml:space="preserve"> INVK-2526-18989</t>
  </si>
  <si>
    <t xml:space="preserve">
mehekproperties11@gmail.com</t>
  </si>
  <si>
    <t>Payble for 2nd for the above period by Aspire</t>
  </si>
  <si>
    <t>KALAIYARASI M</t>
  </si>
  <si>
    <t>AARAMI</t>
  </si>
  <si>
    <t>D/O: MARIYAPPAN 1/184 NORTH STREET RISHIVANDIYAM VILUPPURAM TAMIL NADU 606205</t>
  </si>
  <si>
    <t>CKSPK5163J</t>
  </si>
  <si>
    <t xml:space="preserve"> INVK-2526-20714</t>
  </si>
  <si>
    <t>info.aarami@gmail.com</t>
  </si>
  <si>
    <t>Swati Mohta</t>
  </si>
  <si>
    <t>Design For Many</t>
  </si>
  <si>
    <t>SWATI MOHTA B 804 PURVA WESTEND KUDLU GATE BANGALORE SOUTH BENGALURU KARNATAKA 560068</t>
  </si>
  <si>
    <t xml:space="preserve">
9986348088</t>
  </si>
  <si>
    <t>BLPPM5831C</t>
  </si>
  <si>
    <t>INVK-2526-21903</t>
  </si>
  <si>
    <t xml:space="preserve">
mohta.swati@gmail.com</t>
  </si>
  <si>
    <t>K K FASEELA KAMAL</t>
  </si>
  <si>
    <t>AUTHENT TECHNOLOGIES LLP</t>
  </si>
  <si>
    <t>KANAVATH , MUTTIKKAD , ANANTHAVOOR , Ananthavoor , Ananthavur , Malappuram , Kerala , 676301</t>
  </si>
  <si>
    <t>KFEPK9326C</t>
  </si>
  <si>
    <t>INVK-2526-18309</t>
  </si>
  <si>
    <t>mailme@musthafakamal.com</t>
  </si>
  <si>
    <t>PRERNA GUPTA</t>
  </si>
  <si>
    <t>NORTHFACING INNOVATIONS PRIVATE LIMITED</t>
  </si>
  <si>
    <t>D/O SANJAY GUPTA HOUSE NO. F-4 NEAR CLUB PATIO SOUTH CITY 1 GURGAON HARYANA 122001</t>
  </si>
  <si>
    <t>AVEPG1933D</t>
  </si>
  <si>
    <t xml:space="preserve">INVK-2526-23000	</t>
  </si>
  <si>
    <t xml:space="preserve">
prerna@rotoris.com</t>
  </si>
  <si>
    <t>JOBBIN JOY</t>
  </si>
  <si>
    <t>100 FEET FILMS PRIVATE LIMITED</t>
  </si>
  <si>
    <t>S/O: JOYKUTTY P J S COTTAGE S N PURAM PAVITHRESWARAM KOLLAM KERALA 691507</t>
  </si>
  <si>
    <t>BFIPJ9617N</t>
  </si>
  <si>
    <t xml:space="preserve">
Company PAN - AABCZ6667N
</t>
  </si>
  <si>
    <t xml:space="preserve">INVK-2526-24223	</t>
  </si>
  <si>
    <t>jobbin@100feetfilms.com</t>
  </si>
  <si>
    <t>Ankit Talan</t>
  </si>
  <si>
    <t>United Traders</t>
  </si>
  <si>
    <t>Ankit Talan S / O,Rajendra Singh Talan , H No 6h / 234 , Sector 5,rajendra Nagar , VTC : Sahibabad , PO : Sahibabad , District : Ghaziabad , State : Uttar Pradesh , PIN Code : 201005</t>
  </si>
  <si>
    <t>AGNPT8885D</t>
  </si>
  <si>
    <t xml:space="preserve">INVK-2526-24085	</t>
  </si>
  <si>
    <t>ankittalan@gmail.com</t>
  </si>
  <si>
    <t>GARIMA BHATIA</t>
  </si>
  <si>
    <t>TWINLIFE COMMERCE PRIVATE LIMITED</t>
  </si>
  <si>
    <t>EA3/7 TATA PRIMANTI SOHNA ROAD GURGAON BADSHAHPUR GURGAON HARYANA 122101</t>
  </si>
  <si>
    <t>BEOPB2454N</t>
  </si>
  <si>
    <t>CIN: 
U46909HR2023PTC112738
Company PAN: AAKCT2140H</t>
  </si>
  <si>
    <t>INVK-2526-13965</t>
  </si>
  <si>
    <t>mudit@artofpuja.com</t>
  </si>
  <si>
    <t>Nov'25 bookings end here for billing</t>
  </si>
  <si>
    <t>Harry Kapoor</t>
  </si>
  <si>
    <t>The Human Truth Company</t>
  </si>
  <si>
    <t>S/O: SANDEEP KAPOOR F-29 DOUBLE STOREY MCD FLATS LODHI COLONY LODHI ROAD CENTRAL DELHI DELHI 110003</t>
  </si>
  <si>
    <t xml:space="preserve">
8800516941</t>
  </si>
  <si>
    <t>DTXPK9044K</t>
  </si>
  <si>
    <t xml:space="preserve">INVK-2526-22777 </t>
  </si>
  <si>
    <t>harrykapoor19@gmail.com</t>
  </si>
  <si>
    <t>MOHIT MAHAJAN</t>
  </si>
  <si>
    <t>IMAGENE INNOLAB LLP</t>
  </si>
  <si>
    <t>S/O SHASHI MAHAJAN 4/5 LALA LAJPAT RAI MARG CIVIL LINES AGRA UTTAR PRADESH 282002</t>
  </si>
  <si>
    <t xml:space="preserve">
9997725934</t>
  </si>
  <si>
    <t>AFBPM2271F</t>
  </si>
  <si>
    <t>Company PAN - AAIFI4101J</t>
  </si>
  <si>
    <t xml:space="preserve">INVK-2526-23664 </t>
  </si>
  <si>
    <t>biozen@gmail.com</t>
  </si>
  <si>
    <t>MOIZ MANSUR BOOKWALA</t>
  </si>
  <si>
    <t>BAND OF CAPES PRIVATE LIMITED</t>
  </si>
  <si>
    <t>D 504 Ganga Savera , Shivarkar Road , Lane of City Internatonal School , wanwadi , Pune City , PO : Wanowarie , DIST : Pune , Maharashtra - 411040</t>
  </si>
  <si>
    <t>CLOPB0802J</t>
  </si>
  <si>
    <t>Company PAN - AAKCB3641F</t>
  </si>
  <si>
    <t>INVK-2526-24679</t>
  </si>
  <si>
    <t xml:space="preserve">
moiz@bandofcapes.com</t>
  </si>
  <si>
    <t xml:space="preserve">Mohamed Javid
</t>
  </si>
  <si>
    <t>CRAB SOLUTIONS</t>
  </si>
  <si>
    <t>Mohamed Javid.M S / O : Mohamed Rafiq , T2 TRIPLE-C-MAJESTY , 48 / 6 , MUTHUKUMARAPPA STREET , SALIGRAMAM , VTC : Saligramam , PO : Saligramam , Sub District : Chennai , District : Chennai , State : Tamil Nadu , PIN Code : 600093</t>
  </si>
  <si>
    <t>ASXPM9825E</t>
  </si>
  <si>
    <t>Invoice</t>
  </si>
  <si>
    <t xml:space="preserve">
mohameed.jaavid@gmail.com</t>
  </si>
  <si>
    <t>Geethu Ramachandran</t>
  </si>
  <si>
    <t>ZENSEKAI TECHNOLOGIES (OPC) PRIVATE LIMITED</t>
  </si>
  <si>
    <t>W/O: ARUN KUMAR T V #FLAT NO.302, JAYAKAR APARTMENT NEAR POLICE STATION PANDESHWAR MANGALORE DAKSHINA KANNADA KARNATAKA 575001</t>
  </si>
  <si>
    <t>BSTPG6288E</t>
  </si>
  <si>
    <t>Dakshin kannada</t>
  </si>
  <si>
    <t>INVK-2526-24251</t>
  </si>
  <si>
    <t>geethuramachandran2201@gmail.com</t>
  </si>
  <si>
    <t>Rita Jindal</t>
  </si>
  <si>
    <t>Rita Jindal W / O Jagdish Rai , House Number . 1148 , Sector 44-B , VTC : Chandigarh , District : Chandigarh , State : Chandigarh , PIN Code 160047</t>
  </si>
  <si>
    <t>ABGPJ4364F</t>
  </si>
  <si>
    <t>Chandigarh</t>
  </si>
  <si>
    <t>INVK-2526-25195</t>
  </si>
  <si>
    <t>jindalrita61@gmail.com</t>
  </si>
  <si>
    <t>Mathew Jose</t>
  </si>
  <si>
    <t>The Syndicate24 Productions LLP</t>
  </si>
  <si>
    <t>Mathew Jose S / O Jose Mathew Karakunnel House Eyakkattil Vellimparamba Chelavur Kozhikode Kerala - 673008</t>
  </si>
  <si>
    <t xml:space="preserve">
9544101491</t>
  </si>
  <si>
    <t>DANPM4035D</t>
  </si>
  <si>
    <t>INVK-2526-24083</t>
  </si>
  <si>
    <t>mtwjs1@gmail.com</t>
  </si>
  <si>
    <t>Armaan Reet Bhaskar</t>
  </si>
  <si>
    <t>Forge Foundry</t>
  </si>
  <si>
    <t>S / O : Arvind Kumar Bhaskar , T-017 , Purva Park Apartments , 53-MSO Colony , Bangalore North , Fraser Town , Bengaluru , Bangalore North , Karnataka , 560005</t>
  </si>
  <si>
    <t>AXMPB8795J</t>
  </si>
  <si>
    <t xml:space="preserve"> INVK-2526-23926</t>
  </si>
  <si>
    <t>armaan@forgefoundry.in</t>
  </si>
  <si>
    <t>Harshad Jethalal Tank</t>
  </si>
  <si>
    <t>Fintribe India Private Limited</t>
  </si>
  <si>
    <t>Harshad Jethalal Tank S / O : Jethalal Tank DHARAVI KUMBHARWADA 3RD WADI 90 FEET ROAD SITLA MANDIR Dharavi ,Dharavi, Mumbai , Mumbai Maharashtra - 400017</t>
  </si>
  <si>
    <t>BTHPT7280E</t>
  </si>
  <si>
    <t>sam@fintribes.com</t>
  </si>
  <si>
    <t>arjun ramaraju</t>
  </si>
  <si>
    <t>Svasa Consulting</t>
  </si>
  <si>
    <t>C/O SUJATHA ARJUN A-1203, SALARPURIA SATTVA LUXURIA 8TH MAIN OPPOSITE TO YESHWANTPUR POLICE STATION MALLESHWARAM BANGALORE NORTH BENGALURU KARNATAKA 560055</t>
  </si>
  <si>
    <t xml:space="preserve">
9845106452</t>
  </si>
  <si>
    <t>AAWPR9809C</t>
  </si>
  <si>
    <t>INVK-2526-20750</t>
  </si>
  <si>
    <t xml:space="preserve">
arj5700@gmail.com</t>
  </si>
  <si>
    <t>AKTION SAFETY SOLUTIONS PRIVATE LIMITED</t>
  </si>
  <si>
    <t>Mailing address (M A)</t>
  </si>
  <si>
    <t>INVK-2526-25903</t>
  </si>
  <si>
    <t>Novaro Spaces</t>
  </si>
  <si>
    <t>24 Months</t>
  </si>
  <si>
    <t>INVK-2526-25461</t>
  </si>
  <si>
    <t>GREEN FUELS GLOBAL TRADING PRIVATE LIMITED</t>
  </si>
  <si>
    <t xml:space="preserve">INVK-2526-25934
</t>
  </si>
  <si>
    <t>DEVENDER BITLA</t>
  </si>
  <si>
    <t>MAR AVENUES AND INFRATECH</t>
  </si>
  <si>
    <t>ACEFM41TBM</t>
  </si>
  <si>
    <t>INVK-2526-26903</t>
  </si>
  <si>
    <t>VENKAT REDDY BRAMADI</t>
  </si>
  <si>
    <t xml:space="preserve"> ACVPBB441K</t>
  </si>
  <si>
    <t>December Month Billing End Here</t>
  </si>
  <si>
    <t>INVK-2526-26899</t>
  </si>
  <si>
    <t>Crissmol Joy</t>
  </si>
  <si>
    <t>AnC Green Energy</t>
  </si>
  <si>
    <t>#254, Sunny Greenwoods Layout, Chikkanagamangala, Bengaluru, Karnataka - 560099</t>
  </si>
  <si>
    <t xml:space="preserve">
8904694953</t>
  </si>
  <si>
    <t>31-12-2026</t>
  </si>
  <si>
    <t>INVK-2526-27543</t>
  </si>
  <si>
    <t>anc.greenenergy@gmail.com</t>
  </si>
  <si>
    <t xml:space="preserve">
Karan Singh</t>
  </si>
  <si>
    <t>CARECRES SERVICES INDIA PRIVATE LIMITED</t>
  </si>
  <si>
    <t>Flat no 305, L&amp;T Residence Phase-1, Sector-25, Seawoods, Navi Mumbai 400706</t>
  </si>
  <si>
    <t>INVK-2526-27884</t>
  </si>
  <si>
    <t xml:space="preserve">
karan.singh@carecres.com</t>
  </si>
  <si>
    <t>SUNIL SAIN</t>
  </si>
  <si>
    <t>3Bwisers Consulting Group</t>
  </si>
  <si>
    <t>00, BRAHAMANO KA MOHALLA, ITAWA ROAD. GACHHIPURA , 341504 ( RAJASTHAN )</t>
  </si>
  <si>
    <t>INVK-2526-27910</t>
  </si>
  <si>
    <t>contact@3bwisers.com</t>
  </si>
  <si>
    <t>CHIRAG SINGHAL</t>
  </si>
  <si>
    <t>HUSTLEHUB H1901, Site No.175, 19th Main Rd, Sector 4, HSR Layout, Bengaluru, Karnataka 560102</t>
  </si>
  <si>
    <t xml:space="preserve">	INVK-2526-27885</t>
  </si>
  <si>
    <t>chiragsinghal13.cs@gmail.com</t>
  </si>
  <si>
    <t xml:space="preserve">	Harinatha Reddy P</t>
  </si>
  <si>
    <t>CLOUD TREE TECHNOLOGIES</t>
  </si>
  <si>
    <t>EWS-970, 4 TH Floor, New looks Beauty parlor road, Near Bharath Nagar Water tank, Bharath Nagar Colony, Kukatpally, Hyderabad, 500018.</t>
  </si>
  <si>
    <t>13-01-2026</t>
  </si>
  <si>
    <t xml:space="preserve">	INVK-2526-27174</t>
  </si>
  <si>
    <t>pasapula.harinath@gmail.com</t>
  </si>
  <si>
    <t>Himanshu</t>
  </si>
  <si>
    <t>FemtoJoules Private Limited</t>
  </si>
  <si>
    <t>Villa 60 , Adarsh Sanctuary , Off Sarjapura Road near Bangalore Technological Institute, Kodathi , Opposite Assets 63 , Kodathi , Carmelaram , Bengaluru , Karnataka 560035</t>
  </si>
  <si>
    <t>16-12-2026</t>
  </si>
  <si>
    <t>INVK-2526-29341</t>
  </si>
  <si>
    <t xml:space="preserve">ettuad@gmail.com
</t>
  </si>
  <si>
    <t xml:space="preserve">
Loka Sushma Sastri</t>
  </si>
  <si>
    <t>Bytemonks Edtech LLP</t>
  </si>
  <si>
    <t xml:space="preserve">19/1, Maruthi layout, Jinkethimmannahalli TC Palya Margondanahalli Main Road, Bangalore, 560036
</t>
  </si>
  <si>
    <t>22-01-2026</t>
  </si>
  <si>
    <t>21-12-2026</t>
  </si>
  <si>
    <t>INVK-2526-28546</t>
  </si>
  <si>
    <t xml:space="preserve">
sushmasastri211@gmail.com</t>
  </si>
  <si>
    <t>26-01-2026</t>
  </si>
  <si>
    <t>25-12-2027</t>
  </si>
  <si>
    <t xml:space="preserve">
Adithya Kote Shashidhar</t>
  </si>
  <si>
    <t>Adi&amp;Co</t>
  </si>
  <si>
    <t>3076/1 Brigade Citadel Apartment, G02, Vivekananda Rd, Yadavgiri, Mysore 570020</t>
  </si>
  <si>
    <t>INVK-2526-24934</t>
  </si>
  <si>
    <t>adi@adiand.co</t>
  </si>
  <si>
    <t xml:space="preserve">
Chethan Rao M</t>
  </si>
  <si>
    <t xml:space="preserve">
Autumn Tech Worx</t>
  </si>
  <si>
    <t>No 3/A, Navarathna Residency, 1st MIG stage, KHB Colony, Basaweshwarnagar, Bangalore-560079</t>
  </si>
  <si>
    <t xml:space="preserve">
7338272727</t>
  </si>
  <si>
    <t>INVK-2526-30400</t>
  </si>
  <si>
    <t>chethan.pawar@outlook.com</t>
  </si>
  <si>
    <t>CECILIA ROSITA JULIET D SILVA</t>
  </si>
  <si>
    <t xml:space="preserve">
9845251855</t>
  </si>
  <si>
    <t>Jenuvary Bills End Here</t>
  </si>
  <si>
    <t>INVK-2526-29326</t>
  </si>
  <si>
    <t xml:space="preserve">
ceciliadsilva@springboardpro.in</t>
  </si>
  <si>
    <t>INVK-2526-31360</t>
  </si>
  <si>
    <t>Pathways Outdoor Learning</t>
  </si>
  <si>
    <t>Eguva Medavada, Srirangarajapuram, SR Puram Mandalam, Chittoor, Andhra Pradesh 517167</t>
  </si>
  <si>
    <t xml:space="preserve">INVK-2526-31361	</t>
  </si>
  <si>
    <t>info@rucksak.com</t>
  </si>
  <si>
    <t xml:space="preserve">
Krishnendu Bikash Das</t>
  </si>
  <si>
    <t xml:space="preserve">
Meraaquii Interactive Pvt Ltd</t>
  </si>
  <si>
    <t xml:space="preserve">
Tolly Gardens, 4 Moore Avenue, Regent Park, Kolkata - 700040
Subscription Details</t>
  </si>
  <si>
    <t xml:space="preserve">
9051579784</t>
  </si>
  <si>
    <t>INVK-2526-31159</t>
  </si>
  <si>
    <t>hello@meraaquii.com</t>
  </si>
  <si>
    <t xml:space="preserve">
MUD CUPS PRIVATE LIMITED</t>
  </si>
  <si>
    <t>#50, 2nd block, 7th cross, JR Green park, Anekal Chandapura road, Marsur, Bangalore - 562166</t>
  </si>
  <si>
    <t xml:space="preserve">
9019762077</t>
  </si>
  <si>
    <t>INVK-2526-31844</t>
  </si>
  <si>
    <t xml:space="preserve">
mudcupsofficial@gmail.com</t>
  </si>
  <si>
    <t xml:space="preserve">
Chandra Has Patel</t>
  </si>
  <si>
    <t>S/O :Lt Dhanurajaya Patel, At- Tilaipali, Post- Kedua, Teh - Saraipali, Kenduwa, PO: Kenduwa, Dist: Mahasamund, Chhattisgarh - 493558</t>
  </si>
  <si>
    <t xml:space="preserve">	INVK-2526-31943</t>
  </si>
  <si>
    <t xml:space="preserve">
chpatel2703@gmail.com</t>
  </si>
  <si>
    <t>MOHAMMED SUFIYAN KHAN</t>
  </si>
  <si>
    <t xml:space="preserve"> CLASSIC K3 DESIGN INTERIOR PRIVATE LIMITED</t>
  </si>
  <si>
    <t>S74, Haware Fantasia Business Park, Opp Vashi Railway Station</t>
  </si>
  <si>
    <t>INVK-2526-31839</t>
  </si>
  <si>
    <t xml:space="preserve">
k3designlab@gmail.com</t>
  </si>
  <si>
    <t>SNAPTRAIL PRIVATE LIMITED(SNAPVISA CONSULTANCY SERVICES LLP)</t>
  </si>
  <si>
    <t>INVK-2526-27637</t>
  </si>
  <si>
    <t>22-03-2026</t>
  </si>
  <si>
    <t>21-02-2027</t>
  </si>
  <si>
    <t>niharika1501@gmail.com</t>
  </si>
  <si>
    <t>INVK-2526-31828</t>
  </si>
  <si>
    <t xml:space="preserve">Suraj Srinath </t>
  </si>
  <si>
    <t xml:space="preserve">
Eriva Labs</t>
  </si>
  <si>
    <t>NO 308/9, 18TH MAIN ROAD, NEAR UDAYA SCHOOL, M R C R LAYOUT, VIJAYANAGAR, BANGALORE KARNATAKA 560040</t>
  </si>
  <si>
    <t xml:space="preserve">
8073599231</t>
  </si>
  <si>
    <t>INVK-2526-31868</t>
  </si>
  <si>
    <t>erivalabs@gmail.com</t>
  </si>
  <si>
    <t>Ashutosh Dutt</t>
  </si>
  <si>
    <t>Flat 610, Tower A, Ozone Evergreen Society, Off Harlur Rd, PWD Quarters, HSR Layout Sector 1, Bengaluru</t>
  </si>
  <si>
    <t>INVK-2526-31863</t>
  </si>
  <si>
    <t>ashutoshduttspam@gmail.com</t>
  </si>
  <si>
    <t>VERT LINE MARINE BUNKERS PRIVATE LIMITED</t>
  </si>
  <si>
    <t xml:space="preserve">
D.No.7-8-22, 3rd Floor,West Wing, Opp. R.K. Mission, Waltair Ward, Visakhapatnam - 03, A.P.</t>
  </si>
  <si>
    <t>INVK-2526-32717</t>
  </si>
  <si>
    <t xml:space="preserve">
accounts@vertbunkers.com</t>
  </si>
  <si>
    <t>Feb'26 Bill ended Here</t>
  </si>
  <si>
    <t>Vaishnavi Somani</t>
  </si>
  <si>
    <t xml:space="preserve">
ALIKHIT LOCAL NARRATIVES PRIVATE LIMITED</t>
  </si>
  <si>
    <t xml:space="preserve">
Margeniketan Hou soc, Sangamner Road, Shrirampur, Maharashtra 413709</t>
  </si>
  <si>
    <t>INVK-2526-34662</t>
  </si>
  <si>
    <t xml:space="preserve">
vaishnavi@local-narratives.com</t>
  </si>
  <si>
    <t>Tushar Kotangale</t>
  </si>
  <si>
    <t>Rankly Pvt. Ltd.</t>
  </si>
  <si>
    <t>House no. 343, 502, 5th Floor, 8th Main, ITI Layout, Sector-7, HSR Layout
Subscription Details</t>
  </si>
  <si>
    <t xml:space="preserve">
9752874839</t>
  </si>
  <si>
    <t>INVK-2526-29222</t>
  </si>
  <si>
    <t>tusharkotangale02@gmail.com</t>
  </si>
  <si>
    <t>KAPIL UPAMANYU</t>
  </si>
  <si>
    <t xml:space="preserve">
DIRECT ELECTRIC PRIVATE LIMITED</t>
  </si>
  <si>
    <t>D-202, Cauvery Serenity, Tumkur Road, Raghvendra Extension, Yeshwanthpura, Bengaluru, Karnataka - 560022</t>
  </si>
  <si>
    <t>Permanent Signage 1700 Extra for This Booking, Total 6000+1700=7700</t>
  </si>
  <si>
    <t>INVK-2526-34710</t>
  </si>
  <si>
    <t xml:space="preserve">
directelectricpvtltd@outlook.com</t>
  </si>
  <si>
    <t>Rahul George</t>
  </si>
  <si>
    <t xml:space="preserve">
ARI FRAGRANCES</t>
  </si>
  <si>
    <t>#73, 3RD CROSS, DCOSTA SQUARE, COOKE TOWN, BANGALORE 560084</t>
  </si>
  <si>
    <t xml:space="preserve">
9343213411</t>
  </si>
  <si>
    <t>INVK-2526-35221</t>
  </si>
  <si>
    <t xml:space="preserve">
rahul@arimktg.com</t>
  </si>
  <si>
    <t>SANJEETH SHETTY</t>
  </si>
  <si>
    <t xml:space="preserve">
TECHNOSHALA FOUNDATION</t>
  </si>
  <si>
    <t xml:space="preserve">
11B Vaishnavi At-One Premiere St John’s Road, Hermit Colony Bangalore 560 042, India</t>
  </si>
  <si>
    <t xml:space="preserve">
6366410363</t>
  </si>
  <si>
    <t>INVK-2526-33379</t>
  </si>
  <si>
    <t>compliance.technoshala@gmail.com</t>
  </si>
  <si>
    <t xml:space="preserve">
9901258971</t>
  </si>
  <si>
    <t>INVK-2526-33359</t>
  </si>
  <si>
    <t xml:space="preserve">
compliance.neubery@gmail.com</t>
  </si>
  <si>
    <t>Middlebury Design Private Limited</t>
  </si>
  <si>
    <t xml:space="preserve">	INVK-2526-33363</t>
  </si>
  <si>
    <t>compliance.middlebury@gmail.com</t>
  </si>
  <si>
    <t>TWP MEDIA AND MANAGEMENT PRIVATE LIMITED</t>
  </si>
  <si>
    <t xml:space="preserve">	INVK-2526-33362</t>
  </si>
  <si>
    <t xml:space="preserve">
compliance.darpanalaya@gmail.com</t>
  </si>
  <si>
    <t xml:space="preserve">
Sanjeeth Shetty Associates</t>
  </si>
  <si>
    <t>INVK-2526-33360</t>
  </si>
  <si>
    <t xml:space="preserve">
compliance.ssassociates@gmail.com</t>
  </si>
  <si>
    <t>JUMADI DESIGN AND DIGITALS LLP</t>
  </si>
  <si>
    <t>INVK-2526-33361</t>
  </si>
  <si>
    <t>compliance.jumaadi.01@gmail.com</t>
  </si>
  <si>
    <t>Sanjeeth Shetty Foundation</t>
  </si>
  <si>
    <t>INVK-2526-33376</t>
  </si>
  <si>
    <t>compliance.ssfoundation@gmail.com</t>
  </si>
  <si>
    <t>Simran</t>
  </si>
  <si>
    <t>Tiny Essentials Enterprises</t>
  </si>
  <si>
    <t xml:space="preserve">
1053, 7th a main, 80 feet road, koramangala 1st block, bangalore 560034</t>
  </si>
  <si>
    <t>INVK-2526-34523</t>
  </si>
  <si>
    <t>drsimrannkaur@gmail.com</t>
  </si>
  <si>
    <t>DILIP kumar Tiwary</t>
  </si>
  <si>
    <t>WARADA SOLUTIONS</t>
  </si>
  <si>
    <t>House no 129 ,first floor, 5 th cross Cambridge layout, Halasuru , Bengaluru,560008</t>
  </si>
  <si>
    <t>16/03-2026</t>
  </si>
  <si>
    <t>INVK-2526-36427</t>
  </si>
  <si>
    <t>waradasolutions@gmail.com</t>
  </si>
  <si>
    <t>Sunil Kumar Rao</t>
  </si>
  <si>
    <t>SURAG DEVELOPERS LLP</t>
  </si>
  <si>
    <t>224,8th Main Uttarahalli Happy Valley layout,Bangalore-560061,Karnataka</t>
  </si>
  <si>
    <t>INVK-2526-36041</t>
  </si>
  <si>
    <t>.
PUJA DUTTA</t>
  </si>
  <si>
    <t xml:space="preserve">
PUJA DUTTA</t>
  </si>
  <si>
    <t>INVK-2526-34671</t>
  </si>
  <si>
    <t>ecomtaniraproducts@gmail.com</t>
  </si>
  <si>
    <t>B5 - 301, Ramky One North Apartments, Doddaballapur Road, Avalahalli, Yelahanka, Bengaluru - 560064</t>
  </si>
  <si>
    <t>23-02-2027</t>
  </si>
  <si>
    <t>INVK-2526-37182</t>
  </si>
  <si>
    <t>sabooj1912@gmail.com</t>
  </si>
  <si>
    <t>Varun Rathi</t>
  </si>
  <si>
    <t>D-41, Shastri Nagar Jodhpur, Rajasthan - 342001</t>
  </si>
  <si>
    <t>INVK-2526-35854</t>
  </si>
  <si>
    <t>varun.rathi36@gmail.com</t>
  </si>
  <si>
    <t>J Vinayak</t>
  </si>
  <si>
    <t xml:space="preserve">
VK GLOBAL ENTERPRISE</t>
  </si>
  <si>
    <t>3439,4th cross, 10th Main road, 2nd Stage,Indira Nagar, Bengaluru-560038</t>
  </si>
  <si>
    <t xml:space="preserve">
8050099898</t>
  </si>
  <si>
    <t>30-03-2026</t>
  </si>
  <si>
    <t>29-02-2027</t>
  </si>
  <si>
    <t>INVK-2526-37688</t>
  </si>
  <si>
    <t xml:space="preserve">
phifer.vkglobal@gmail.com</t>
  </si>
  <si>
    <t>Sanjeeth Shetty</t>
  </si>
  <si>
    <t xml:space="preserve">
Windsornine Consulting Private Limited</t>
  </si>
  <si>
    <t xml:space="preserve">
6366410362</t>
  </si>
  <si>
    <t>INVK-2526-33375</t>
  </si>
  <si>
    <t xml:space="preserve">
compliance.windsornine@gmail.com</t>
  </si>
  <si>
    <t xml:space="preserve">
Nidhin Antony</t>
  </si>
  <si>
    <t xml:space="preserve">
NIDHIN COTTAGE, Kanniarpadam, chittur, palakkad, kerala, 678101</t>
  </si>
  <si>
    <t xml:space="preserve">
8317341625</t>
  </si>
  <si>
    <t>INVK-2526-37932</t>
  </si>
  <si>
    <t>nidhin.johnson.antony@gmail.com</t>
  </si>
  <si>
    <t>Mar'26 Bill ended Here</t>
  </si>
  <si>
    <t>ACHAL AGARWAL</t>
  </si>
  <si>
    <t xml:space="preserve">
TWO FORTY FIVE DEGREES COMMUNICATIONS PRIVATE LIMITED</t>
  </si>
  <si>
    <t>1335 Sector 45,Gurgaon,Haryana 122003</t>
  </si>
  <si>
    <t xml:space="preserve">
9899743185</t>
  </si>
  <si>
    <t>31-03-2027</t>
  </si>
  <si>
    <t>INVK-2526-38224</t>
  </si>
  <si>
    <t>accounts@245degrees.com</t>
  </si>
  <si>
    <t xml:space="preserve">
Narsimha</t>
  </si>
  <si>
    <t>Nexvora marketing private limited</t>
  </si>
  <si>
    <t>B-80 Bharath nagar beml nagar Kgf 563115</t>
  </si>
  <si>
    <t>Invoice(Invoice Number Not available in MYHQ Portal)</t>
  </si>
  <si>
    <t xml:space="preserve">
narasimhab2001@gmail.com</t>
  </si>
  <si>
    <t>Abhishek Gupta</t>
  </si>
  <si>
    <t>SARGVISION INTELLIGENCE PRIVATE LIMITED</t>
  </si>
  <si>
    <t xml:space="preserve">
102, #20, 1st Main Road, Mahadevpura, Bengaluru, 560048</t>
  </si>
  <si>
    <t xml:space="preserve">
6363740720</t>
  </si>
  <si>
    <t>INVK-2526-37854</t>
  </si>
  <si>
    <t xml:space="preserve">
sarguptaw@gmail.com</t>
  </si>
  <si>
    <t xml:space="preserve">
BIRENDRA KUMAR SINGH</t>
  </si>
  <si>
    <t xml:space="preserve">
Pia Fashions</t>
  </si>
  <si>
    <t xml:space="preserve">
RD/36, ELLISON PATH, BIDHANNAGAR, Durgapur (m Corp.), Barddhaman, Bidhannagar, West Bengal, 713212</t>
  </si>
  <si>
    <t xml:space="preserve">
8007311939</t>
  </si>
  <si>
    <t>INVK-2627-01351</t>
  </si>
  <si>
    <t xml:space="preserve">
divyasingh17@gmail.com</t>
  </si>
  <si>
    <t>Sharvari Infra LLP</t>
  </si>
  <si>
    <t xml:space="preserve">
No. 11/13, 2ND FLOOR, 3RD B CROSS, LAL BAHADUR NAGAR EAST OF NGEF LAYOUT, KASTURI NAGAR</t>
  </si>
  <si>
    <t xml:space="preserve">
9591829480</t>
  </si>
  <si>
    <t>INVK-2627-00956</t>
  </si>
  <si>
    <t xml:space="preserve">
muniraj53@gmail.com</t>
  </si>
  <si>
    <t xml:space="preserve">
avinash sinha</t>
  </si>
  <si>
    <t xml:space="preserve">
Bohoroot Design studio</t>
  </si>
  <si>
    <t>3rd Floor, No. 224, 80/3, Old Madras Road, K R Puram Hobli, Bengaluru, KSN Bengaluru, Near Workflow Ranka Junction, KR Puram, ORR, Vijinapur Village, Bengaluru, District: Bengaluru Urban, Karnataka, PIN Code: 560016</t>
  </si>
  <si>
    <t xml:space="preserve">
8884999923</t>
  </si>
  <si>
    <t>INVK-2526-32857</t>
  </si>
  <si>
    <t>avinash@bohoroot.com</t>
  </si>
  <si>
    <t>14-04-2026</t>
  </si>
  <si>
    <t>13-03-2027</t>
  </si>
  <si>
    <t>INVK-2627-01526</t>
  </si>
  <si>
    <t>30-04-2027</t>
  </si>
  <si>
    <t xml:space="preserve">	INVK-2526-37682</t>
  </si>
  <si>
    <t xml:space="preserve">
Rupeeit
</t>
  </si>
  <si>
    <t xml:space="preserve">
Finsri Technologies Pvt Ltd</t>
  </si>
  <si>
    <t xml:space="preserve">
DS MAX SPARKNEST , FLAT - 008 , CHOKKANHALI , BANAGLORE , 560064 , KARNATAKA</t>
  </si>
  <si>
    <t>17-04-2026</t>
  </si>
  <si>
    <t>16-03-2027</t>
  </si>
  <si>
    <t>INVK-2627-01238</t>
  </si>
  <si>
    <t xml:space="preserve">
riteshofficial2801@gmail.com</t>
  </si>
  <si>
    <t>INVK-2627-02347</t>
  </si>
  <si>
    <t>ARTIMES LLP</t>
  </si>
  <si>
    <t>#529, 53rd Cross, 3rd Block, Rajajinagar, Bangalore 560010</t>
  </si>
  <si>
    <t>INVK-2526-36728</t>
  </si>
  <si>
    <t xml:space="preserve">
prashanthbharadwajb@gmail.com</t>
  </si>
  <si>
    <t>23-04-2026</t>
  </si>
  <si>
    <t>22-03-2027</t>
  </si>
  <si>
    <t>INVK-2627-02035</t>
  </si>
  <si>
    <t xml:space="preserve">
aj@sustaincomply.co.in</t>
  </si>
  <si>
    <t>INVK-2627-03077</t>
  </si>
  <si>
    <t xml:space="preserve">
prankit@carbn.xyz</t>
  </si>
  <si>
    <t>INVK-2627-02598</t>
  </si>
  <si>
    <t>billawariteish@gmail.com</t>
  </si>
  <si>
    <t>Hardique Dasore</t>
  </si>
  <si>
    <t xml:space="preserve">	FUZZY NODES</t>
  </si>
  <si>
    <t>2959 Second floor, Sector 15, Panchkula, Haryana- 134113</t>
  </si>
  <si>
    <t>29-04-2026</t>
  </si>
  <si>
    <t>28-03-2027</t>
  </si>
  <si>
    <t>April 26 Bills end Here</t>
  </si>
  <si>
    <t>INVK-2627-02176</t>
  </si>
  <si>
    <t xml:space="preserve">
tech@fuzzynodes.com</t>
  </si>
  <si>
    <t>Aarushi Chawla</t>
  </si>
  <si>
    <t xml:space="preserve">
2067/35, B1/5, Dunes Residency, Dunetha, Nani Daman, Daman</t>
  </si>
  <si>
    <t>INVK-2627-03823</t>
  </si>
  <si>
    <t xml:space="preserve">
aarushi@zapzsnacks.com</t>
  </si>
  <si>
    <t xml:space="preserve">	INVK-2627-03070</t>
  </si>
  <si>
    <t>mailto.dakshaarav.enterprises@gmail.com</t>
  </si>
  <si>
    <t xml:space="preserve">INVK-2627-04906	</t>
  </si>
  <si>
    <t xml:space="preserve">
geekgeniusindia@gmail.com</t>
  </si>
  <si>
    <t>20-05-2026</t>
  </si>
  <si>
    <t>19-04-2027</t>
  </si>
  <si>
    <t>INVK-2627-05173</t>
  </si>
  <si>
    <t xml:space="preserve">
luellalife@gmail.com</t>
  </si>
  <si>
    <t>Ground Floor, K NO 18/1, ROCKY GREEN, Markham Road 4th Street, Sub Post Office, Ashok Nagar, Bengaluru, Bengaluru Urban, Karnataka, 560025</t>
  </si>
  <si>
    <t>chonden@haeyodating.com</t>
  </si>
  <si>
    <t>YLASA PRIVATE LIMITED</t>
  </si>
  <si>
    <t>#5, Outer Ring Road, Near Anjaneya Temple, Mahadevapura Villege, Bangalore North, Bengaluru, Karnataka - 560048</t>
  </si>
  <si>
    <t xml:space="preserve">
8867766692</t>
  </si>
  <si>
    <t>INVK-2627-07353</t>
  </si>
  <si>
    <t xml:space="preserve">
rajeshogi061@gmail.com</t>
  </si>
  <si>
    <t>.
INVK-2526-37160</t>
  </si>
  <si>
    <t xml:space="preserve">
gautam@southdocs.in</t>
  </si>
  <si>
    <t xml:space="preserve">INVK-2627-05749	</t>
  </si>
  <si>
    <t>christinjosesales@gmail.com</t>
  </si>
  <si>
    <t>Anil John</t>
  </si>
  <si>
    <t>IdeaSpline Technologies</t>
  </si>
  <si>
    <t>VELLAKKOTTU KURIAN ULAHANNAN HOUSE NO 125 9TH CROSS, BDS GARDEN GEDDALAHALLI, K NARAYANAPURA NARAYANAPURA .K BENGALURU KARNATAKA 560077</t>
  </si>
  <si>
    <t>16/6/2026</t>
  </si>
  <si>
    <t>15/5/2027</t>
  </si>
  <si>
    <t>INVK-2627-08726</t>
  </si>
  <si>
    <t>Zelena Enterprises</t>
  </si>
  <si>
    <t>13/06/2026</t>
  </si>
  <si>
    <t>zelenaenterprises01@gmail.com</t>
  </si>
  <si>
    <t>RAVICHANDRAN DHARANIDHARAN</t>
  </si>
  <si>
    <t>ravi@endorphinfoods.com</t>
  </si>
  <si>
    <t>Ipause</t>
  </si>
  <si>
    <t>17/07/2026</t>
  </si>
  <si>
    <t>18/06/2027</t>
  </si>
  <si>
    <t>INVK-2627-13732</t>
  </si>
  <si>
    <t>INVK-2627-15954</t>
  </si>
  <si>
    <t>Muhammath Maushook Ali</t>
  </si>
  <si>
    <t>21/93 Market Road, Thuckalay, Kanyakumari Dist, Tamilnadu, India, 629175</t>
  </si>
  <si>
    <t>INVK-2627-01303</t>
  </si>
  <si>
    <t>hello@maushook.com</t>
  </si>
  <si>
    <t>Himutt</t>
  </si>
  <si>
    <t>21-7-60, Ghansi Bazar, Bad ka Jahad, Hyderabad - 500002</t>
  </si>
  <si>
    <t>27/07/2026</t>
  </si>
  <si>
    <t>28/06/2027</t>
  </si>
  <si>
    <t xml:space="preserve">
INVK-2627-16787</t>
  </si>
  <si>
    <t>himuttinfraandenergyprojects@gmail.com</t>
  </si>
  <si>
    <t xml:space="preserve">	RAVI GROVER</t>
  </si>
  <si>
    <t>AMBERZEN FRAGRANCES PRIVATE LIMITED</t>
  </si>
  <si>
    <t xml:space="preserve">
5H/11, NIT Faridabad,Haryana - 121001</t>
  </si>
  <si>
    <t xml:space="preserve">
9873492991</t>
  </si>
  <si>
    <t>29-08-2026</t>
  </si>
  <si>
    <t>28-07-2027</t>
  </si>
  <si>
    <t>Invoice(Invoice number not Available in the portal)</t>
  </si>
  <si>
    <t xml:space="preserve">
shreedigisource@gmail.com</t>
  </si>
  <si>
    <t>This is walkin for renewal</t>
  </si>
  <si>
    <t>TRANSPORT NAGAR LUCKNOW</t>
  </si>
  <si>
    <t>INVK-2627-19294</t>
  </si>
  <si>
    <t>shubham.dwivedi@cellnox.in</t>
  </si>
  <si>
    <t>Maneesh K</t>
  </si>
  <si>
    <t>Kariyattil madam house mattathur kunnu po kodakara thrissur</t>
  </si>
  <si>
    <t>18/08/2026</t>
  </si>
  <si>
    <t>17/07/2027</t>
  </si>
  <si>
    <t>INVK-2627-20382</t>
  </si>
  <si>
    <t>Prathu Baronia</t>
  </si>
  <si>
    <t>17, 2ND FLOOR, 7TH MAIN ROAD II stage Indiranagar</t>
  </si>
  <si>
    <t>18/09/2026</t>
  </si>
  <si>
    <t>17/08/2027</t>
  </si>
  <si>
    <t>INVK-2627-22306</t>
  </si>
  <si>
    <t>praton@redkill.in</t>
  </si>
  <si>
    <t>Paymentstatus</t>
  </si>
  <si>
    <t>AMITH SHANKAR</t>
  </si>
  <si>
    <t>SHACHAY GLOBAL BUSINESS SOLUTIONS PRIVATE LIMITED</t>
  </si>
  <si>
    <t xml:space="preserve">No. 6 Vasista Residency 1 cross, ICICI bank, Simhadri Layout, Uttarahalli, Subramanyapura, Bengalore 560061  </t>
  </si>
  <si>
    <t>EMVPS9926Q</t>
  </si>
  <si>
    <t xml:space="preserve">Muskaan </t>
  </si>
  <si>
    <t>Operation Team</t>
  </si>
  <si>
    <t>VXSPVT100173</t>
  </si>
  <si>
    <t>V Ganesh Babu</t>
  </si>
  <si>
    <t>BRANTHORIX TECHNOLOGIES PRIVATE LIMITED</t>
  </si>
  <si>
    <t>Director V Ganesh Babu S/O Venkatesh V, #18, 1 st floor, 1 st Cross, Nissan house, Victoria layout, Opp KEB, Austin town,
Bangalore south Karnataka - 560047</t>
  </si>
  <si>
    <t>CAXPV4937Q</t>
  </si>
  <si>
    <t>Booking ID: VXSPVT100252</t>
  </si>
  <si>
    <t>SUDHAKAR
GUNDEPUDI</t>
  </si>
  <si>
    <t>NSURE ITS SOLUTIONS PRIVATE LIMITED</t>
  </si>
  <si>
    <t>Director, SUDHAKAR GUNDEPUDI Address:T-7, Third Floor, Srikanth Enclave, 9th Cross Road Abbiah Reddy Layout, Kaggadasapura, VTC: Kaggadasapura, PO: C.V. Raman Nagar, Bengaluru, Karnataka.</t>
  </si>
  <si>
    <t>AHLPG6930H</t>
  </si>
  <si>
    <t> 9871001142</t>
  </si>
  <si>
    <t>Booking ID : VXSPVT100310</t>
  </si>
  <si>
    <t>Toshi Jain</t>
  </si>
  <si>
    <t>Engagino (OPC) Private Limited</t>
  </si>
  <si>
    <t>Director, Toshi Jain D/o Anil Kumar Jain,
149, Bada Bazar, Vidhyapeeth School Kesamne, Vivekanand Ward, Sagar, Sagar City, Madhya Pradesh
- 470002</t>
  </si>
  <si>
    <t>ASUPJ7988A</t>
  </si>
  <si>
    <t>Booking ID : VXSPVT100379</t>
  </si>
  <si>
    <t>Sandeep singh</t>
  </si>
  <si>
    <t>Rainboweucalyptus Technologies Private Limited</t>
  </si>
  <si>
    <t>S/O Deo Narayan Singh, 3H-123,
Kalpataru Aura, Opposite R-c1ty Mall, Ghatkopar West, Mumbai, Mumbai Suburban, Ghatkopar West,
Maharashtra,</t>
  </si>
  <si>
    <t>DODPS5895K</t>
  </si>
  <si>
    <t xml:space="preserve">Kashish Sharma </t>
  </si>
  <si>
    <t>Booking ID : VXSPVT100482</t>
  </si>
  <si>
    <t xml:space="preserve">Behera Mital </t>
  </si>
  <si>
    <t>Unbox delight</t>
  </si>
  <si>
    <t>D/O Behera
Gobardhan, 173, Ananda Nagar, Gorwa, Vadodara, Industrial Estate, Gujarat – 390016</t>
  </si>
  <si>
    <t>CEZPB6455F</t>
  </si>
  <si>
    <t>Vadodara</t>
  </si>
  <si>
    <t xml:space="preserve">Rupam Kumari </t>
  </si>
  <si>
    <t>Booking ID : VXSPVT100593</t>
  </si>
  <si>
    <t xml:space="preserve">Hamsashree R </t>
  </si>
  <si>
    <t>MIRRAQUIX TECHNOLOGIES PRIVATE LIMITED</t>
  </si>
  <si>
    <t>C/O Ravikumar N, No 333, Durga Ground Floor, 5 th Main 19 th
Cross, BEML Layout, Basaveshwar nagar, Bangalore 560079</t>
  </si>
  <si>
    <t>ATRPH7833C</t>
  </si>
  <si>
    <t>Booking ID : VXSPVT100530</t>
  </si>
  <si>
    <t>Girish Kumar Sahu</t>
  </si>
  <si>
    <t>TechHans AI Consulting Private Limited</t>
  </si>
  <si>
    <t>Address: S/O- A.K. Sahu, No.70 $th Cross Manjunathan
Layout, Mangammana Paliya, Bangalore South, PO: Bommanahalli, DIST: Bangalore, Karnataka-
560068</t>
  </si>
  <si>
    <t>AAZPS6877N</t>
  </si>
  <si>
    <t xml:space="preserve"> 29AAMCT3803H1Z4</t>
  </si>
  <si>
    <t>Vinita Pawar</t>
  </si>
  <si>
    <t>CRMFolks Private Limited</t>
  </si>
  <si>
    <t>81/3, Jay Bhawani Nagar, Indore, Madhya Pradesh- 452001</t>
  </si>
  <si>
    <t>Jatin</t>
  </si>
  <si>
    <t>98710 18004</t>
  </si>
  <si>
    <t>Mailing address</t>
  </si>
  <si>
    <t>Booking ID:  B2BVXL0066</t>
  </si>
  <si>
    <t xml:space="preserve"> Pankaj Jayshri Yadav </t>
  </si>
  <si>
    <t>PYA GLOBAL CORPORATION</t>
  </si>
  <si>
    <t>S/O Jayashri Yadav, Behind Hanuman Mandhir, L.B.S Marg, Naik Nagar rahiwashi seva sangh, Sion West, Sion, Mumbai, Maharashtra-400022.</t>
  </si>
  <si>
    <t>ADCPY8505F</t>
  </si>
  <si>
    <t>Booking ID : VXSPVT100661</t>
  </si>
  <si>
    <t>LABSARK TECHNOLOGIES PRIVATE LIMITED</t>
  </si>
  <si>
    <t>Booking ID : VXSPVT100720</t>
  </si>
  <si>
    <t>MOHAMMED NAYEEM M</t>
  </si>
  <si>
    <t>MN TRADERS</t>
  </si>
  <si>
    <t>21-01-2026</t>
  </si>
  <si>
    <t>20-01-2026</t>
  </si>
  <si>
    <t>Booking ID: VXSPVT100778</t>
  </si>
  <si>
    <t xml:space="preserve"> Sunita Singh </t>
  </si>
  <si>
    <t xml:space="preserve">RS BUSINESS VENTURES </t>
  </si>
  <si>
    <t>Booking ID: VXSPVT100786</t>
  </si>
  <si>
    <t xml:space="preserve">SREEKANTH MC </t>
  </si>
  <si>
    <t>Gradiant Infracon Solutions Pvt Ltd</t>
  </si>
  <si>
    <t>Booking ID                  : VXSPVT100835</t>
  </si>
  <si>
    <t>Booking ID                  : VXSPVT100252R1</t>
  </si>
  <si>
    <t>18-05-2026</t>
  </si>
  <si>
    <t>17-04-2027</t>
  </si>
  <si>
    <t>Booking ID    : VXSPVT100310R1</t>
  </si>
  <si>
    <t>Pavithra
M</t>
  </si>
  <si>
    <t>Arithran Attires Pvt Ltd</t>
  </si>
  <si>
    <t>Through its Director Pavithra
M, D/O Murugesan 1/361, Keela Vadakku Street A Kalappur A Kalappur Kalappur Sivaganag Tamil
Nadu - 630501</t>
  </si>
  <si>
    <t>GPYPP2468L,</t>
  </si>
  <si>
    <t xml:space="preserve">Jatin Saxena </t>
  </si>
  <si>
    <t>Sales Team</t>
  </si>
  <si>
    <r>
      <t> </t>
    </r>
    <r>
      <rPr>
        <b/>
        <sz val="10"/>
        <color rgb="FF0D0D0D"/>
        <rFont val="Arial"/>
        <family val="2"/>
      </rPr>
      <t>ESRXVO100021</t>
    </r>
    <r>
      <rPr>
        <b/>
        <sz val="10"/>
        <color rgb="FF0D0D0D"/>
        <rFont val="Segoe UI"/>
        <family val="2"/>
      </rPr>
      <t xml:space="preserve"> (Notorised documents sharedtwo times)</t>
    </r>
  </si>
  <si>
    <t>Mohammad Kaleem Ulla</t>
  </si>
  <si>
    <t>ZIRWA FOODS PRIVATE LIMITED</t>
  </si>
  <si>
    <t>Director Mohammad Kaleem Ulla S/o
A M Samiulla No 3 S H Residency 5 th Cross, N Nagenahalli, Kempegowda Layout, Bangalore North, Bangalore Karnataka - 560077</t>
  </si>
  <si>
    <t xml:space="preserve">BSWPM0624D </t>
  </si>
  <si>
    <t>Tonmoy Saha</t>
  </si>
  <si>
    <t>AGNIG TECHNOLOGY PVT LTD</t>
  </si>
  <si>
    <t>S/O Swapan Kumar Saha, Vill-Hetia, PO-Kundal, PS-Burwan,
Kundal, PO-Kundal, Dist: Murshidabad, West Bengal - 742168.</t>
  </si>
  <si>
    <t>Booking Reference Number: ESRXVO100057</t>
  </si>
  <si>
    <t>Kukunarapu Mahesh Kumar</t>
  </si>
  <si>
    <t>BIORICA SCIENCES PRIVATE LIMITED</t>
  </si>
  <si>
    <t>Authorized Signatory Kukunarapu
Mahesh Kumar S/o Narsimhulu Kukunarapu, SRT-1178, 3 rd Floor, Sanath Nagar, Sanathnagar IE, Hyderabad, Telangana- 500018</t>
  </si>
  <si>
    <t>KAGPK3921N</t>
  </si>
  <si>
    <t>Tealangana</t>
  </si>
  <si>
    <t>Keshva</t>
  </si>
  <si>
    <t>Booking ID -ESRXVO100097</t>
  </si>
  <si>
    <t>NIFE APPS LABS PRIVATE LIMITED</t>
  </si>
  <si>
    <t>Director NIDA SAHAR RAFEE, D/O Rafee Ahmed, No 9 A 2 nd Street, Tasker town, Chick Bazaar Road,
Shivaji Nagar, Bangalore North, Bangalore – Karnataka -560051</t>
  </si>
  <si>
    <t>Karanataka</t>
  </si>
  <si>
    <t>Booking ID -ESRXVO100118</t>
  </si>
  <si>
    <t>Servogenix Technologies Private Limited</t>
  </si>
  <si>
    <t>Director, Yogesh Panjwani  S/o
Gatreddi, Neelakanta, Ward no - 16, Pratappura, VishwakarmaMandir ke Paas, Itarsi, Hoshangabad, Madhya
Pradesh - 461111,</t>
  </si>
  <si>
    <t>BOTPP9389D</t>
  </si>
  <si>
    <t>Madya Pradesh</t>
  </si>
  <si>
    <t>Booking ID ESRXVO100120</t>
  </si>
  <si>
    <t>Shah Digital Private Limited</t>
  </si>
  <si>
    <t>Authorized Signatory Shah Aagam, C/O Ketankumar Narpatlal Shah, Flat No F – 203, Meadow in the sun Kapila
Apartment Road, Eastwood Twp, Bangalore South, Bangalore Karnataka – 560035</t>
  </si>
  <si>
    <t>GZJPS7513A,</t>
  </si>
  <si>
    <t>Booking ID ESRXVO100116</t>
  </si>
  <si>
    <t>ElaNix Ventures</t>
  </si>
  <si>
    <t xml:space="preserve">Proprietor, Nitish Kumar Singh C/O Nitish Singh, C702, SJR PARKWAY HOMES, Rayasandra Road, Rayasandra, Near Rayasandra Lake, Bangalore South, Electronics City, Bengaluru Karnataka - 560100, </t>
  </si>
  <si>
    <t xml:space="preserve">EBQPS0280D </t>
  </si>
  <si>
    <t>Booking ID ESRXVO100144,</t>
  </si>
  <si>
    <t>C Athulkanth</t>
  </si>
  <si>
    <t>One Degrees LLC</t>
  </si>
  <si>
    <t>S/O Ambili Chandran, Madathil Veedu, Pulamon P O, Kottarakkara, Kollam, Pulamon, Kerala - 691531</t>
  </si>
  <si>
    <t>AVOPC8113B</t>
  </si>
  <si>
    <t>Keshav Kashyap</t>
  </si>
  <si>
    <t>Booking ID ESRXVO100187</t>
  </si>
  <si>
    <t>NEXTGENVECTORA DATA INNOVATIONS (OPC) PRIVATE LIMITED</t>
  </si>
  <si>
    <t>Prriya Bajaj</t>
  </si>
  <si>
    <t>XHE INFINITY LIFESTYLE</t>
  </si>
  <si>
    <t>W/O Amit Gera, B-6/977, Near Panjabi, ramlila ground, Rohtak, Haryana - 124001</t>
  </si>
  <si>
    <t>ALXPB1931F</t>
  </si>
  <si>
    <t>Booking ID ESRXVO100184</t>
  </si>
  <si>
    <t>renewal R1 Done Directly from Customer</t>
  </si>
  <si>
    <t>29ALXPB1931F1Z0</t>
  </si>
  <si>
    <t>Keskar Karthik</t>
  </si>
  <si>
    <t>MasterKey Infra Projects Private Limited</t>
  </si>
  <si>
    <t>C/O Narayana Swamy K, Flat B 208, Vineyard Chrysolite, Hennur, Banaglore North, Karnataka – 560043</t>
  </si>
  <si>
    <t>AUFBK6290H</t>
  </si>
  <si>
    <t>Booking ID -ESRXVO100241</t>
  </si>
  <si>
    <t>SHRIPAD SHEJAWADKAR</t>
  </si>
  <si>
    <t>DHANVRIDDHI INFRA LEGACY LLP</t>
  </si>
  <si>
    <t>S/O Suresh, #219 Sitalaksmi, Akshay Colony 2nd Phase, Opp. Chethana PU Science College, Gokul Road, Udyamnaagr, Hubli, Dharwad-580030</t>
  </si>
  <si>
    <t>CTYPS5792Q</t>
  </si>
  <si>
    <t>Dharwad</t>
  </si>
  <si>
    <t>Booking ID ESRXVO100277</t>
  </si>
  <si>
    <t xml:space="preserve">KOMAL BHIKAN MALI </t>
  </si>
  <si>
    <t>Thinksmart Technologies Private Limited</t>
  </si>
  <si>
    <t>at D/O,Bhikan Mali, Shivkripa Nivas, Savitri road, Opp. Patil Hospital, Mahad, Raigrah, Maharashtra-402301.</t>
  </si>
  <si>
    <t>Booking ID ESRXVO100319</t>
  </si>
  <si>
    <t>Snehaal V Pai</t>
  </si>
  <si>
    <t xml:space="preserve"> SBS VENTURES</t>
  </si>
  <si>
    <t>Booking ID ESRXVO100423,</t>
  </si>
  <si>
    <t>Kavita Singh</t>
  </si>
  <si>
    <t>ETHOS EVENTS</t>
  </si>
  <si>
    <t>W/O Santosh Kumar Singh, M-169 2nd Floor, VTC: Vikas Puri, West Delhi, Delhi-110018</t>
  </si>
  <si>
    <t>Booking ID ESRXVO100439</t>
  </si>
  <si>
    <t>Mrs</t>
  </si>
  <si>
    <t xml:space="preserve"> Akhil Dev S (Managing Director)</t>
  </si>
  <si>
    <t>LSD Productions Private Limited</t>
  </si>
  <si>
    <t>ESRXVO100458</t>
  </si>
  <si>
    <t>Georgy Joseph</t>
  </si>
  <si>
    <t>THOUSAND OPPORTUNITIES PRIVATE LIMITED</t>
  </si>
  <si>
    <t>ESRXVO100460</t>
  </si>
  <si>
    <t xml:space="preserve">  Shalini Mishra</t>
  </si>
  <si>
    <t>JourneyWay</t>
  </si>
  <si>
    <t>ESRXVO100513</t>
  </si>
  <si>
    <t>Gabriel Paul Wilson</t>
  </si>
  <si>
    <t>CERTISPE PRIVATE LIMITED (awaiting mca name approval)</t>
  </si>
  <si>
    <t>ESRXVO100520</t>
  </si>
  <si>
    <t>Govind Bindi Prasad</t>
  </si>
  <si>
    <t>Dharmava Habitats LLP</t>
  </si>
  <si>
    <t>20-04-2026</t>
  </si>
  <si>
    <t>19-03-2027</t>
  </si>
  <si>
    <t>ESRXVO100540</t>
  </si>
  <si>
    <t>ESRXVOKA100097R1</t>
  </si>
  <si>
    <t>ESRXVOKA100021R1</t>
  </si>
  <si>
    <t xml:space="preserve"> PUROMED Healthcare</t>
  </si>
  <si>
    <t>22-07-2026</t>
  </si>
  <si>
    <t>21-06-2027</t>
  </si>
  <si>
    <t>Mailing Adress (M.A)</t>
  </si>
  <si>
    <t>ESRXVO100659</t>
  </si>
  <si>
    <t>ESRXVOKA100241R1</t>
  </si>
  <si>
    <t>BHARAT BHUSHAN BANSAL</t>
  </si>
  <si>
    <t xml:space="preserve">A L OVERSEAS PVT LTD </t>
  </si>
  <si>
    <t>Booking ID: TCWVO12658</t>
  </si>
  <si>
    <t>Neha Jain</t>
  </si>
  <si>
    <t>ZEROCIRCLE ALTERNATIVES PRIVATE LIMITED</t>
  </si>
  <si>
    <t>Booking ID: TCWVO12645</t>
  </si>
  <si>
    <t>accounts@zerocircle.in</t>
  </si>
  <si>
    <t>Vinod Prakash</t>
  </si>
  <si>
    <t xml:space="preserve">Juniors Group of Companies </t>
  </si>
  <si>
    <t>Booking ID: TCWVO12674</t>
  </si>
  <si>
    <t>Renewal Done(R1)</t>
  </si>
  <si>
    <t>Shashwat Agarawal</t>
  </si>
  <si>
    <t xml:space="preserve">DASHMOBILES PRIVATE LIMITED </t>
  </si>
  <si>
    <t>Director Shashwat Agarwal S/O Jai
Bhagwan Agarwal, 59 near pnb bank, railway ganj hardoi, Hardoi (Gramin) Hardoi, Uttar Pradesh -
241001</t>
  </si>
  <si>
    <t>ALNPA5295K</t>
  </si>
  <si>
    <t>Booking ID: TCWVO12689</t>
  </si>
  <si>
    <t>transparentdeals@gmail.com</t>
  </si>
  <si>
    <t xml:space="preserve">Prateek Gupta </t>
  </si>
  <si>
    <t xml:space="preserve">TECHISOR PRIVATE LIMITED  </t>
  </si>
  <si>
    <t xml:space="preserve">Booking ID: TCWVO12696 </t>
  </si>
  <si>
    <t>SHIMIL JAS C P</t>
  </si>
  <si>
    <t>Foottex / JAS Private Limited/TENSORTACTIC SOLUTIONS PRIVATE LIMITED</t>
  </si>
  <si>
    <t>SHIMIL JAS C P , S/O Ussan Kandangal Cheruvadi, P O Kodiyathur Kozhikkode, Kerala 673661</t>
  </si>
  <si>
    <t xml:space="preserve">7907144263/9633898851  </t>
  </si>
  <si>
    <t xml:space="preserve">BTNPC2608B </t>
  </si>
  <si>
    <t>Booking Id: TCWVO12705</t>
  </si>
  <si>
    <t>Gowreswaran Sakthivel</t>
  </si>
  <si>
    <t>AMIRA VENTURES LLP</t>
  </si>
  <si>
    <t>Gowreswaran Sakthivel S/o Sakthivel 34, Seethalakshmlpuram 5 th Street Modchur Gobichetttipalayam, Erode Tamil Nadu - 638476</t>
  </si>
  <si>
    <t>AQIPG0804G</t>
  </si>
  <si>
    <t>Booking Id: TCWVO12725</t>
  </si>
  <si>
    <t>KHUSHNUM PATEL</t>
  </si>
  <si>
    <t>Primera Design</t>
  </si>
  <si>
    <t>KHUSHNUM PATEL 2nd Floor, Room No. 3, Kavarana Building Sant Gadge Maharaj Lane, Opp Ranjit Studio, Dadar, Mumbai, Mumbai City Maharashtra – 400014</t>
  </si>
  <si>
    <t>BKUPP9934P</t>
  </si>
  <si>
    <t>Operations Associate</t>
  </si>
  <si>
    <t>BookingID: TCWVO12764</t>
  </si>
  <si>
    <t>MONOWARHUSSAIN AHMED</t>
  </si>
  <si>
    <t xml:space="preserve">TRIVENTIS PHARMA PRIVATE LIMITED  </t>
  </si>
  <si>
    <t>Director MONOWARHUSSAIN AHMED S/O Jahir Uddin Ahemad # Police Station, Fakirganj, Mairakuchi Pl – 1 Airkata Dhubri, Assam - 783330</t>
  </si>
  <si>
    <t>BCZPA4411P</t>
  </si>
  <si>
    <t>BookingID:  TCWVO12768</t>
  </si>
  <si>
    <t>VARDHANAPU VINODH
KUMAR</t>
  </si>
  <si>
    <t>VvinK Growth Zone Private Limited</t>
  </si>
  <si>
    <t>Director VARDHANAPU VINODH
KUMAR S/O of Vardhanapu Vasantha Rao H No – 2-5-5, S C Hostel Street, Iragavaram Road Colony,
Old Town Tanuku, Tanuku, West Godavari, Andhra pradesh,</t>
  </si>
  <si>
    <t>APOPV3857P</t>
  </si>
  <si>
    <t>Booking ID: TCWVO12776</t>
  </si>
  <si>
    <t xml:space="preserve"> SHRAVAN GHEWARLAL SUTHAR</t>
  </si>
  <si>
    <t xml:space="preserve">Royal Enterprise </t>
  </si>
  <si>
    <t>Proprietor SHRAVAN GHEWARLAL SUTHAR. Residing at A-401, Pioneer Dreams, Vanod Bhimrad road, VTC: Sonari PO: Bhestan, District: Surat, Gujarat, 395023</t>
  </si>
  <si>
    <t xml:space="preserve">GENPS9883E </t>
  </si>
  <si>
    <t>Booking ID: TCWVO12773</t>
  </si>
  <si>
    <t>Mary Kalaivani A</t>
  </si>
  <si>
    <t xml:space="preserve">Gradient Academy </t>
  </si>
  <si>
    <t>Founder Mary Kalaivani A, Residing at Prime Classic Apartment, 102, A block, Chinnappa Garden, Bangalore 560049</t>
  </si>
  <si>
    <t xml:space="preserve">8088766555 / 7996766555 </t>
  </si>
  <si>
    <r>
      <t>CDBPM5794D</t>
    </r>
    <r>
      <rPr>
        <sz val="12"/>
        <color theme="1"/>
        <rFont val="Times New Roman"/>
        <family val="1"/>
      </rPr>
      <t xml:space="preserve"> </t>
    </r>
  </si>
  <si>
    <t>Booking ID: TCWVO12794</t>
  </si>
  <si>
    <t>Bhavya S</t>
  </si>
  <si>
    <t xml:space="preserve">BHAVYA KALYANI ENTERPRISES LLP   </t>
  </si>
  <si>
    <t>its Partner, Bhavya S, C/o Praveena C, 879, 10th Cross, Weavers colony BG road, Gottegere, PO: Gottegere, Dist: Bangalore Karnataka: 560083</t>
  </si>
  <si>
    <t xml:space="preserve">CCHPB2365N </t>
  </si>
  <si>
    <t>Booking ID: TCWVO12818</t>
  </si>
  <si>
    <t xml:space="preserve"> Sushith Sunil K C</t>
  </si>
  <si>
    <t xml:space="preserve">UBINOX VENTURES (OPC) PRIVATE LIMITED </t>
  </si>
  <si>
    <t xml:space="preserve">CEO &amp; Founder Sushith Sunil K C, Sheebha TC,8B, Sanroyal Astoria, Kazhakuttom Rd, OPP. Marian Engineering collage Menamkulam, Kazhakuttom -Menamkulam (Part), Thiruvananthapuram Kerala 695582  </t>
  </si>
  <si>
    <t xml:space="preserve">886 886 0866 </t>
  </si>
  <si>
    <t xml:space="preserve">DSNPS7996M </t>
  </si>
  <si>
    <t xml:space="preserve">Kerala </t>
  </si>
  <si>
    <t>Booking ID: TCWVO12832</t>
  </si>
  <si>
    <t>Amit Santhosh Singh</t>
  </si>
  <si>
    <t xml:space="preserve">Amit Singh </t>
  </si>
  <si>
    <t>Designated Partner Amit Santhosh Singh, residing at old Sachdev Nagar B-2/32, C block Road, Near Dolphin club Ulhasnagar, Maharashtra 421002</t>
  </si>
  <si>
    <t>GHPPS1764H</t>
  </si>
  <si>
    <t>NITIN JYOTI</t>
  </si>
  <si>
    <t xml:space="preserve">EnsoMate Technologies Private Limited </t>
  </si>
  <si>
    <t>Co-founder &amp; CEO NITIN JYOTI, residing at LD12, Shilpa Dacha, Sarjapur Main road, Opp to Motherhood hospital, Ambalipura, Kaikondhalli, Bengaluru, Karnataka, 560035</t>
  </si>
  <si>
    <t xml:space="preserve">90192 87677 </t>
  </si>
  <si>
    <t xml:space="preserve">ACOPJ5698K </t>
  </si>
  <si>
    <t>Booking ID: TCWVO12825</t>
  </si>
  <si>
    <t>Ishan Chatterjee</t>
  </si>
  <si>
    <t xml:space="preserve">Davis Road Looms LLP </t>
  </si>
  <si>
    <t>Partner, Ishan Chatterjee, residing at H/20, New Alipore, Kolkata, west Bengal India 700053</t>
  </si>
  <si>
    <t xml:space="preserve">BCOPC2049E </t>
  </si>
  <si>
    <t>Ishan Gupta</t>
  </si>
  <si>
    <t>Gripex Tools LLP</t>
  </si>
  <si>
    <t>S/O Sanjay Gupta, C-170, Pushapanjali Enclave Pitam Pura, North West Delhi, 110034</t>
  </si>
  <si>
    <t>BTDPG6924Q</t>
  </si>
  <si>
    <t>Booking Id: TCWVO12841</t>
  </si>
  <si>
    <t>Gracy Kutty</t>
  </si>
  <si>
    <t>ASA healthcare LLP</t>
  </si>
  <si>
    <t>Co-founder, Gracy Kutty, Residing at haruvila puthen Veedu, Manayara, Chelikuzhy P.O, Pattazhy, Vadakkekara, Chelikuzhy, Kollam, Kerala, 691556</t>
  </si>
  <si>
    <t>9986510859 </t>
  </si>
  <si>
    <t>BRPPC4399M</t>
  </si>
  <si>
    <t>Booking Id: TCWVO12836</t>
  </si>
  <si>
    <t>Chellamuthu P</t>
  </si>
  <si>
    <t xml:space="preserve">Carion Labs Pvt Ltd and  </t>
  </si>
  <si>
    <t>Chellamuthu P, S/O Ponnusamy D, No 38E Polavariyan, Valavu, Meiyamapalaiyam, Edappadi, Dadapuram, Salem, Tamil Nadu 637103</t>
  </si>
  <si>
    <t>BIFPC3381L</t>
  </si>
  <si>
    <t>Devendra Kumar</t>
  </si>
  <si>
    <t xml:space="preserve">MUD HEALTH FOODS PRIVATE LIMITED </t>
  </si>
  <si>
    <t>Devendra Kumar
Residing at Flat No 904, Tower L-4, Gul mohar Garden, Raj Nagar Extension, Ghaziabad, Uttar Pradesh,
201017,</t>
  </si>
  <si>
    <t>AWPK1875A</t>
  </si>
  <si>
    <t>Booking ID: TCWVO12814</t>
  </si>
  <si>
    <t>Pidaparthi Raja Babu</t>
  </si>
  <si>
    <t xml:space="preserve">Monk'key Business </t>
  </si>
  <si>
    <t>Proprietor Pidaparthi Sumanth Raj, C/O Pidaparthi Raja Babu, Flat No E 101, Golden Magic Block, Brigade Gardenia, Near Capitol School, J P Nagar 7th Phase, Bangalore South, Bengaluru, Karnataka - 560078</t>
  </si>
  <si>
    <t xml:space="preserve">CPHPP9453G </t>
  </si>
  <si>
    <t>Booking ID: TCWVO12903</t>
  </si>
  <si>
    <t xml:space="preserve">reviworked on the documents </t>
  </si>
  <si>
    <t>Vaibhav Anand</t>
  </si>
  <si>
    <t>EMVOAI LABS PRIVATE LIMITED </t>
  </si>
  <si>
    <t>Director Vaibhav Anand C/o, Vinod
Kumar Anand, R2 – F 1105, DLF, Hyde Park, New Chandigarh, Mallanpur, SAS Nagar, (Mohali) ,
Punjab - 140901</t>
  </si>
  <si>
    <t>ALPPA3230Q</t>
  </si>
  <si>
    <t>Booking Id: TCWVO12806</t>
  </si>
  <si>
    <t>Archana Nargund,</t>
  </si>
  <si>
    <t>R S Interiors </t>
  </si>
  <si>
    <t>C/O, No. A312, 3 rd Floor, Elegant
Exquisite, 2 nd Phase, 7 th Stage, BEML Layout, R R Nagar, Rajarajeshwarinagar, Bangalore South Karnataka - 560098</t>
  </si>
  <si>
    <t>AMJPN1699P</t>
  </si>
  <si>
    <t>Booking ID: TCWVO12939</t>
  </si>
  <si>
    <t>Diya Bhandari ,</t>
  </si>
  <si>
    <t>DIONETWORKS (OPC) PRIVATE LIMITED </t>
  </si>
  <si>
    <t>C/O, Vikram M Bhandari, No 43, Jawaharlal Nehur Road, BEML 5 th Stage Rajarajeshwari Nagar, Bengaluru, Karnataka - 560098,</t>
  </si>
  <si>
    <t>6364972727 </t>
  </si>
  <si>
    <t>GWAPB9288P</t>
  </si>
  <si>
    <t>Booking Id: TCWVO12945</t>
  </si>
  <si>
    <t>Vinit Ghelani,</t>
  </si>
  <si>
    <t>FORMA LABS PRIVATE LIMITED</t>
  </si>
  <si>
    <t>A-29, Laxmi Narayan Society, Near Mahila temple, Dabholi Char Rasta, Ved Road, Katargam, Surat city, Surat, Gujarat - 395004</t>
  </si>
  <si>
    <t>BUDPG0645R</t>
  </si>
  <si>
    <t>Booking Id: TCWVO12742</t>
  </si>
  <si>
    <t>Dharmpal Chaudhary</t>
  </si>
  <si>
    <t>UPCRED SERVICES AND SOLUTIONS PRIVATE LIMITED/JANTEERA VENTURES PRIVATE LIMITED</t>
  </si>
  <si>
    <t xml:space="preserve">Founder and CEO, Dharmpal Chaudhary, C/O, Chandramani Chaudhary 01, Post Kavaldeh, Village Badhara Kanhai, Shaldah Urf Kawaldah, Shaildah, Maharajganj Uttar Pradesh - 273162 </t>
  </si>
  <si>
    <r>
      <t>AVPPC1304H</t>
    </r>
    <r>
      <rPr>
        <b/>
        <sz val="12"/>
        <color theme="1"/>
        <rFont val="Times New Roman"/>
        <family val="1"/>
      </rPr>
      <t xml:space="preserve"> </t>
    </r>
  </si>
  <si>
    <t>Booking Id: TCWVO12987</t>
  </si>
  <si>
    <t>Dineshkumar ShanmugaM</t>
  </si>
  <si>
    <t>Shachi Organic Farms LLP</t>
  </si>
  <si>
    <t>Partner, Dineshkumar Shanmuga M
S/O,Shanmugam, 3/185, Vettukadu, Koothagoundampalayam, Avanasipatti, Namakkal Tamil Nadu -
637202</t>
  </si>
  <si>
    <t>BGSPD2111C</t>
  </si>
  <si>
    <t>Booking Id: TCWVO12984</t>
  </si>
  <si>
    <t> ASHRITHA RAI </t>
  </si>
  <si>
    <t>ELSN SYSTEMS OPC PRIVATE LIMITED</t>
  </si>
  <si>
    <t>Proprietor , ASHRITHA RAI C/O, Rathnakar, 258, 64 th
Cross, Murarji Nagar, Gokul Road, Hubli, Hubli Udyamnagar Dharwad Karnataka – 580030,</t>
  </si>
  <si>
    <t>CIAPR5811A,</t>
  </si>
  <si>
    <t>Booking Id: TCWVO12950</t>
  </si>
  <si>
    <t>29AAJCE0511G1ZX</t>
  </si>
  <si>
    <t>Invoice submitted till March</t>
  </si>
  <si>
    <t>John L S
Royerr</t>
  </si>
  <si>
    <t>Ochre Spirits Private limited</t>
  </si>
  <si>
    <t>Founder &amp;amp; Managing Director, John L S Royerr C/O, Jagannathan Royerr, no 475, Third floor, K3, Mistral Apartment, Wipro St, Elcot Sez, Before Wipro Office, Sholinganallur, Chennai, Tamil Nadu - 600119</t>
  </si>
  <si>
    <t>BDDPR2730K,</t>
  </si>
  <si>
    <t>(Booking Id: TCWVO13051</t>
  </si>
  <si>
    <t>29AAECO0398N2ZR</t>
  </si>
  <si>
    <t>Shakil Ahmed</t>
  </si>
  <si>
    <t>DICEVO INNOVATIONS PRIVATE LIMITED.</t>
  </si>
  <si>
    <t>Founder and Director, Shakil Ahmed, C/O, Sahed Ali, Vill-Kharupetia word No – 8, Bahbari Darrang Assam – 784115</t>
  </si>
  <si>
    <t>AVPPC1304H</t>
  </si>
  <si>
    <t>Booking Id: TCWVO13022</t>
  </si>
  <si>
    <t>renewal Done(R1)</t>
  </si>
  <si>
    <t>RENU JAIN</t>
  </si>
  <si>
    <t>Aaryadi International LLP</t>
  </si>
  <si>
    <t>Partner, RENU JAIN, Choudhury Bazar,
Choudhury Bazar, Cuttack, Cuttack M.C, Cuttack, Odisha - 753009</t>
  </si>
  <si>
    <t>APRPJ5058B</t>
  </si>
  <si>
    <t>Booking Id: TCWVO13095</t>
  </si>
  <si>
    <t>Agreement to be done</t>
  </si>
  <si>
    <t>Chandrakant Bennalkar</t>
  </si>
  <si>
    <t>MEDIBLIZ FORMULATIONS PRIVATE LIMITED</t>
  </si>
  <si>
    <t>Slo Santram Bennalkar, 3d cross, Teacher Colony, Khasbag
Belgaum, Plot No - 11, Beside Plot No - 100, Suvama Nilaya Belgaum, Karnataka
- 590003</t>
  </si>
  <si>
    <t>Booking Id: TCWVO13088</t>
  </si>
  <si>
    <t>Done</t>
  </si>
  <si>
    <t>Ishan Sahni</t>
  </si>
  <si>
    <t xml:space="preserve"> VITAMINNICA HEALTHCARE PRIVATE LIMITED</t>
  </si>
  <si>
    <t>Director, Ishan Sahni, S/O: Prem Kumar Sahni, 1/52, SUNDER VIHAR PASCHIM VIHAR, Sunder Vihar Sunder
Vihar, Punjabi Bagh West Delhi, Delhi 110087</t>
  </si>
  <si>
    <t>GNFPS0027B</t>
  </si>
  <si>
    <t>Booking Id: TCWVO13072</t>
  </si>
  <si>
    <t>Beena Rosy Salins</t>
  </si>
  <si>
    <t>The Earth &amp;amp; Soul Co.  And</t>
  </si>
  <si>
    <t>Proprietor, Beena Rosy Salins, W/O, Alwyn Rathnakar Salins, # 4- 1/2, Beena Cottage, Babbukatte, Mangalore, Dakshina Kannada – Karnataka – 575017</t>
  </si>
  <si>
    <t>KMCPS7024C</t>
  </si>
  <si>
    <t>Booking Id: TCWVO13063</t>
  </si>
  <si>
    <t>Romeo Mahato</t>
  </si>
  <si>
    <t>IKIGAI</t>
  </si>
  <si>
    <t>Founder &amp;amp; Managing Director, Romeo Mahato, Late Prafulla Kumar Mahato, Flat No 2C, Annapurna Apartment, Ashok Ashram, Dibdih, Near Dibdih Bridge, Doranda,
Ranchi, Jharkhand - 834002</t>
  </si>
  <si>
    <t>AMWPM2200Q</t>
  </si>
  <si>
    <t>Booking Id: TCWVO13089</t>
  </si>
  <si>
    <t>29AMWPM2200Q1ZD</t>
  </si>
  <si>
    <t>Ambey Sinha</t>
  </si>
  <si>
    <t>Adore Baby Clothing</t>
  </si>
  <si>
    <t>Founder and CEO, Ambey Sinha, C/O Akshat Bhargava,
1/59 RHB, Housing Board Bhiwadi, Sector 1, Bhiwadi, Rajasthan – 301019</t>
  </si>
  <si>
    <t>GVAPS1870R</t>
  </si>
  <si>
    <t xml:space="preserve">29GVAPS1870R1ZL
</t>
  </si>
  <si>
    <t>Subhash Reddy Bairika</t>
  </si>
  <si>
    <t>BAIRIKA INTERNATIONAL</t>
  </si>
  <si>
    <t>Proprietor, Subhash Reddy Bairika, S/O Bairika Chinna Subba Reddy 2-107, Main Road, ​Bheemunipadu village, Koilakuntla Mandal, ​Bheemunipadu,
Andra Pradesh – 518134,</t>
  </si>
  <si>
    <t>DQMPR3705N</t>
  </si>
  <si>
    <t>29DQMPR3705N2Z0</t>
  </si>
  <si>
    <t>Milind Vijaykumar Talati</t>
  </si>
  <si>
    <t>Test my meal labs</t>
  </si>
  <si>
    <t xml:space="preserve">Proprietor, Milind Vijaykumar Talati, D 1501, DNR Atmosphere Varthur Main Road, Whitefield, Bangalore, Karnataka - 560058 </t>
  </si>
  <si>
    <t xml:space="preserve">ANOPT5885H  </t>
  </si>
  <si>
    <t>Booking Id: TCWVO13126</t>
  </si>
  <si>
    <t>Siddharth Kanjilal </t>
  </si>
  <si>
    <t>Amoga 5 Leaps</t>
  </si>
  <si>
    <t>Proprietor, Siddharth Kanjilal , Flat No 501, Haja Mansion API
Sumangli seva Ashram, Chola Nagar, Hebbal, Bengaluru Karnataka – 560032</t>
  </si>
  <si>
    <t>AUZPK8652R</t>
  </si>
  <si>
    <t>Booking Id: TCWVO13142</t>
  </si>
  <si>
    <t>Rajnish Jha</t>
  </si>
  <si>
    <t xml:space="preserve"> FineMac Mobile Accessories</t>
  </si>
  <si>
    <t>Proprietor, Rajnish Jha,</t>
  </si>
  <si>
    <t>BSLPJ9353F</t>
  </si>
  <si>
    <t>Booking Id: TCWVO13162</t>
  </si>
  <si>
    <t>Janteera Ventures Private Limited (Proposed).</t>
  </si>
  <si>
    <t>Redocumentation</t>
  </si>
  <si>
    <t>Mitul Singhania</t>
  </si>
  <si>
    <t>ArthaVue Intelligence Private Limited</t>
  </si>
  <si>
    <t>Director, Mitul Singhania, C-4/41
Rajasthali Apartment, Pitampura NEW DELHI New Delhi 110034 NCT OF DELHI INDIA</t>
  </si>
  <si>
    <t>9886143287 </t>
  </si>
  <si>
    <t>EPIPS5840M</t>
  </si>
  <si>
    <t xml:space="preserve">Booking Id: TCWVO13180 </t>
  </si>
  <si>
    <t>Deepesh Rathore,</t>
  </si>
  <si>
    <t>AUTELLIGENCE ADVISORS LLP</t>
  </si>
  <si>
    <t>Managing Partner, Deepesh Rathore,
C/O Deepesh Rathore, 216 Phase 1 Palm measdows old HAL Road Ramagondanahalli, Whitefield Bengalore -
560066</t>
  </si>
  <si>
    <t xml:space="preserve"> 29ACJFA8349R1ZC</t>
  </si>
  <si>
    <t xml:space="preserve"> Dhiraj
Jashvantbhai Patel, </t>
  </si>
  <si>
    <t>Retainsure Technologies Private Limited</t>
  </si>
  <si>
    <t>Co-Founder and CEO, Dhiraj
Jashvantbhai Patel, 6, GuruKrupa, Society Sidhpur, Patna, Gujarat – 384151,</t>
  </si>
  <si>
    <t>DVFPP6873M</t>
  </si>
  <si>
    <t>Booking Id: TCWVO13200</t>
  </si>
  <si>
    <t xml:space="preserve"> 29AAOCR6426N1ZI</t>
  </si>
  <si>
    <t>PUSHPENDER SINGH </t>
  </si>
  <si>
    <t>MR TOP PRIVATE LIMITED</t>
  </si>
  <si>
    <t>Director, PUSHPENDER SINGH , C/O Vijay Bahadur, Flat No – 138, Ground floor, Moonlight apartment Pkt -14, sec 20, Rohini Ext Sultapuri C
block, North west, Delhi - 110086</t>
  </si>
  <si>
    <t>(Booking Id: TCWVO13140</t>
  </si>
  <si>
    <t>AMHEAL HEALTHCARE LLP</t>
  </si>
  <si>
    <t>Redocumentation /ASA</t>
  </si>
  <si>
    <t>Veer Saini </t>
  </si>
  <si>
    <t>Brain Dot Media LLP</t>
  </si>
  <si>
    <t>Managing Director, Veer Saini , S/O Mukesh Kumar, 68,near Mandir Wali Gali, Village Bakoli, Bakoli, North West Delhi, Delhi - 110036</t>
  </si>
  <si>
    <t>Booking Id: TCWVO13242</t>
  </si>
  <si>
    <t>Tessy Rose</t>
  </si>
  <si>
    <t>DemandGen Factory</t>
  </si>
  <si>
    <t>Partner, Tessy Rose, Melepanoth, Kattukulangara, nellikode PO, VTC: Kozhoikode Kerala - 673016</t>
  </si>
  <si>
    <t>97398 03190</t>
  </si>
  <si>
    <t>BFKPT8539P</t>
  </si>
  <si>
    <t>Booking Id: TCWVO12855</t>
  </si>
  <si>
    <t>ASHWINI A S</t>
  </si>
  <si>
    <t>MYLAWYER SERVICE INDIA</t>
  </si>
  <si>
    <t>ASHWINI A S, D/O Adiveppa B
S, #1972/12, 7 th Cross, Kempanna Layout, RK Hegde Nagar, Bangalore North, Bangalore Karnataka - 560077</t>
  </si>
  <si>
    <t>Booking Id: TCWVO13205</t>
  </si>
  <si>
    <t>Saurabh Kanojia</t>
  </si>
  <si>
    <t>Novus Procura India Pvt. Ltd.</t>
  </si>
  <si>
    <t>Director, Saurabh Kanojia, Suresh Kumar Kanojia, 604, CRS Astitva, Lohagal Road, B block, Panchsheel Nagar, Ajmer, Ajmer Rajasthan – 305001</t>
  </si>
  <si>
    <t>BLUPK8784K</t>
  </si>
  <si>
    <t>Booking Id: TCWVO13250,</t>
  </si>
  <si>
    <t>Gagan Kumar Saini </t>
  </si>
  <si>
    <t xml:space="preserve"> Gagan Kumar Saini</t>
  </si>
  <si>
    <t>Proprietor , Gagan Kumar Saini , Flat No 802 Block-E Sattva East Crest, Budigere Cross Road, Konadasapura, VTC: Bandapura, PO: Virgonagar, District: Bengaluru, State: Karnataka, PIN Code: 560049,with</t>
  </si>
  <si>
    <t>BSPPS9991E</t>
  </si>
  <si>
    <t>Booking Id: TCWVO13265</t>
  </si>
  <si>
    <t xml:space="preserve"> 29BSPPS9991E1ZM</t>
  </si>
  <si>
    <t>Roop Kumar Menon</t>
  </si>
  <si>
    <t>Tamara Realty</t>
  </si>
  <si>
    <t>Proprietor, Roop Kumar Menon, Apt AW-3, Fern Saroj Apartments, 8th A Main Road, L B Shastry Nagar, VTC: Vimanapura, PO: Vimanapura, District: Bengaluru, State: Karnataka, PIN Code: 560017</t>
  </si>
  <si>
    <t>AGQPM8521J</t>
  </si>
  <si>
    <t xml:space="preserve"> Booking Id: TCWVO13269</t>
  </si>
  <si>
    <t xml:space="preserve">29AGQPM8521J1ZQ </t>
  </si>
  <si>
    <t> Gowri Shankar K</t>
  </si>
  <si>
    <t>Kyoshi Innovations Pvt Ltd</t>
  </si>
  <si>
    <t>Managing Director, Gowri Shankar K, S/O Kandasamy P, 114, MUNIAPPAN KOVIL STREET, NEAR NASIYANUR ROAD, NALLI THOTTAM PERIYA SEMUR, VTC: Erode, PO: Erode Collectorate, District: Erode, State: Tamil Nadu, PIN Code: 638011,</t>
  </si>
  <si>
    <t>JNEPK8613M</t>
  </si>
  <si>
    <t>(Booking Id: TCWVO13218</t>
  </si>
  <si>
    <t>Mohit Garg</t>
  </si>
  <si>
    <t>Super Creator Tech Private Limited</t>
  </si>
  <si>
    <t>Director, Mohit Garg, C-302, ISHWAR
APARTMENTS, PLOT NO-4, SECTOR-12 DWARKA, N.S.I.T. Dwarka S.O, South West Delhi, Delhi - 110078Erode Collectorate, District: Erode, State: Tamil Nadu, PIN Code: 638011,</t>
  </si>
  <si>
    <t>7043669577 </t>
  </si>
  <si>
    <t>AUSPG9236C</t>
  </si>
  <si>
    <t>Booking Id: TCWVO13219</t>
  </si>
  <si>
    <t xml:space="preserve"> 29ABGCS8630L1ZP</t>
  </si>
  <si>
    <t>Anchala Imran Khan</t>
  </si>
  <si>
    <t>Bridge To Corporate</t>
  </si>
  <si>
    <t>Anchala Imran Khan , S/o Anchala Ibrahim Khan  4/30, Ramadasu Peta, Ramadasu Peta, Ramadasu Peta, ​VTC: Sirivaram, ​PO: Guddalapalli, ​Sub District: Garladinne, ​District: Ananthapur, ​State: Andhra Pradesh, ​PIN Code: 515731.with</t>
  </si>
  <si>
    <t>ACKPI6914K</t>
  </si>
  <si>
    <t>Booking Id: TCWVO13284</t>
  </si>
  <si>
    <t>ROSHAN THOMAS</t>
  </si>
  <si>
    <t>ASGAIA LABS PRIVATE LIMITED</t>
  </si>
  <si>
    <t>Designation: Founder &amp;amp; CEO ,
ROSHAN THOMAS , Address: Dr. Thomas M George, Villa 483, House of Hiranandani, VTC: Devanahalli,
Devanahalli, District: Bangalore Rural, State: Karnataka,</t>
  </si>
  <si>
    <t>97452 61213</t>
  </si>
  <si>
    <t>ABFIPT5846R</t>
  </si>
  <si>
    <t>Sr. Operations Associate | Team Cowork</t>
  </si>
  <si>
    <t xml:space="preserve"> Booking Id: TCWVO13307</t>
  </si>
  <si>
    <t>29ABCCA7502P1ZA</t>
  </si>
  <si>
    <t>Paramkusham Sai
Satvik</t>
  </si>
  <si>
    <t>Intellify Edventures Private Limited</t>
  </si>
  <si>
    <t>Founder and CEO , Paramkusham Sai
Satvik, S/O: Paramkusham Anantha Venkata Krishna, No 2-12-323, Vidyaranyapuri, Hanamkonda, Warangal,
Andhra Pradesh, 506009</t>
  </si>
  <si>
    <t>KBUPS4075J</t>
  </si>
  <si>
    <t>Booking Id: TCWVO13306</t>
  </si>
  <si>
    <t>29AAHCI5586M1ZP</t>
  </si>
  <si>
    <t>Sanjay Suresh</t>
  </si>
  <si>
    <t>Fusion Mont Foods and Beverages Private Limited</t>
  </si>
  <si>
    <t>Director, Sanjay Suresh,
S/O: K Suresh, #275, 10 th Cross, Opp to Ram Mandir, Wilson Garden, Bangalore South, Karnataka - 560027</t>
  </si>
  <si>
    <t>98450 13347 </t>
  </si>
  <si>
    <t>PBTBS5534N</t>
  </si>
  <si>
    <t>Booking Id: TCWVO13321</t>
  </si>
  <si>
    <t>29AAGCF0238A1Z3</t>
  </si>
  <si>
    <t> Kishan Kranti Mohanty</t>
  </si>
  <si>
    <t>WhatIQ Technologies</t>
  </si>
  <si>
    <t>Director, Kishan Kranti Mohanty , S/O Subrat Kumar Mohanty, Banshree, Banshree, Chakasartha, Sartha, Baleswar, Odisha - 756027</t>
  </si>
  <si>
    <t>FEYPM4248R</t>
  </si>
  <si>
    <t>Booking Id: TCWVO13348</t>
  </si>
  <si>
    <t>29FEYPM4248R1Z1</t>
  </si>
  <si>
    <t>Gunadeep P N</t>
  </si>
  <si>
    <t>SKS CORPORATE SOLUTIONS PRIVATE LIMITED</t>
  </si>
  <si>
    <t>Director, Gunadeep P N, C/O S/O: Parameswaran, Tower B602, Glen gate House of Hiranandani, Word No 8, Next to Aadhar data
center, Kodigehalli Village, Yelahanka Hobli, Bangalore North, Bangalore, Karnataka - 560092</t>
  </si>
  <si>
    <t>ADLPG1746R</t>
  </si>
  <si>
    <t>Booking Id: TCWVO13365</t>
  </si>
  <si>
    <t>Nitin Chandra</t>
  </si>
  <si>
    <t xml:space="preserve"> Tatvarina Events LLP</t>
  </si>
  <si>
    <t>Partner, Nitin Chandra, S/O Ramesh Chandra Srivatava, Ace Divino, flat no T4-1205, Plot No GH 14A, Sector -1, Bishrakh, Uttar Pradesh – 201306,</t>
  </si>
  <si>
    <t>AEZPC5026M</t>
  </si>
  <si>
    <t>Booking Id: TCWVO13381</t>
  </si>
  <si>
    <t>Rajani K N</t>
  </si>
  <si>
    <t>RAYEOS</t>
  </si>
  <si>
    <t>Proprietor, Rajani K N, W/O Jayaprakash, No 1 Soumya Apartment No 16, 1 st Cross, Bhoopasandra Main Road, Near SBI Bank, Vinayaka Layout, Bangalore North, RMV Extension II
stage, Bangalore North, Bangalore, Karnataka – 560094,</t>
  </si>
  <si>
    <t>AIMPR8795B</t>
  </si>
  <si>
    <t>Booking ID: TCWVO13387</t>
  </si>
  <si>
    <t xml:space="preserve"> Pahul Preet Singh Gulati</t>
  </si>
  <si>
    <t>Proprietor, Pahul Preet Singh Gulati, S/O Jaspal Singh Gulati, Above Central Bank of India, Mohalla Chowgan Bazar Post office chamba, Himachal Pradesh - 176310</t>
  </si>
  <si>
    <t>BSSPG2913F</t>
  </si>
  <si>
    <t>Booking Id: TCWVO13398</t>
  </si>
  <si>
    <t>Sakshi Agarwal</t>
  </si>
  <si>
    <t>SHAATI HUT </t>
  </si>
  <si>
    <t>Proprietor, Sakshi Agarwal, Residing at B301, Krishna Prakash
APT, BTM Layout Stage -1, Aicobo Nagar, Bangalore -560029,</t>
  </si>
  <si>
    <t>BCWPA1022R</t>
  </si>
  <si>
    <t>Booking Id: TCWVO13390</t>
  </si>
  <si>
    <t>Abhijit</t>
  </si>
  <si>
    <t>KIDSPIRE EDUTAINMENT PRIVATE LIMITED</t>
  </si>
  <si>
    <t>Director, Abhijit, Address at Kamlesh Bajaj, G-405 Ivory Towers Sector 70 S.A.S.Nagar (Mohali) SAS Nagar (Mohali) Punjab -
160062</t>
  </si>
  <si>
    <t>Booking Id: TCWVO13397</t>
  </si>
  <si>
    <t>Shweta Chawathe</t>
  </si>
  <si>
    <t>Enncon Synergies India Pvt Ltd</t>
  </si>
  <si>
    <t>Director, Shweta Chawathe W/O Pankaj Chawathe, B-1404, Jasper, Ghodbunder Road, Hiranandani Estate, Thane, Maharashtra - 400607</t>
  </si>
  <si>
    <t>ARHPM0044Q</t>
  </si>
  <si>
    <t>Booking Id: TCWVO13406</t>
  </si>
  <si>
    <t>Rishabh Jain</t>
  </si>
  <si>
    <t>Conscious Source Life &amp; Living</t>
  </si>
  <si>
    <t>OWNER,  Rishabh Jain , S/O, TarunKumar Jain, 127/178, W-1, Block Saket Nagar, Juhi Colony, Kanpur Nagar, Uttar Pradesh - 208014</t>
  </si>
  <si>
    <t>AXJPJ9418P</t>
  </si>
  <si>
    <t>Booking Id: TCWVO13415</t>
  </si>
  <si>
    <t>Umashankar Prabhakar</t>
  </si>
  <si>
    <t>Deesha Pack Solutions/Umashankar Prabhakar</t>
  </si>
  <si>
    <t>Proprietor,  Umashankar Prabhakar, J192, Assertz Marg, J wing, Whitefield, Hoskote Road, Kannamangala, Bangalore - 560067</t>
  </si>
  <si>
    <t>ANTPP5624M</t>
  </si>
  <si>
    <t>Booking Id: TCWVO13426</t>
  </si>
  <si>
    <t>Chetan Middha</t>
  </si>
  <si>
    <t>Veraku Lifestyle Private Limited</t>
  </si>
  <si>
    <t>Director,  Chetan Middha, S/O: Rajender Kumar Middha, ward 16, near neheru children school, dabli molbi bas, VTC: 23 SSW, PO: Dabli Rathan, Sub
District: Hanumangarh, District: Hanumangarh, State: Rajasthan, PIN Code: 335801,</t>
  </si>
  <si>
    <t>DBMPM4982B</t>
  </si>
  <si>
    <t>Booking Id: TCWVO13413,</t>
  </si>
  <si>
    <t>Siddhant Humne</t>
  </si>
  <si>
    <t>BrickPro Nutritions Private Limited</t>
  </si>
  <si>
    <t>Director, Siddhant Humne House No
11/251, Ward No-11, Ambedkar Nagar, Magarpara, Bilaspur – 495001,</t>
  </si>
  <si>
    <t>8319728717 </t>
  </si>
  <si>
    <t>AVYPH6902P</t>
  </si>
  <si>
    <t>Booking Id: TCWVO13418</t>
  </si>
  <si>
    <t>Sarwanjeet Singh</t>
  </si>
  <si>
    <t xml:space="preserve"> KINDKARMA E-RETAIL PRIVATE LIMITED</t>
  </si>
  <si>
    <t>Director, Sarwanjeet Singh,
S/O: Deedar Singh, 474, Ros Enclave, Shivpora, Srinagar, Batwara, Jammu and Kashmir, 190004.</t>
  </si>
  <si>
    <t>9018641695 </t>
  </si>
  <si>
    <t>GFDPS0366R</t>
  </si>
  <si>
    <t>Jammu and Kashmir</t>
  </si>
  <si>
    <t xml:space="preserve">29AAKCK7100Q1ZY </t>
  </si>
  <si>
    <t>7*</t>
  </si>
  <si>
    <t>Ayan Chatterjee</t>
  </si>
  <si>
    <t>Qi Venture Capital Partners Private Limited</t>
  </si>
  <si>
    <t>Director, Ayan Chatterjee, Flat
No – B 904, The Central Regency address, 34, Ambalipura, Sarjapura Road, Bellandur, Bangalore Karnataka -560106.</t>
  </si>
  <si>
    <t>AEEPC6702M</t>
  </si>
  <si>
    <t>Booking ID: TCWVO13462</t>
  </si>
  <si>
    <t>29AAACQ7459A1ZD</t>
  </si>
  <si>
    <t>Arijit Chakraborty</t>
  </si>
  <si>
    <t>Taru Farms</t>
  </si>
  <si>
    <t>Proprietor, Arijit Chakraborty, C/O: Nirmal Baran Chakraborty,
Flat No 202 A Block M B R Steeple Apartment, Devarachikkanahalli Main Road, Begur, VTC: Bangalore
South, PO: Begur, Sub District: Bangalore South, District: Bengaluru, State: Karnataka, PIN Code: 560068,,</t>
  </si>
  <si>
    <t>AUXPC0515D</t>
  </si>
  <si>
    <t>Booking Id: TCWVO13485</t>
  </si>
  <si>
    <t>29AUXPC0515D1ZR</t>
  </si>
  <si>
    <t>Shahinshah Ummer</t>
  </si>
  <si>
    <t>Hobbyglobe</t>
  </si>
  <si>
    <t>Proprietor, Shahinshah Ummer, S/O Zirag, mullaprath house, Ozhayilbhagm, Dharmadam, Kannur, Kerala-670106</t>
  </si>
  <si>
    <t>AGYPU9826A</t>
  </si>
  <si>
    <t xml:space="preserve"> Booking Id: TCWVO13181</t>
  </si>
  <si>
    <t>Elvina Densy D</t>
  </si>
  <si>
    <t>Advanced Impact Marketing</t>
  </si>
  <si>
    <t>Proprietor, Elvina Densy D , C/O Venkatesh R, 110, Gangothri SLV madeows, Kudlu gate, Behind Hyndai Showroom, Garebhavi Palya, Bommanahalli, Bengaluru,
Karnataka, 560068</t>
  </si>
  <si>
    <t>AAUPE1270E</t>
  </si>
  <si>
    <t>Booking Id: TCWVO13463</t>
  </si>
  <si>
    <t>AMAN AGARWAL</t>
  </si>
  <si>
    <t>PERFECT TELELINKS PRIVATE LIMITED</t>
  </si>
  <si>
    <t>Director, AMAN AGARWAL,
S/O Anil Kumar Agarwal, 134, Nalapar Uttari, Fatehupur, Tehsil Fatehpur, Uttar Pradesh - 225305,</t>
  </si>
  <si>
    <t>9598288888 </t>
  </si>
  <si>
    <t>AWKPA0115A</t>
  </si>
  <si>
    <t>Booking Id: TCWVO13328</t>
  </si>
  <si>
    <t>Dr Kishore Kumar</t>
  </si>
  <si>
    <t>Landright Technologies India Private Limited</t>
  </si>
  <si>
    <t>Director, Dr Kishore Kumar,
Address: S/o Chaudhary Veer Singh R/O Euphoria, 4 th Main, 1 st Left Cross Road, Near S M A Bakery,
Jayanagar West, Tumkur, P:O-Settihalli, Dist: Tumkaru, Karnataka-572102</t>
  </si>
  <si>
    <t>AULPK7987R</t>
  </si>
  <si>
    <t>Tumkur</t>
  </si>
  <si>
    <t>Booking Id: TCWVO13536</t>
  </si>
  <si>
    <t>29AAGCL3883R1ZH</t>
  </si>
  <si>
    <t>BOOKWIE CONNECTS PRIVATE LIMITED</t>
  </si>
  <si>
    <t>Managing Director ,
MOHAMMED FAWAZ KP, Address: Madapalli House Mele Paramba, Chirayil PO, Nediyiruppa,
Malappuram, Kerala – 673638</t>
  </si>
  <si>
    <t>IPSPK7202H</t>
  </si>
  <si>
    <t>Booking Id: TCWVO13544</t>
  </si>
  <si>
    <t>CHIDAMBARANATHAN ARCHANA</t>
  </si>
  <si>
    <t>Proprietor , Archana
Chidambaranathan , Address: 504 Palm Block, SJR Park, Vista off Harlur Road, Ambalipura,
Bangalore , Karnataka - 560102,</t>
  </si>
  <si>
    <t>ASEPA4138R</t>
  </si>
  <si>
    <t>Booking Id: TCWVO13520</t>
  </si>
  <si>
    <t>Rachur Venkata
Kiran,</t>
  </si>
  <si>
    <t>LVAK Consuting Services Pvt Ltd</t>
  </si>
  <si>
    <t>Managing Director , Rachur Venkata
Kiran, Address: C/O R Subramanyam S 203, Nandana Greens, 32/4, Someshwara Layout, Near
Shantinikethan College, Bangalore South, Karnataka – 560076,</t>
  </si>
  <si>
    <t>Booking Id: TCWVO13553</t>
  </si>
  <si>
    <t xml:space="preserve"> 29AAGCL3521Q1Z0</t>
  </si>
  <si>
    <t>StructoVerve</t>
  </si>
  <si>
    <t>Prajwal Aradhya S , Address: S/O of Shivakumar #
949, 1 st Main Road, 9 th Cross, Divanara Palya Bangalore, Msrit Bangalore, Karnataka – 560054</t>
  </si>
  <si>
    <t>9902881380 &amp; 6360576695</t>
  </si>
  <si>
    <t>CVMPP1169E</t>
  </si>
  <si>
    <t>Booking Id: TCWVO13561</t>
  </si>
  <si>
    <t xml:space="preserve"> Peeyush Sharma  </t>
  </si>
  <si>
    <t>Viral Vichar</t>
  </si>
  <si>
    <t>Partner, Peeyush Sharma,</t>
  </si>
  <si>
    <t>9464156887 </t>
  </si>
  <si>
    <t>EEAPS7750P</t>
  </si>
  <si>
    <t>Booking Id: TCWVO13323</t>
  </si>
  <si>
    <t>29ABAFV7207P1ZJ</t>
  </si>
  <si>
    <t>Vijay Kumar S</t>
  </si>
  <si>
    <t>Activate Vision Inc</t>
  </si>
  <si>
    <t>Proprietor , Vijay Kumar S, Address: S/O of Soundaram, #2/247, Sandhai Street, Indur.., Nathathahalli, Indur, Dharmapuri, Tamil Nadu, 636803</t>
  </si>
  <si>
    <t>AMAPV8995R</t>
  </si>
  <si>
    <t>Booking Id: TCWVO13577</t>
  </si>
  <si>
    <t>Advait</t>
  </si>
  <si>
    <t>Director, Vedant Rawal , Address: Vedant Rawal, Flat No 3, Yashshri
Co-op housing Society, Plot No 2, Opposite Lokhande Boyes Hostel, Shilpa Housing Society, Rambaug
Colony, Kothrud, Pune City, Pune, Maharashtra – 411038</t>
  </si>
  <si>
    <t>Booking Id: TCWVO13577,</t>
  </si>
  <si>
    <t>ELSN  SYSTEMS (OPC) PRIVATE LIMITED</t>
  </si>
  <si>
    <t>Director, LAKSHMIPALEM
SURESH KUMAR RAO S/O L.V.K.G RAO R/O Plot No. 28, 2 nd Main Road, Shakti Nagar, Secunderabad, Tirumalagiri, Hyderabad, Andhra Pradesh-500056</t>
  </si>
  <si>
    <t>ABLPL9734G,</t>
  </si>
  <si>
    <t>Booking Id: TCWVO13646</t>
  </si>
  <si>
    <t xml:space="preserve">Arivarasan A </t>
  </si>
  <si>
    <t>ARDIJO VENTURES PRIVATE LIMITED</t>
  </si>
  <si>
    <t>Founder &amp;amp; CEO Arivarasan A , C/O S/O Alagarasan, flat no 2092,
Block No 2, 9 th floor, Trellis south, 184 Arcot road, Adjacent to Forum Vijay mall, Vadapatani Channai,
Tamil Nadu - 600026 ,</t>
  </si>
  <si>
    <t>Booking Id: TCWVO13611</t>
  </si>
  <si>
    <t>29ABCCA8913G1ZK</t>
  </si>
  <si>
    <t>SAROMIT EXPORTS LLP</t>
  </si>
  <si>
    <t>Designated Partner Amit Santhosh Singh, residing at old Sachdev Nagar B-2/32, C block Road, Near Dolphin club Ulhasnagar, Maharashtra 421002,</t>
  </si>
  <si>
    <t>Booking Id: TCWVO12835</t>
  </si>
  <si>
    <t>Serviguard Technologies Private Limited</t>
  </si>
  <si>
    <t>Jayanth Kumar M , Address: 926, 24 th Cross 22 nd A Main, HSR Club, Sector-2, Bengaluru, Karnataka-
560102</t>
  </si>
  <si>
    <t>9886060847 </t>
  </si>
  <si>
    <t>AUSPJ4003A</t>
  </si>
  <si>
    <t>Booking Id: TCWVO11932</t>
  </si>
  <si>
    <t>Tata Pavan Kumar</t>
  </si>
  <si>
    <t>Visa Bees Immigration Pvt. Ltd.</t>
  </si>
  <si>
    <t>5-16/25/15, Road No 27, near the
nest old age home, Srivani Nagar, Ameenapur, Telangana - 502032</t>
  </si>
  <si>
    <t xml:space="preserve">Booking ID: TCWVO13729 </t>
  </si>
  <si>
    <t>Rohit Grover</t>
  </si>
  <si>
    <t>DeliveryPax</t>
  </si>
  <si>
    <t>Founder, Proprietor , Rohit Grover , S/O, Sudesh Grover, Bali Nagar, D-39A, Ramesh Nagar, West Delhi
Ramesh Nagar, West Delhi, Ramesh Nagar, 110015,</t>
  </si>
  <si>
    <t>AZZPG2470J,</t>
  </si>
  <si>
    <t>Booking ID: TCWVO13733</t>
  </si>
  <si>
    <t>WILSON KUMAR</t>
  </si>
  <si>
    <t>SPIKEON SERVICES PVT LTD</t>
  </si>
  <si>
    <t>Director, WILSON KUMAR, Address: S/o Nathaniel, 1-3-24, VV Giri Road, Station area, Raichur Karnataka – 584101,</t>
  </si>
  <si>
    <t>9902217778 </t>
  </si>
  <si>
    <t>BQUPK7827C</t>
  </si>
  <si>
    <t>Booking Id: TCWVO13817</t>
  </si>
  <si>
    <t>Sanjay Vishwanathan</t>
  </si>
  <si>
    <t>XENTRIX IT SOLUTIONS LLP</t>
  </si>
  <si>
    <t>R/O FNO 212, SRI KRISHNA, Venture Green Garden Layout, Munnekolal, Marathahalli,Bengaluru, Karnataka - 560037</t>
  </si>
  <si>
    <t xml:space="preserve">AECPV8058F  </t>
  </si>
  <si>
    <t>Operations Associate | Team Cowork</t>
  </si>
  <si>
    <t xml:space="preserve">Booking ID: TCWVO13634 </t>
  </si>
  <si>
    <t>RAVI MADAM </t>
  </si>
  <si>
    <t>COHERENCE CONSULTING SERVICES</t>
  </si>
  <si>
    <t>6-62, Anneferror colony, Chinnampalli, VTC Kurugunta PO, Anantapur District, Andra Pradesh 51575</t>
  </si>
  <si>
    <t>CEVPM0083E</t>
  </si>
  <si>
    <t xml:space="preserve">Andra Pradesh </t>
  </si>
  <si>
    <t>Booking ID:  TCWVO13835</t>
  </si>
  <si>
    <t>Khyati Sagar</t>
  </si>
  <si>
    <t>COMMONTHREAD EXPERIENCES &amp; EVENTS LLP</t>
  </si>
  <si>
    <r>
      <t>No.289, 6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cross, Opp CMH road, Indiranagar, Bangalore North, Bengalore, Karnataka-560038 </t>
    </r>
  </si>
  <si>
    <t>AKRPS7961B</t>
  </si>
  <si>
    <t xml:space="preserve">Booking ID: TCWVO13890 </t>
  </si>
  <si>
    <t>29AAVFC5993R1ZY</t>
  </si>
  <si>
    <t>Niranjan SS </t>
  </si>
  <si>
    <t>Fusion Grid Integrated Business Services (name changed from Niranjan SS)</t>
  </si>
  <si>
    <t>#144, 416KHB KS Town, Near Kengeri Krishna Temple, Bnaglore South, Kengeri,   District: Bangalore, State: Karnataka, PIN Code: 560060</t>
  </si>
  <si>
    <t xml:space="preserve">AFHPN5970Q, </t>
  </si>
  <si>
    <t>Booking ID:  TCWVO13914</t>
  </si>
  <si>
    <t>Mriganc Bharadwaj</t>
  </si>
  <si>
    <t xml:space="preserve"> Yerrata private limited (Proposed)</t>
  </si>
  <si>
    <t>Address: 30/4, St Johns Road, Rukmani Colony, Ulsoor, VTC: Bangalore North, PO: Sivan Chetty Gardens, District: Bengaluru, State: Karnataka, PIN Code: 560042</t>
  </si>
  <si>
    <t xml:space="preserve">97316 88778 </t>
  </si>
  <si>
    <t xml:space="preserve">AIEPB6923D </t>
  </si>
  <si>
    <t>Booking ID: TCWVO13952</t>
  </si>
  <si>
    <t>GST is under process</t>
  </si>
  <si>
    <t>Gaurav Tripathy</t>
  </si>
  <si>
    <t>VISIONCRAFT AI MEDIA LABS LLP</t>
  </si>
  <si>
    <t>S/O, Sri Hari Kishore Tripathi, 168, Shiv Dayal Nagar, Kadma, Sendur, Hazaribagh, Barkagaon, Jharkhand, 825301,</t>
  </si>
  <si>
    <t>BUJPK7237H</t>
  </si>
  <si>
    <t>Booking ID: TCWVO14007</t>
  </si>
  <si>
    <t xml:space="preserve"> 29ABAFV8207H1ZY</t>
  </si>
  <si>
    <t>Aug'25 billing done till this booking</t>
  </si>
  <si>
    <t xml:space="preserve"> PREMALATHA S </t>
  </si>
  <si>
    <t>SWASTHA BRIDGE HEALTHCARE PRIVATE LIMITED</t>
  </si>
  <si>
    <t>S/O, Mukhtiyar Ali, 604, Nagaliya aqil, Nagaliya Aqil, Rampur, Uttar Pradesh - 244927</t>
  </si>
  <si>
    <t>DZLPM7944A</t>
  </si>
  <si>
    <t xml:space="preserve">Booking ID: TCWVO13920 </t>
  </si>
  <si>
    <t xml:space="preserve"> 29ABRCS3011Q1ZN</t>
  </si>
  <si>
    <t>Vijay Kumar</t>
  </si>
  <si>
    <t>Activate Manpower Solutions</t>
  </si>
  <si>
    <t>S/O of
Soundaram, #2/247, Sandhai Street, Indur.., Nathathahalli, Indur, Dharmapuri, Tamil Nadu, 636803</t>
  </si>
  <si>
    <t>Booking ID:  TCWVO14075</t>
  </si>
  <si>
    <t xml:space="preserve">Vishnu Shankar </t>
  </si>
  <si>
    <t>Grihssetu Realty</t>
  </si>
  <si>
    <t>Vijendra singh, Flat
No.B-301, Austin County society Sr.58/2/1, Tathawade, Near Ashwini International school, Tathawade, VTC: Pune City, PO: Thathawade, District: Pune, State: Maharashtra, PIN Code: 411033,</t>
  </si>
  <si>
    <t>DQAPS8067L</t>
  </si>
  <si>
    <t>Booking ID: TCWVO14092</t>
  </si>
  <si>
    <t>Yuvadharshini R</t>
  </si>
  <si>
    <t>BeeTheOne Corporate Gifting LLP</t>
  </si>
  <si>
    <t>C/O: Ravi S, No 114/5, Veerapillai Street, Near Commercial Street, Bangalore, North, Bengaluru, Karnataka, 560042</t>
  </si>
  <si>
    <t>GFDPM6434N</t>
  </si>
  <si>
    <t>Booking ID:  TCWVO14083</t>
  </si>
  <si>
    <t>Company PAN: ABFFB8590A</t>
  </si>
  <si>
    <t>Sep'25 booking will end here for billing</t>
  </si>
  <si>
    <t xml:space="preserve">Jithin James </t>
  </si>
  <si>
    <t>Exploding Gradients India Private Limited</t>
  </si>
  <si>
    <t>Punchathalackal, Kannankulangara East, Tripunithura, Ernakulam, Kerala-682301,</t>
  </si>
  <si>
    <t>BDEPJ4333F</t>
  </si>
  <si>
    <t xml:space="preserve">Booking ID: TCWVO14194 </t>
  </si>
  <si>
    <t>jithin@explodinggradients.com</t>
  </si>
  <si>
    <t xml:space="preserve">Rasik Shivaji Pansare </t>
  </si>
  <si>
    <t>FRESHILO PRIVATE LIMITED</t>
  </si>
  <si>
    <t>Flat Number 1503, Amorina, Heights, Shankar Seth Road, Nana chowk, Grant Road, Mumbai
- 400007</t>
  </si>
  <si>
    <t>CHDPP3603G</t>
  </si>
  <si>
    <t>Booking ID:  TCWVO14235</t>
  </si>
  <si>
    <t>rasik.pansare@gmail.com</t>
  </si>
  <si>
    <t xml:space="preserve"> Rajneesh Singh </t>
  </si>
  <si>
    <t>ASHOGEE PHARMA PRIVATE LIMITED</t>
  </si>
  <si>
    <t>VTC: Bhojpur PO: Ramganj District: Pratapgarh State: Uttar Pradesh PIN Code: 230139</t>
  </si>
  <si>
    <t>LOBPS4841B</t>
  </si>
  <si>
    <t xml:space="preserve">Booking ID: TCWVO14279 </t>
  </si>
  <si>
    <t xml:space="preserve"> rajnishsinghrajnish99@gmail.com </t>
  </si>
  <si>
    <t>Rachur Venkata Vijayaditya</t>
  </si>
  <si>
    <t>SVVAK Solutions</t>
  </si>
  <si>
    <t>C/O Rachur Venkata Kiran, 106, Vaastu Heaven Appartment, Bilekahalli, Near Akshara Eye Hospital, Thayappa Garden, Bengaluru-560076</t>
  </si>
  <si>
    <t>CYWPV5355H</t>
  </si>
  <si>
    <t xml:space="preserve">Booking ID: TCWVO14295 </t>
  </si>
  <si>
    <t xml:space="preserve">Rachur.Kiran@gmail.com </t>
  </si>
  <si>
    <t>Abhijit Singh</t>
  </si>
  <si>
    <t>Chemismith Enterprises</t>
  </si>
  <si>
    <t>C/O Abhijit Singh Parmar, R9 2 nd Floor, R’Block, Uppal Southend, Sector 49 Sohna Road,
Behind Sapphire Mall, Gurgaon South City-II, Gurgaon, Haryana-122018</t>
  </si>
  <si>
    <t>AIZPP8019R</t>
  </si>
  <si>
    <t>Booking ID: TCWVO14294</t>
  </si>
  <si>
    <t>Abhijitparmar@rediffmail.com</t>
  </si>
  <si>
    <t>Nigel Lobo</t>
  </si>
  <si>
    <t>FLEXIFORCE HR SOLUTIONS PRIVATE LIMITED</t>
  </si>
  <si>
    <t>Address: 222, PRABHADEVI ESTATE, VEER SAVARKAR MARG, PRABHADEVI, Mumbai City, MUMBAI Maharashtra, India, 400025.</t>
  </si>
  <si>
    <t>AABCC9143Q</t>
  </si>
  <si>
    <t>Booking ID: TCWVO14266</t>
  </si>
  <si>
    <t xml:space="preserve">SHAHUL E S </t>
  </si>
  <si>
    <t xml:space="preserve"> SHAHUL INNOVATIONS LLP</t>
  </si>
  <si>
    <t>S/O Shareef E A, Evakkattil House, Crash road, Near Muslim Masjid, Trikkakara P O, Vazhakala
Village, Ernakulam, Kerala-682021</t>
  </si>
  <si>
    <t>HDEPS3490C</t>
  </si>
  <si>
    <t>Booking ID: TCWVO14193</t>
  </si>
  <si>
    <t xml:space="preserve">shahul@explodinggradients.com </t>
  </si>
  <si>
    <t xml:space="preserve">JITHIN JAMES </t>
  </si>
  <si>
    <t>Jithin James Enterprises LLP</t>
  </si>
  <si>
    <t>BDEPJ433F</t>
  </si>
  <si>
    <t xml:space="preserve">Booking ID: TCWVO14192 </t>
  </si>
  <si>
    <t xml:space="preserve">jithin@explodinggradients.com </t>
  </si>
  <si>
    <t>Muhammed Arshin Azeez</t>
  </si>
  <si>
    <t>Kioko</t>
  </si>
  <si>
    <t>S/O Abdul Azeez,
XI 242 C Baithul Wafa, Naluthara, Near Palloor, Police Station Palloor, Mahe, Pondicherry-673310.</t>
  </si>
  <si>
    <t>DAFPA8283M</t>
  </si>
  <si>
    <t>Pondicherry</t>
  </si>
  <si>
    <t>Booking ID: TCWVO14363</t>
  </si>
  <si>
    <t>29DAFPA283M1Z5</t>
  </si>
  <si>
    <t>arshinazeez@gmail.com</t>
  </si>
  <si>
    <t>KODE PRAMODH</t>
  </si>
  <si>
    <t>SAVVYINTERN INNOVATION PRIVATE LIMITED</t>
  </si>
  <si>
    <t>S/O Srinivasa Roa, 15-4-21/1, Ramabadrabadava Veedhi, Ward
No. 18, Bhimavaram, West Godavari, Andra Pradesh-534201.</t>
  </si>
  <si>
    <t>LLAPK1350F</t>
  </si>
  <si>
    <t>Booking ID: TCWVO14326</t>
  </si>
  <si>
    <t>Vikas Kumar Mathur</t>
  </si>
  <si>
    <t>SU-18 2 nd Floor, Pitampura, Saraswathi Vihar PO, North West Delhi, Delhi-110034.</t>
  </si>
  <si>
    <t>Booking ID: TCWVO14402</t>
  </si>
  <si>
    <t xml:space="preserve">Noor Rijuwan </t>
  </si>
  <si>
    <t>DIABETALIFE FOOD PRODUCTS PRIVATE LIMITED</t>
  </si>
  <si>
    <t>C/O Sharbesh Ali, Howly vill-Ambari-PO, W/4 Ambari, Howly, Barpeta, Assam-781316</t>
  </si>
  <si>
    <t>Booking ID: TCWVO14431</t>
  </si>
  <si>
    <t>Varun Dilip Patra,</t>
  </si>
  <si>
    <t>HG MEDIA LLP</t>
  </si>
  <si>
    <t>Varun Dilip Patra, Address: C/207
Kalyan Complex, Yari Road, Versova, Andheri West, Mumbai - 400061, Maharashtra AND Varsha Dilip
Patra Address: C/207 Kalyan Complex, Yari Road, Versova, Andheri West, Mumbai - 400061, Maharashtra.</t>
  </si>
  <si>
    <t>AWUPP7315F and BBQPP4658D</t>
  </si>
  <si>
    <t>Booking ID: TCWVO14474</t>
  </si>
  <si>
    <t>Vinay@homegrown.co.in</t>
  </si>
  <si>
    <t>Rohit Yadav</t>
  </si>
  <si>
    <t>STAYTUS TECHNOLOGIES PRIVATE LIMITED</t>
  </si>
  <si>
    <t>S/O Suresh Kumar Yadav. Registered Address: Level 1, One Horizon
Center, Sector 43, Golf Course Center, Golf Course Road, Gurugram, Haryana, India 122002</t>
  </si>
  <si>
    <t>99990 90589</t>
  </si>
  <si>
    <t>ABECS8202Q</t>
  </si>
  <si>
    <t>Gurgoan</t>
  </si>
  <si>
    <t>Booking ID: TCWVO14445</t>
  </si>
  <si>
    <t>Albin Kuriakose</t>
  </si>
  <si>
    <t>DS Max Sanskruthi apartment, 205, K Narayana Pura, Kothanur, Bengaluru, Karnataka-560077.</t>
  </si>
  <si>
    <t>JZXPK3321M</t>
  </si>
  <si>
    <t xml:space="preserve">Booking ID: TCWVO14530 </t>
  </si>
  <si>
    <t xml:space="preserve">albinkuriakose1995@gmail.com </t>
  </si>
  <si>
    <t xml:space="preserve">SRIKANTA PATRO </t>
  </si>
  <si>
    <t>Sahaj Wealth Private Limited</t>
  </si>
  <si>
    <t>S/O Basanta Kumar Patro, BALAJI NAGAR, BRAHMAPUR, Brahmapur Sadar, Ganjam, Orissa – 760002</t>
  </si>
  <si>
    <t>CMMPP6799R</t>
  </si>
  <si>
    <t xml:space="preserve">Booking ID: TCWVO14535 </t>
  </si>
  <si>
    <t>Company PAN: ABPCS6034B</t>
  </si>
  <si>
    <t xml:space="preserve">srikant@sahajwealth.com </t>
  </si>
  <si>
    <t>Rohan Chacko K M</t>
  </si>
  <si>
    <t>Karoten Solutions</t>
  </si>
  <si>
    <t>S/O Mathew K C, #1-36, Kallyat House posolige, Kadaba Taluk, Nelyadi, Dakshina Kannada-574229</t>
  </si>
  <si>
    <t>BCNPR5332L</t>
  </si>
  <si>
    <t>Booking ID: TCWVO14591</t>
  </si>
  <si>
    <t xml:space="preserve">karoten.solutions@gmail.com </t>
  </si>
  <si>
    <t>Pancha Elements Private Limited</t>
  </si>
  <si>
    <t xml:space="preserve">TCWVO14651 </t>
  </si>
  <si>
    <t>S Deenadayalan</t>
  </si>
  <si>
    <t>AGATHIYA ARTHA ADVISORY (OPC) PRIVATE LIMITED</t>
  </si>
  <si>
    <t>S/O N Soundarraj, G-2, Ground Floor, Sai Kuteer Apartment, 6th Cross, Vidyanagar, Near Railway Bridge, Thanisandra, PO: Dr. Shivarama Karanth Nagar, Bangalore North, Bengaluru, Karnataka-560077</t>
  </si>
  <si>
    <t>AHFPD8204P</t>
  </si>
  <si>
    <t>29-12-2025</t>
  </si>
  <si>
    <t>28-11-2026</t>
  </si>
  <si>
    <t>TCWVO14689</t>
  </si>
  <si>
    <t>Swapnil Hemant Kumar</t>
  </si>
  <si>
    <t>Mike Events Pvt Ltd</t>
  </si>
  <si>
    <t>TCWVO14699</t>
  </si>
  <si>
    <t>NASIF MUSA NASER</t>
  </si>
  <si>
    <t>HORUS ACADEMY PRIVATE LIMITED</t>
  </si>
  <si>
    <t>TCWVO14706</t>
  </si>
  <si>
    <t>Vanika Jain</t>
  </si>
  <si>
    <t xml:space="preserve">Valennza India   </t>
  </si>
  <si>
    <t>TCWVO14633</t>
  </si>
  <si>
    <t>Anurag Jain</t>
  </si>
  <si>
    <t>Daryaa</t>
  </si>
  <si>
    <t>TCWVO14697</t>
  </si>
  <si>
    <t xml:space="preserve">Navin </t>
  </si>
  <si>
    <t>ICN (INDIA) PVT LTD</t>
  </si>
  <si>
    <t xml:space="preserve"> 89713 23596</t>
  </si>
  <si>
    <t>Mailing Address</t>
  </si>
  <si>
    <t>TCWVO14725</t>
  </si>
  <si>
    <t>Rasik Shivaji Pansare</t>
  </si>
  <si>
    <t xml:space="preserve">FRESHILO PRIVATE LIMITED </t>
  </si>
  <si>
    <t>TCWVO14235</t>
  </si>
  <si>
    <t xml:space="preserve">Kishore </t>
  </si>
  <si>
    <t xml:space="preserve">Viralbee Technologies Private Limited   </t>
  </si>
  <si>
    <t>72040 36898</t>
  </si>
  <si>
    <t xml:space="preserve">TCWVO14788 </t>
  </si>
  <si>
    <t xml:space="preserve">hr.otstech@gmail.com </t>
  </si>
  <si>
    <t>Cibhi Adhinath Padmanaban</t>
  </si>
  <si>
    <t>Unbound3D Industries Private Limited</t>
  </si>
  <si>
    <t>TCWVO14772</t>
  </si>
  <si>
    <t>Natraj</t>
  </si>
  <si>
    <t>OZE group</t>
  </si>
  <si>
    <t>TCWVO14796</t>
  </si>
  <si>
    <t>Khushnum</t>
  </si>
  <si>
    <t>19-01-2026</t>
  </si>
  <si>
    <t>18-12-2026</t>
  </si>
  <si>
    <t>Renewal Booking ID: TCWVO12764R1 
Previous Booking ID: TCWVO12764</t>
  </si>
  <si>
    <t xml:space="preserve">Mr. Shubhabrata Rath </t>
  </si>
  <si>
    <t xml:space="preserve">Shubbh’s Elementals  </t>
  </si>
  <si>
    <t>21-01-26</t>
  </si>
  <si>
    <t>20-12-2026</t>
  </si>
  <si>
    <t xml:space="preserve">Booking ID: TCWVO14840 </t>
  </si>
  <si>
    <t>Ankita Vishnu Naik</t>
  </si>
  <si>
    <t xml:space="preserve"> WROBIT</t>
  </si>
  <si>
    <t>Booking ID: TCWVO14834</t>
  </si>
  <si>
    <t>Januvary 26 Bills End Here</t>
  </si>
  <si>
    <t>Renewal Booking ID:  TCWVO12696R1</t>
  </si>
  <si>
    <t xml:space="preserve">Soumyadip Das </t>
  </si>
  <si>
    <t>SPOTERP TECHNOLOGIES &amp; SERVICES PRIVATE LIMITED</t>
  </si>
  <si>
    <t xml:space="preserve">Booking ID: TCWVO14919 </t>
  </si>
  <si>
    <t xml:space="preserve">sdip1100@gmail.com </t>
  </si>
  <si>
    <t xml:space="preserve"> Manjunath Hegde</t>
  </si>
  <si>
    <t>Renewal Booking ID:  TCWVO12939R1</t>
  </si>
  <si>
    <t>Arjun Raizada</t>
  </si>
  <si>
    <t>NEXTFLUX TECHNOLOGIES PRIVATE LIMITED</t>
  </si>
  <si>
    <t>Booking ID: TCWVO14971</t>
  </si>
  <si>
    <t>raizadaarjun2002@gmail.com</t>
  </si>
  <si>
    <t xml:space="preserve">Anoop Kumar Sharma </t>
  </si>
  <si>
    <t xml:space="preserve">Vestahive realty pvt. Ltd.  </t>
  </si>
  <si>
    <t xml:space="preserve">Booking ID: TCWVO14848 </t>
  </si>
  <si>
    <t>Renewal Booking ID:  TCWVO12725R1</t>
  </si>
  <si>
    <t xml:space="preserve">Kamlesh </t>
  </si>
  <si>
    <t>ISC2 Bangalore Chapter</t>
  </si>
  <si>
    <t>Manphul Sharma, Samhita Castle, M3, Block-2, Nagavarapalya, C V Raman Nagar, PO: C.v.raman Nagar, DIST: Bengaluru, Karnataka – 560093</t>
  </si>
  <si>
    <t xml:space="preserve">97573 78015 </t>
  </si>
  <si>
    <t>Booking ID:  TCWVO14957</t>
  </si>
  <si>
    <t>Renewal Booking ID:  TCWVO12674R1</t>
  </si>
  <si>
    <t>Nagulmeera shaik</t>
  </si>
  <si>
    <t>QUANTIX PRIME SOLUTIONS PRIVATE LIMITED</t>
  </si>
  <si>
    <t>14-02-2026</t>
  </si>
  <si>
    <t>13-01-2027</t>
  </si>
  <si>
    <t>Booking ID: TCWVO14945</t>
  </si>
  <si>
    <t>Thiyagarajan</t>
  </si>
  <si>
    <t xml:space="preserve">Pioneer One Global Consulting Private Limited </t>
  </si>
  <si>
    <t>16-02-2026</t>
  </si>
  <si>
    <t>15-01-2027</t>
  </si>
  <si>
    <t>Mailing Address(M.A)</t>
  </si>
  <si>
    <t>Booking ID: TCWVO14905</t>
  </si>
  <si>
    <t>Renewal Booking ID:  TCWVO12776R1</t>
  </si>
  <si>
    <t>Ankur Somani</t>
  </si>
  <si>
    <t>99875 80172</t>
  </si>
  <si>
    <t>23-02-2026</t>
  </si>
  <si>
    <t>22-01-2027</t>
  </si>
  <si>
    <t>Booking ID:  TCWVO15066</t>
  </si>
  <si>
    <t>ank12.somani@gmail.com</t>
  </si>
  <si>
    <t>Renewal Booking ID:  TCWVO13051R1</t>
  </si>
  <si>
    <t>KARANBIR SINGH MALOTRA</t>
  </si>
  <si>
    <t xml:space="preserve">NATUREVITA PREMIUM FOODS PRIVATE LIMITED  </t>
  </si>
  <si>
    <t>Booking ID: TCWVO15077</t>
  </si>
  <si>
    <t>Dibyashu Kashyap</t>
  </si>
  <si>
    <t>ARKAVARA GROUPS PRIVATE LIMITED</t>
  </si>
  <si>
    <t>27-01-2027</t>
  </si>
  <si>
    <t>Booking ID: TCWVO15095</t>
  </si>
  <si>
    <t>Kdibyashu@gmail.com</t>
  </si>
  <si>
    <t>SOMANI CONSUMER BRANDS PRIVATE LIMITED</t>
  </si>
  <si>
    <t>Booking ID: TCWVO15089</t>
  </si>
  <si>
    <t xml:space="preserve">AL HILAL ALAM </t>
  </si>
  <si>
    <t>Omnia Enterprises</t>
  </si>
  <si>
    <t>Booking ID:  TCWVO15114</t>
  </si>
  <si>
    <t>reachatomnia@gmail.com</t>
  </si>
  <si>
    <t xml:space="preserve">Karthik Karuthedath </t>
  </si>
  <si>
    <t>L'ARK ATELIER CREATIVE STUDIO LLP</t>
  </si>
  <si>
    <t xml:space="preserve">Booking ID: TCWVO15119 </t>
  </si>
  <si>
    <t xml:space="preserve"> karthikabra@gmail.com </t>
  </si>
  <si>
    <t>Yagna Ganesh Janga</t>
  </si>
  <si>
    <t xml:space="preserve"> Iterator Technologies Private Limited  </t>
  </si>
  <si>
    <t>Booking ID: TCWVO15108</t>
  </si>
  <si>
    <t>Renewal Booking ID:  TCWVO12806R1</t>
  </si>
  <si>
    <t>Renewal Booking ID: TCWVO12825R1</t>
  </si>
  <si>
    <t>Renewal Booking ID:  TCWVO12841R1</t>
  </si>
  <si>
    <t>Rohan Jha</t>
  </si>
  <si>
    <t>SAROMIT EXPORTS LLP</t>
  </si>
  <si>
    <t>Renewal Booking ID:  TCWVO12835R1</t>
  </si>
  <si>
    <t>Vinod Kumar Gupta</t>
  </si>
  <si>
    <t>ALFRED SOLUTIONS PRIVATE LIMITED</t>
  </si>
  <si>
    <t>Booking ID: TCWVO15150</t>
  </si>
  <si>
    <t>ravi@alfredsolutions.com</t>
  </si>
  <si>
    <t>13-03-2026</t>
  </si>
  <si>
    <t>Renewal Booking ID:  TCWVO12903R1</t>
  </si>
  <si>
    <t>Mitul Harish Chauhan  </t>
  </si>
  <si>
    <t>  ArtKshetra</t>
  </si>
  <si>
    <t>Booking ID:  TCWVO15188</t>
  </si>
  <si>
    <t>chaumin1859@gmail.com</t>
  </si>
  <si>
    <t>Mihir Shah</t>
  </si>
  <si>
    <t>Shreeji Chemtech</t>
  </si>
  <si>
    <t xml:space="preserve">Booking ID: TCWVO15206 </t>
  </si>
  <si>
    <t xml:space="preserve">shreejichem01@gmail.com </t>
  </si>
  <si>
    <t>Renewal Booking ID:  TCWVO12794R1</t>
  </si>
  <si>
    <t>Ramu Radhakrishnan</t>
  </si>
  <si>
    <t>Viewpoint Consulting LLP</t>
  </si>
  <si>
    <t>Booking ID: TCWVO15239</t>
  </si>
  <si>
    <t xml:space="preserve"> ramu.radhakrishnan@yahoo.com</t>
  </si>
  <si>
    <t>Sayed Junaid </t>
  </si>
  <si>
    <t>9686894411 </t>
  </si>
  <si>
    <t>24/3/2026</t>
  </si>
  <si>
    <t xml:space="preserve">Junaid@techprogenie.com </t>
  </si>
  <si>
    <t xml:space="preserve">ASHWINI G E </t>
  </si>
  <si>
    <t>IGNITE0700</t>
  </si>
  <si>
    <t>27-03-2026</t>
  </si>
  <si>
    <t>26-02-2027</t>
  </si>
  <si>
    <t>Renewal Booking ID:  TCWVO12836R1</t>
  </si>
  <si>
    <t>Reshma</t>
  </si>
  <si>
    <t>AMHEAL Healthcare LLP</t>
  </si>
  <si>
    <t>TENSORTACTIC SOLUTIONS PRIVATE LIMITED</t>
  </si>
  <si>
    <t>17-03-2026</t>
  </si>
  <si>
    <t>16-02-2027</t>
  </si>
  <si>
    <t>Renewal Booking ID:  TCWVO12705R1</t>
  </si>
  <si>
    <t>Renewal Booking ID:  TCWVO12945R1</t>
  </si>
  <si>
    <t>Renewal Booking ID:  TCWVO12832R1</t>
  </si>
  <si>
    <t>JANTEERA VENTURES PRIVATE LIMITED</t>
  </si>
  <si>
    <r>
      <t>AVPPC1304H</t>
    </r>
    <r>
      <rPr>
        <sz val="12"/>
        <color theme="1"/>
        <rFont val="Times New Roman"/>
        <family val="1"/>
      </rPr>
      <t xml:space="preserve"> </t>
    </r>
  </si>
  <si>
    <t>Renewal Booking ID: TCWVO12987R1</t>
  </si>
  <si>
    <t>JOSEPH MATHEW </t>
  </si>
  <si>
    <t>No 205, Sanskruthi Apartment, K Narayanapura Main Road, Kothanur Post, VTC: Kothanur, PO: Kothanur, District: Bengaluru, State: Karnataka, PIN Code: 560077</t>
  </si>
  <si>
    <t>9972709770 </t>
  </si>
  <si>
    <t xml:space="preserve">FDHPM8123H </t>
  </si>
  <si>
    <t xml:space="preserve">Booking ID: TCWVO15322 </t>
  </si>
  <si>
    <t>Renewal Booking ID:  TCWVO13200R1</t>
  </si>
  <si>
    <t>Renewal Booking ID:  TCWVO13022R1</t>
  </si>
  <si>
    <t>Ruby S Naresh</t>
  </si>
  <si>
    <t xml:space="preserve">FLUX STORES </t>
  </si>
  <si>
    <t>W/O Naresh Kumar, #162/2, 3rd Main, 4th A Cross, Govt. School Road, Muniswamappa Layout, Chikka Banasawadi, Maruthi Sevanagar:PO, Bengaluru North, Bengaluru, Karnataka-560033</t>
  </si>
  <si>
    <t>ALSPK5985B</t>
  </si>
  <si>
    <t xml:space="preserve">Booking ID: TCWVO15348 </t>
  </si>
  <si>
    <t>Renewal Booking ID:  TCWVO13089R1</t>
  </si>
  <si>
    <t>Renewal Booking ID:  TCWVO13072R1</t>
  </si>
  <si>
    <t>Renewal Booking ID:  TCWVO13142R1</t>
  </si>
  <si>
    <t>Deepak Bharati</t>
  </si>
  <si>
    <t>FeedMyTrip Technologies Private Limited</t>
  </si>
  <si>
    <t>/o Puroosotam Kumar, Residing at Village Kanku Bigha, VTC: Eksara, PO: Eksara, Sub District: Ben, District: Nalanda, State: Bihar, PIN Code: 803114</t>
  </si>
  <si>
    <t> 9887529343</t>
  </si>
  <si>
    <t>BNNPB9483P</t>
  </si>
  <si>
    <t>Booking ID: TCWVO15456</t>
  </si>
  <si>
    <t>17-05-2027</t>
  </si>
  <si>
    <t>Renewal Booking ID:  TCWVO13306R1</t>
  </si>
  <si>
    <t xml:space="preserve"> Dhanender Chandna </t>
  </si>
  <si>
    <t>NODE PAYMENTS NETWORK LLP </t>
  </si>
  <si>
    <t>C/O PREM SAGAR CHANDNA, residing at H NO 73 PHASE -2, OPP PHASE -2, SRI GANGANAGER ROAD, RIDHI SIDHI ESTATE, VTC: Abohar, PO: Abohar, District: Fazilka, State: Punjab, PIN Code: 152116</t>
  </si>
  <si>
    <t>AANPC4887C</t>
  </si>
  <si>
    <t xml:space="preserve">Booking ID: TCWVO15498 </t>
  </si>
  <si>
    <t xml:space="preserve">chandna_fzr@yahoo.com </t>
  </si>
  <si>
    <t xml:space="preserve">D/o Biswanath Deb Nath House No -0 Village - Jalaibari  - Jolaibari South, Tripura – 799141 </t>
  </si>
  <si>
    <t>CDPPN5482D</t>
  </si>
  <si>
    <t>Saniya Sharma</t>
  </si>
  <si>
    <t>Mezsuki Private Limited</t>
  </si>
  <si>
    <t>, residing at House No- 6, By Lane No-12, Rajgarh Road, Ulubari, Kamrup Metro, Assam PIN Code: 781007</t>
  </si>
  <si>
    <t>FMHPS2505C</t>
  </si>
  <si>
    <t>Booking ID:  TCWVO15501</t>
  </si>
  <si>
    <t xml:space="preserve"> Saniya_Sharma@outlook.com </t>
  </si>
  <si>
    <t>Renewal Booking ID: TCWVO13406R1</t>
  </si>
  <si>
    <t>15-05-2026</t>
  </si>
  <si>
    <t>14-04-2027</t>
  </si>
  <si>
    <t>Booking ID : TCWVO12855R1</t>
  </si>
  <si>
    <t>Renewal Booking ID: TCWVO13265R1</t>
  </si>
  <si>
    <t>31-04-2027</t>
  </si>
  <si>
    <t>Renewal Booking ID: TCWVO13069R1</t>
  </si>
  <si>
    <t>Renewal Booking ID: TCWVO13398R1</t>
  </si>
  <si>
    <t>Renewal Booking ID: TCWVO13397R1</t>
  </si>
  <si>
    <t>18-04-2026</t>
  </si>
  <si>
    <t>Renewal Booking ID:  TCWVO13112R1</t>
  </si>
  <si>
    <t>Renewal Booking ID: TCWVO13323R1</t>
  </si>
  <si>
    <t>13-06-2026</t>
  </si>
  <si>
    <t>Renewal Booking ID:  TCWVO13485R1</t>
  </si>
  <si>
    <t>Renewal Booking ID: TCWVO13413R1</t>
  </si>
  <si>
    <t>Renewal Booking ID: TCWVO13426R1</t>
  </si>
  <si>
    <t>Renewal Booking ID: TCWVO13611R1</t>
  </si>
  <si>
    <t>Renewal Booking ID: TCWVO13418R1</t>
  </si>
  <si>
    <t>Renewal Booking ID: TCWVO13458R1</t>
  </si>
  <si>
    <t>20-06-2026</t>
  </si>
  <si>
    <t>19-05-2027</t>
  </si>
  <si>
    <t>Renewal Booking ID: TCWVO13536R1</t>
  </si>
  <si>
    <t>kenny George Eapen</t>
  </si>
  <si>
    <t xml:space="preserve">Tru Estate
</t>
  </si>
  <si>
    <t xml:space="preserve">Address: 101, Radiance Apartments, 33, Hutchins MN RD Davis road Junction, Cooke Town, Bangalore North, Fraser town, Bangalore Karnataka - 560005 </t>
  </si>
  <si>
    <t>AAHPE2488F</t>
  </si>
  <si>
    <t>Renewal Booking ID: TCWVO13054R1
Previous Booking ID:  TCWVO13054</t>
  </si>
  <si>
    <t xml:space="preserve">To be bill for old and current </t>
  </si>
  <si>
    <t>7*2</t>
  </si>
  <si>
    <t>26-06-2027</t>
  </si>
  <si>
    <t>Renewal Booking ID: TCWVO13553R1</t>
  </si>
  <si>
    <t>24-06-2026</t>
  </si>
  <si>
    <t>23-05-2027</t>
  </si>
  <si>
    <t>Renewal Booking ID:  TCWVO13733R1</t>
  </si>
  <si>
    <t>23-06-2026</t>
  </si>
  <si>
    <t>Renewal Booking ID: TCWVO13520R1</t>
  </si>
  <si>
    <t>24-05-2028</t>
  </si>
  <si>
    <t>Renewal Booking ID:  TCWVO13577R1</t>
  </si>
  <si>
    <t>10.8 (2Year)</t>
  </si>
  <si>
    <t>Renewal Booking ID: TCWVO13095R1</t>
  </si>
  <si>
    <t>26-06-2026</t>
  </si>
  <si>
    <t>Renewal Booking ID: TCWVO13561R1</t>
  </si>
  <si>
    <t>Rajnish Jha  </t>
  </si>
  <si>
    <t>FineMac Mobile Accessories</t>
  </si>
  <si>
    <r>
      <t>Flat No 712, 7</t>
    </r>
    <r>
      <rPr>
        <u/>
        <vertAlign val="superscript"/>
        <sz val="11"/>
        <color theme="1"/>
        <rFont val="Times New Roman"/>
        <charset val="1"/>
      </rPr>
      <t>th</t>
    </r>
    <r>
      <rPr>
        <u/>
        <sz val="11"/>
        <color theme="1"/>
        <rFont val="Times New Roman"/>
        <charset val="1"/>
      </rPr>
      <t xml:space="preserve"> Floor, Block 3,  Charms Solitaire, Village Mohiuddinpur, Kanawani, Indirapuram, Ghaziabad, Uttar Pradesh - 201014</t>
    </r>
  </si>
  <si>
    <t>20/07/2026</t>
  </si>
  <si>
    <t>20/07/2028</t>
  </si>
  <si>
    <t>Renewal Booking ID:  TCWVO13162R1</t>
  </si>
  <si>
    <t>Rayachoty Chowsanbaigari Shaik Shahintaj </t>
  </si>
  <si>
    <t>AIML Integrated Data Solutions Private Limited  </t>
  </si>
  <si>
    <t>25/07/2026</t>
  </si>
  <si>
    <t>24/06/2027</t>
  </si>
  <si>
    <t xml:space="preserve">GST Registration Plan (G.R)+ Permanent Signage </t>
  </si>
  <si>
    <t>Booking ID: TCWVO15965</t>
  </si>
  <si>
    <t>Qi Venture Capital Partners Pvt. Ltd</t>
  </si>
  <si>
    <t>26/06/2027</t>
  </si>
  <si>
    <t>Renewal Booking ID: TCWVO13462R1</t>
  </si>
  <si>
    <r>
      <rPr>
        <sz val="11"/>
        <color rgb="FF000000"/>
        <rFont val="Calibri"/>
        <scheme val="minor"/>
      </rPr>
      <t>XENTRIX IT SOLUTIONS LLP</t>
    </r>
    <r>
      <rPr>
        <sz val="13.5"/>
        <color rgb="FF0000FF"/>
        <rFont val="Segoe UI"/>
      </rPr>
      <t>  </t>
    </r>
    <r>
      <rPr>
        <sz val="13.5"/>
        <color rgb="FF0000FF"/>
        <rFont val="Calibri"/>
      </rPr>
      <t> </t>
    </r>
  </si>
  <si>
    <t>Renewal Booking ID:  TCWVO13634R1</t>
  </si>
  <si>
    <t>Rajani K</t>
  </si>
  <si>
    <t>Rayeos</t>
  </si>
  <si>
    <r>
      <t>No 1 Sowmya Apartment, No 16, 1</t>
    </r>
    <r>
      <rPr>
        <vertAlign val="superscript"/>
        <sz val="12"/>
        <color theme="1"/>
        <rFont val="Times New Roman"/>
        <charset val="1"/>
      </rPr>
      <t>st</t>
    </r>
    <r>
      <rPr>
        <sz val="12"/>
        <color theme="1"/>
        <rFont val="Times New Roman"/>
        <charset val="1"/>
      </rPr>
      <t xml:space="preserve"> Cross, Bhoopasandra Main riad, Near SBI Bank, Vinayaka Layout, Bangalore North, RMV Extension, II Stage, Bangalore North, Bangalore, Karnataka - 560094</t>
    </r>
  </si>
  <si>
    <t>11 29 days</t>
  </si>
  <si>
    <t>Renewal Booking ID:  TCWVO13387R1</t>
  </si>
  <si>
    <t>Venugopal Lakshman</t>
  </si>
  <si>
    <t>PLOTROL NEXUS BHUYOG PARTNERS LLP</t>
  </si>
  <si>
    <t>29-07-2026</t>
  </si>
  <si>
    <t>28-06-2027</t>
  </si>
  <si>
    <t>Booking ID: TCWVO13985R1</t>
  </si>
  <si>
    <t>28-05-2026</t>
  </si>
  <si>
    <t>27-05-2027</t>
  </si>
  <si>
    <t>Renewal Booking ID: TCWVO13365R1</t>
  </si>
  <si>
    <t xml:space="preserve">  LAKSHMIPALEM SURESH KUMAR RAO</t>
  </si>
  <si>
    <t>Renewal Booking ID:  TCWVO13646R1</t>
  </si>
  <si>
    <t>Renewal Booking ID: TCWVO14007R1</t>
  </si>
  <si>
    <t>Renewal Booking ID: TCWVO13952R1</t>
  </si>
  <si>
    <t>Renewal Booking ID: TCWVO14075R1</t>
  </si>
  <si>
    <t>Renewal Booking ID: TCWVO14192R1</t>
  </si>
  <si>
    <t>27-09-2026</t>
  </si>
  <si>
    <t>26-08-2027</t>
  </si>
  <si>
    <t>Renewal Booking ID: TCWVO14193R1</t>
  </si>
  <si>
    <t>Renewal Booking ID: TCWVO13817R1</t>
  </si>
  <si>
    <t>GST number</t>
  </si>
  <si>
    <t>Last Contacted</t>
  </si>
  <si>
    <t>Prerna</t>
  </si>
  <si>
    <t>Uniform Nation</t>
  </si>
  <si>
    <t>Preparan Gupta w/o Prashanth Kyal, Flat no 14062, tower 14 prestige Shantinikethan,whitefiled Bangalore north, mahadevpura Bengalore Karnataka 560048
Phone: 9560777388</t>
  </si>
  <si>
    <t>AMVPG5849A</t>
  </si>
  <si>
    <t>Bhanu</t>
  </si>
  <si>
    <t>Business Process Manager</t>
  </si>
  <si>
    <t>8130554459 </t>
  </si>
  <si>
    <t>Ayush Singhal</t>
  </si>
  <si>
    <t>Vastramyaa Creation</t>
  </si>
  <si>
    <t>Ayush Singhal 35 B 1 LINE CHHAWANI
r.a.bazar Meerut Uttar Pradesh - 250001</t>
  </si>
  <si>
    <t>ECBPS6542G</t>
  </si>
  <si>
    <t>Amal A</t>
  </si>
  <si>
    <t>MEDRELI SOLUTIONS LLP</t>
  </si>
  <si>
    <t>Amal A Residing at Ammanamkandi,
Elathur P.O, Elathur S.O, Kozhikode, Kerala, 673303.</t>
  </si>
  <si>
    <t>CFJPA6427B</t>
  </si>
  <si>
    <t>Sales- NSS00100046807</t>
  </si>
  <si>
    <t xml:space="preserve"> Ajay Talwar</t>
  </si>
  <si>
    <t>NIHARIKA TALWAR ENTERPRISES LLP</t>
  </si>
  <si>
    <t>Ajay Talwar S/O late
Krishna Lal Talwar, 798, Sunder Vihar Civil lines, Jhansi, Mauranipur Jansi, Uttar Pradesh - 284001</t>
  </si>
  <si>
    <t>ABBPT2606H</t>
  </si>
  <si>
    <t>Sales- NSS00100046857</t>
  </si>
  <si>
    <t>Bharat Khatri</t>
  </si>
  <si>
    <t>Udeep Organic Pvt Ltd</t>
  </si>
  <si>
    <t>Bharat Khatri S/O Chandrakumar Khatri,
1222, Sector D, Sudama Nagar, Indore, Madya Pradesh – 452009</t>
  </si>
  <si>
    <t>AQRPK2731R</t>
  </si>
  <si>
    <t>Sales- NSS00100047064</t>
  </si>
  <si>
    <t>SOURAV KUMAR DUTTA</t>
  </si>
  <si>
    <t xml:space="preserve">PRACTIVE CONSULTING &amp; TRAINING LLP </t>
  </si>
  <si>
    <t>SOURAV KUMAR DUTTA Residing at: 45, 1, Kaggadasapura 10 th Cross, Bescom Payment Oflice Lane, Kaggadasapura C V Raman Nagar, Bengaluru Karnataka – 560093,</t>
  </si>
  <si>
    <t>AAYFP7428F,</t>
  </si>
  <si>
    <t>Sales- NSS0010005084</t>
  </si>
  <si>
    <t>Varaji Anusha</t>
  </si>
  <si>
    <t>HEALANCE PHARMACEUTICALS PRIVATE LIMITED</t>
  </si>
  <si>
    <t>Authorized
Signatory Varaji Anusha C/o Varaji Krishnarjuna Rao, Flat No. 314, Block B, Floor -3, Bandlagudda,
Jagri, Near Kalimandir, Bandlagudda, Jagir, K. V Rangareddy Telangana - 500030</t>
  </si>
  <si>
    <t>AOPPV5001D</t>
  </si>
  <si>
    <t>Sales- NSS00100047481</t>
  </si>
  <si>
    <t>Jayanth Kumar</t>
  </si>
  <si>
    <t xml:space="preserve"> JAYKMR</t>
  </si>
  <si>
    <t>Proprietor Jayanth Kumar S/O: Prabhat Kumar Jaiswal, 202, bansi
apartment R.K bhattacharya road, exibition road, chauraha Phulwari Patna Patna G.p Bihar - 800001,</t>
  </si>
  <si>
    <t>AXFPJ3670H,</t>
  </si>
  <si>
    <t>Bhihar</t>
  </si>
  <si>
    <t>Ria</t>
  </si>
  <si>
    <t>2/31/2026</t>
  </si>
  <si>
    <t xml:space="preserve">Sales- NSS00100047586 </t>
  </si>
  <si>
    <t>Nakul M Dev</t>
  </si>
  <si>
    <t>KAADU EXPEDITIONS PRIVATE LIMITED</t>
  </si>
  <si>
    <t>Director, Nakul M Dev S/o
Mahadeva K S, No 3273, 11 th Main road, HAL 2 nd stage, Bangalore North, HAL II stage, Bangalore Karnataka - 560008</t>
  </si>
  <si>
    <t>AQLPD4902D</t>
  </si>
  <si>
    <t>Sales- NSS00100047372</t>
  </si>
  <si>
    <t xml:space="preserve">Sunil Basoya </t>
  </si>
  <si>
    <t>Bruton Footwear Pvt Ltd</t>
  </si>
  <si>
    <t>Director- Sunil Basoya S/O: Tejpal Basoya, 1821/41, Joor Bagh, Trinagar, Onkar Nagar, North West, Delhi - 110035</t>
  </si>
  <si>
    <t>AAMCB6589Q,</t>
  </si>
  <si>
    <t>Sales- NSS00100047860</t>
  </si>
  <si>
    <t>Nalinakumaran Thampi</t>
  </si>
  <si>
    <t>CASORBIT TECHNOLOGIES PRIVATE LIMITED</t>
  </si>
  <si>
    <t>C/o Nalinakumaran Thampi, Hexa Supreme, B 105, Sy no
291/1, Begur Cross Road, Near New Sri Ram Temple, Devarachikkanahalli, Bangalore Karnataka -
560076 with PAN Number CQNPK2919P AND Chikkala Janardhan Rao Massar C/o C. Massar,
757, Mawdiang – Diang, Mawdiang, Diang, Neighrihms, East Khasi Hills, Meghalaya- 793018</t>
  </si>
  <si>
    <t>CQGPM3082C</t>
  </si>
  <si>
    <t>Sales- NSS00100048130</t>
  </si>
  <si>
    <t>Livingston J</t>
  </si>
  <si>
    <t>KingdomEdge Capital</t>
  </si>
  <si>
    <t>Owner , Livingston J, C/O Jayakumar Joseph, #1261, Hennur Main Road, Kacharakana halli, Ambedkar Nagar, VTC: Bangalore North, PO: St. Thomas Town, Sub District: Bangalore North, District: Bengaluru, State: Karnataka, PIN Code:</t>
  </si>
  <si>
    <t>BHJPL7184H</t>
  </si>
  <si>
    <t>Sales- NSS00100048138</t>
  </si>
  <si>
    <t>Varun Mimani</t>
  </si>
  <si>
    <t>AP2GP PRIVATE LIMITED</t>
  </si>
  <si>
    <t>its Director Varun Mimani, D3-404, Parsvnath Exotica Golf Course Road Sector53, Gurgaon, Gurgaon-122011, Haryana,</t>
  </si>
  <si>
    <t>AAZCA1273B,</t>
  </si>
  <si>
    <t xml:space="preserve"> Sales- NSS00100047851 </t>
  </si>
  <si>
    <t>Mr. Sonick Reddy</t>
  </si>
  <si>
    <t>M/s. R N Mishra &amp;amp; Co., Chartered Accountants</t>
  </si>
  <si>
    <t>Authorised Signatory, Mr. Sonick Reddy, S/O late Thukkani Sanjeeva Reddy, H No –
2-6-485/1/24P, Eashwarapuri Colony Main Road, Jaipuri Colony, GSI Post, Telangana – 500068</t>
  </si>
  <si>
    <t>AAEFR7678H,</t>
  </si>
  <si>
    <t>Sales- NSS00100047843</t>
  </si>
  <si>
    <t>ANIL KUMAR</t>
  </si>
  <si>
    <t xml:space="preserve"> EZEEKART CREATION LLP</t>
  </si>
  <si>
    <t>Partner ANIL KUMAR Registered Office at: No 2, Rajan Street, T. Nagar, Chennai, Tamil Nadu, 600017,</t>
  </si>
  <si>
    <t>AAFFE3852P,</t>
  </si>
  <si>
    <t xml:space="preserve"> Sales- NSS00100047843</t>
  </si>
  <si>
    <t>William Alexander</t>
  </si>
  <si>
    <t>SMART GLOBAL SERVICES</t>
  </si>
  <si>
    <t>its Managing Partner William Alexander S/o G R Alexander, having its registered office at Second Floor, Office Number 209, S D Road, Clock Tower Chowk, Secunderabad, Hyderabad, Telanagana-500016,</t>
  </si>
  <si>
    <t>ADJFS8850L,</t>
  </si>
  <si>
    <t>Sales- NSS00100048422</t>
  </si>
  <si>
    <t>Navin Kumar Sharma</t>
  </si>
  <si>
    <t>NYBURS PRIVATE LIMITED</t>
  </si>
  <si>
    <t>Navin Kumar Sharma, Prestige
Falcon city, House No – 44293, Kanakpura Road, Kokonakunde Cross, Bangalore south, Bangalore, Karnataka - 560062</t>
  </si>
  <si>
    <t>DYLPS6259D</t>
  </si>
  <si>
    <t xml:space="preserve">Sales- NSS00100048315 </t>
  </si>
  <si>
    <t xml:space="preserve"> Sagar Keshav</t>
  </si>
  <si>
    <t>CARBON NUTRACEUTICAL PRIVATE LIMITED</t>
  </si>
  <si>
    <t>Director, Sagar Keshav
Chaudhari, S/o Keshav Chaudhari, Flat No B-403, Malwani Sagar Samrat, Chs Ltd, Mhada Malwani Malad
west, Plot No 16, Rsc -02, VTC: Mumbai Maharashtra - 400095,</t>
  </si>
  <si>
    <t>APLPC5748R,</t>
  </si>
  <si>
    <t xml:space="preserve">Sales- NSS00100048578 </t>
  </si>
  <si>
    <t>Anuj Tiwari</t>
  </si>
  <si>
    <t>Aadhya Global Ventures</t>
  </si>
  <si>
    <t xml:space="preserve"> Owner, Anuj Tiwari, S/O: Shiv prasad Tiwari, House
No 106, Village Mohra Tola Maniyapar, Post, Samogar, Mandapur, Deoria, Uttar Pradesh - 274205</t>
  </si>
  <si>
    <t>ANUPT2033K</t>
  </si>
  <si>
    <t>Sales- NSS00100047970</t>
  </si>
  <si>
    <t>Dholakiya Yogesh Himmatbhai,</t>
  </si>
  <si>
    <t>Smart kart</t>
  </si>
  <si>
    <t>Owner, Dholakiya Yogesh Himmatbhai, A – 1001 ALOK
RESIDENCY, MOTA VARACHHA, Mota Varachha, Surat Gujarat - 394101</t>
  </si>
  <si>
    <t>CKLPD5211R</t>
  </si>
  <si>
    <t>Tanu</t>
  </si>
  <si>
    <t>Sales- NSS00100037507</t>
  </si>
  <si>
    <t>Santu Maity,</t>
  </si>
  <si>
    <t>Replaice Technologies Private Limited</t>
  </si>
  <si>
    <t>Director , Santu Maity, Name: Santu
Maity ​ Address: Flat No A1202, A Block, 12th Floor, NCC Urban Mayfair, Doddaballapur Main Road,
Bangalore, Near CRPF Bus Stop, Yelahanka, CRPF Campus Yelahanka, PO: Yelahanka, District: Bengaluru,
State: Karnataka, PIN Code: 560064</t>
  </si>
  <si>
    <t>APFPM0453D</t>
  </si>
  <si>
    <t>Santu</t>
  </si>
  <si>
    <t xml:space="preserve">Sales- NSS00100043838 </t>
  </si>
  <si>
    <t>Sutithi Banerjee</t>
  </si>
  <si>
    <t>Zarach Consultancy</t>
  </si>
  <si>
    <t>Owner, Sutithi Banerjee D/O: Sanat Kumar Banerjee ​ 7C Bakul Tala Lane ​ Kasba, Kasba Circus Avenue ​ Kolkata, West Bengal ​ 700042</t>
  </si>
  <si>
    <t>FUDPB0828P</t>
  </si>
  <si>
    <t>Muskaan</t>
  </si>
  <si>
    <t>Sales- NSS00100048868</t>
  </si>
  <si>
    <t>Goutham Iyer</t>
  </si>
  <si>
    <t>IGNIZEUS TECHNOLOGIES LLP</t>
  </si>
  <si>
    <t>Partner, Goutham Iyer S ​ C/O: G Suresh Iyer , Address: No 3800, Banashankari Nilaya, 12th Cross, 50 Feet Road, Kumaraswamy Layout 2nd Stage, Bangalore South, Bengaluru, Karnataka, PIN Code: 560078</t>
  </si>
  <si>
    <t>Sales- NSS00100046753</t>
  </si>
  <si>
    <t>Pawan Gupta</t>
  </si>
  <si>
    <t>DEVAAY ENTERPRISES</t>
  </si>
  <si>
    <t>Owner, Pawan Gupta S/O: Jai Bhagwan Gupta, Hose No 118-119 Ground Floor Pocket -12, Sector 24, Rohini, Rohini Sector – 7, North West Delhi, Delhi – 110085,</t>
  </si>
  <si>
    <t>AKMPG8030C</t>
  </si>
  <si>
    <t>Sales- NSS00100047891</t>
  </si>
  <si>
    <t>EQIPWORK AI PRIVATE LIMITED</t>
  </si>
  <si>
    <t>Director , Gunadeep P N, C/O, S/O
PV Parameswaran, Tower B 602, Glen Gate house of Hiranandani, Ward No 8, Next to Aadhar data
Centre, Kodigehalli village, Yelahanka Hobli, Bangalore North, Bangalore – 560092</t>
  </si>
  <si>
    <t>Sales- NSS00100048496</t>
  </si>
  <si>
    <t>Bishal Sarawogi</t>
  </si>
  <si>
    <t>MIBISH INTERNATIONAL</t>
  </si>
  <si>
    <t>Partner, Bishal Sarawogi S/O: Bijay Sarawogi, Db 48, Salt lake city, CA island, Sector I, Bidhannagar, Kolkata, West Bengal - 700064</t>
  </si>
  <si>
    <t>BHNPS7161K</t>
  </si>
  <si>
    <t>Dhiksha</t>
  </si>
  <si>
    <t>Sales- NSS00100049055</t>
  </si>
  <si>
    <t>Seeta Vithal Shetty</t>
  </si>
  <si>
    <t>SEETA TRAVELS</t>
  </si>
  <si>
    <t>Owner, Seeta Vithal Shetty W/O: Vithal Shetty, B/73, Nirmal Niwas, 5 th Floor, Aimai Merwanji Road, Near KEM Hospital, Parel, Parel, Mumbai, Maharashtra -
400012</t>
  </si>
  <si>
    <t>CLPPS6468G</t>
  </si>
  <si>
    <t>Sales- NSS00100048871</t>
  </si>
  <si>
    <t xml:space="preserve">VISHAL VERMA </t>
  </si>
  <si>
    <t>Pratham Overseas</t>
  </si>
  <si>
    <t xml:space="preserve">Owner, VISHAL VERMA S/O: Vinod Verma, House No L – 25, Near GNE Collage, Baba Deep Singh Nagar, Durgi Road, Millerganj, Ludhiana, Punjab - 141003 </t>
  </si>
  <si>
    <t>CDAPV8507J</t>
  </si>
  <si>
    <t>Sales- NSS00100048894</t>
  </si>
  <si>
    <t xml:space="preserve">Apurva Kothari </t>
  </si>
  <si>
    <t xml:space="preserve"> NO NASTIES PRIVATE LIMITED</t>
  </si>
  <si>
    <t>Director, Apurva Kothari C/OHouse No
62, Hillside D’souza Residency, Near Nilaya, Hotel Mainath Bhatti, Arpora, North Goa, Goa - 403516</t>
  </si>
  <si>
    <t>ADYPK7349H</t>
  </si>
  <si>
    <t>Sales- NSS00100042734</t>
  </si>
  <si>
    <t>Aashish Muralidhar</t>
  </si>
  <si>
    <t>Apex Edge Sports</t>
  </si>
  <si>
    <t>AUTHORISED SIGNATORY Aashish Muralidhar, S/O: Nagaraja Muralidhar, #481/A, 1st Floor, 16th Cross Ideal Homes, 1st Stage, Rajarajeshwari Nagar, VTC: Bangalore South, PO: Rajarajeshwarinagar, Sub District: Bangalore South, District: Bangalore, State: Karnataka,</t>
  </si>
  <si>
    <t>BOIPM6252F</t>
  </si>
  <si>
    <t>Sales- NSS00100049041</t>
  </si>
  <si>
    <t>Ojha Tolla Chakia</t>
  </si>
  <si>
    <t>Pincorp</t>
  </si>
  <si>
    <t xml:space="preserve">Ojha Tolla Chakia, Chakia, PO: Bara Chakia, Bihar - 845412 </t>
  </si>
  <si>
    <t>PRCPK0885H</t>
  </si>
  <si>
    <t>Sales- NSS00100049468</t>
  </si>
  <si>
    <t>DEEPENDRA PRATAP KANEL</t>
  </si>
  <si>
    <t xml:space="preserve">NOVANTICE SOLUTIONS PRIVATE LIMITED </t>
  </si>
  <si>
    <t xml:space="preserve">Flat No B2, Taj Vatika, Bhola Bhouhan Road, opp Haiderpara market complex, Haiderpara, Siliguri M.corp, Sevoke road, Darjeeling, west Bengal - 734001 </t>
  </si>
  <si>
    <t>AXUPK6548C</t>
  </si>
  <si>
    <t xml:space="preserve">west Bengal </t>
  </si>
  <si>
    <t>Sales- NSS00100046401</t>
  </si>
  <si>
    <t>Harshit Gaurav Tiwari</t>
  </si>
  <si>
    <t>Nanodroits Technologies Pvt Ltd </t>
  </si>
  <si>
    <t>MIG - 132, ASHOK ESTATE, RAISEN ROAD, BHOPAL, Huzur Govindpura, Bhopal Madhya Pradesh – 462023</t>
  </si>
  <si>
    <t>AKTPT9727C</t>
  </si>
  <si>
    <t xml:space="preserve">Bhopal Madhya Pradesh </t>
  </si>
  <si>
    <t xml:space="preserve"> Sales- NSS00100049703</t>
  </si>
  <si>
    <t>Rohit Dutta</t>
  </si>
  <si>
    <t xml:space="preserve">DUTTA INTEGRATED SERVICES (DIS) </t>
  </si>
  <si>
    <t>LIG 108, KAVITA NAGAR, P O SHANKAR NAGAR, Ward 28, Shankar Nagar, Raipur Chattisgarh- 492004</t>
  </si>
  <si>
    <t>CDMPD5767N</t>
  </si>
  <si>
    <t>Chattisgarh</t>
  </si>
  <si>
    <t>Sales- NSS00100049280</t>
  </si>
  <si>
    <t>Mehtab Singh Hans</t>
  </si>
  <si>
    <t xml:space="preserve">FARMART CONSUMER PRIVATE LIMITED  </t>
  </si>
  <si>
    <t xml:space="preserve">Bazidke, Khurd, Barnala, Punjab - 148101 </t>
  </si>
  <si>
    <t>AIIPH2856B</t>
  </si>
  <si>
    <t xml:space="preserve">Punjab </t>
  </si>
  <si>
    <t>Sales- NSS00100049834</t>
  </si>
  <si>
    <t>Dhrupal R Shah</t>
  </si>
  <si>
    <t>Agilo Research Pvt Ltd</t>
  </si>
  <si>
    <t>F-26, Tarunnagar Part-2,
Memnagar, Ahmedabad, Gujarat- 380052 through its Authorized Signatory Dhrupal R Shah</t>
  </si>
  <si>
    <t>ELRPS8390K</t>
  </si>
  <si>
    <t>Gujarath</t>
  </si>
  <si>
    <t>Sales- NSS00100049580</t>
  </si>
  <si>
    <t>SHILPA KHANNA THAKKAR</t>
  </si>
  <si>
    <t>Aeronutrix Sports Products Private Limited</t>
  </si>
  <si>
    <t>Director SHILPA KHANNA THAKKAR Registered Office at: 315, Woodrow, 19 Veera Desai Road, Andheri
West, Mumbai– 400053,</t>
  </si>
  <si>
    <t>AANCA6802C</t>
  </si>
  <si>
    <t>Sales- NSS0010004534</t>
  </si>
  <si>
    <t>FARMART CONSUMER PRIVATE LIMITED</t>
  </si>
  <si>
    <t xml:space="preserve"> Niko
Tevdorashvili</t>
  </si>
  <si>
    <t>TEVDORASHVILI MARKETING GROUP LLC</t>
  </si>
  <si>
    <t>Partner , Niko
Tevdorashvili, Address: Georgia, Tbilisi, Saburtalo district, Vazha Pshavela VII ave., building No 6. B.No55</t>
  </si>
  <si>
    <t>Sales- NSS00100050157</t>
  </si>
  <si>
    <t>Neha Pareek</t>
  </si>
  <si>
    <t>10 Beverages</t>
  </si>
  <si>
    <t>Neha Pareek, Address: D/O Arvind Pareek, Vard No 13, luharo ki, Masiji k pass newai, Niwai, Tonk, Rajasthan - 304021</t>
  </si>
  <si>
    <t xml:space="preserve">DVXPP2542F </t>
  </si>
  <si>
    <t>Agreement draft shared on July 8th</t>
  </si>
  <si>
    <t xml:space="preserve">Sales- NSS00100050054 </t>
  </si>
  <si>
    <t>INFINITE PARADISE PRIVATE LIMITED</t>
  </si>
  <si>
    <t>Address: Bishan Singh Nagi, House no A-12A, Kesho Ram Park, Bindapur, Uttam Nagar, D.K Mohan Garden, West Delhi, Delhi, 110059</t>
  </si>
  <si>
    <t>BKMPN6478A</t>
  </si>
  <si>
    <t xml:space="preserve"> Sales- NSS00100050261</t>
  </si>
  <si>
    <t>SACHIN MANILAL GALA,</t>
  </si>
  <si>
    <t>ABEE SMART COMMERCE INDIA PRIVATE LIMITED</t>
  </si>
  <si>
    <t>SACHIN MANILAL GALA, Address: 7, Anupam Indus. Estate No. 1,
P. K. X Road, SBI Bank Lane, Saidham, Mulund West, Mumbai, Maharashtra- 400 080</t>
  </si>
  <si>
    <t>AEJPG9722N</t>
  </si>
  <si>
    <t>Sonam</t>
  </si>
  <si>
    <t xml:space="preserve">Operation Manager </t>
  </si>
  <si>
    <t xml:space="preserve">Sales- NSS00100050276 </t>
  </si>
  <si>
    <t>Sadik A A</t>
  </si>
  <si>
    <t xml:space="preserve"> BOOKLYTICS GLOBAL PRIVATE LIMITED</t>
  </si>
  <si>
    <t>Director , Sadik A A
Address: Edakkulath, janatha Road, Manjummel P O, Udyogamandal S O, Ernakulam, Kerala - 683501</t>
  </si>
  <si>
    <t>ETYPS4511P</t>
  </si>
  <si>
    <t xml:space="preserve">
RIA AHUJA</t>
  </si>
  <si>
    <t>Business Expansion Manager</t>
  </si>
  <si>
    <t>Sales- NSS00100049989</t>
  </si>
  <si>
    <t>Sai shekhar Tiwari</t>
  </si>
  <si>
    <t>SHAVI GLOBAL SERVICE</t>
  </si>
  <si>
    <t>AUTHORISED SIGNATORY Sai Shekhar Tiwari, Address: Joyti Bhushan Tiwari, Chaktala, Pali,
Chaktala, pali Jaunpur, Uttar Pradesh – 222105</t>
  </si>
  <si>
    <t>AFIPT2801F</t>
  </si>
  <si>
    <t xml:space="preserve">     
Simran</t>
  </si>
  <si>
    <t>Sales- NSS00100050310</t>
  </si>
  <si>
    <t>Gummadi saritha</t>
  </si>
  <si>
    <t>RAK LEAD EVENTS</t>
  </si>
  <si>
    <t>D/o late, Gummadi Narayana, 3-4-15/4, 1 st floor, Bhomanna
Lane, Bharkathpura, Near Shalini Hospital, Himayathnagar, Hyderabad, Telangana - 500027</t>
  </si>
  <si>
    <t>APSPG0399H</t>
  </si>
  <si>
    <t>Sales- NSS00100050331</t>
  </si>
  <si>
    <t>AMIT BAHL</t>
  </si>
  <si>
    <t>KAN UNIVERSAL PRIVATE LIMITED</t>
  </si>
  <si>
    <t>AUTHORISED SIGNATORY AMIT BAHL, Address: B E-65, Shalimar Bagh, Shalimar Bagh, North
west, Delhi - 110088</t>
  </si>
  <si>
    <t>AEFPB4431B</t>
  </si>
  <si>
    <t>Diksha Aswal</t>
  </si>
  <si>
    <t>84482 43983</t>
  </si>
  <si>
    <t>Sales- NSS00100050314</t>
  </si>
  <si>
    <t>BRIGID AGRO TRADE LLP</t>
  </si>
  <si>
    <t>PARTNERS
Mr. KARAN SINGH SURJITH SURJIT WILKI{OO S/o Mr. SURJIT SINGII WILKIIOO &amp; Ms.
LIMBACHIYA KRtiPA DASHRATHBHI Dlo DASHRATHBHI, having its Registered oflice at 603,
PROMINENCE BY SANGATH IPI, OPP. CBD MALL, S.P. RING ROAD, ZUNDAL, GANDHI
NAGAR'GANDHINAGAR' GUJARAT-38242\, INDIA,</t>
  </si>
  <si>
    <t>7738333451,</t>
  </si>
  <si>
    <t>AI}YPW3601Q,</t>
  </si>
  <si>
    <t>Sales- NSS00100049180</t>
  </si>
  <si>
    <t>JEET KUMAR</t>
  </si>
  <si>
    <t>Glimmerkart</t>
  </si>
  <si>
    <t>Mr. Jeet Kumar R/o
War 14, Lodipurdhir, Patori, Samastipur, Bihar-848504</t>
  </si>
  <si>
    <t>EFEPK7337K</t>
  </si>
  <si>
    <t>Rent Sales- NSS00100050248</t>
  </si>
  <si>
    <t>29EFEPK7337K1ZW</t>
  </si>
  <si>
    <t>PARAMKUSAM VARADARAJAN,</t>
  </si>
  <si>
    <t>FLAMINGO EVENTS</t>
  </si>
  <si>
    <t>C/A, (late) Paramkusam, Narayana Rao, Flat No.204,2d Floor, HSR Amruth Akash Apts, Lingoji Gunda, Near Saitraba Temple, Saroornagar, K.V, Rangareddy, Telengana -500035</t>
  </si>
  <si>
    <t>AAEFF8653N</t>
  </si>
  <si>
    <t>Telengana</t>
  </si>
  <si>
    <t>Nikita Gupta</t>
  </si>
  <si>
    <t>Sales- NSS00100050579</t>
  </si>
  <si>
    <t>$antra Sourabh Kumar</t>
  </si>
  <si>
    <t>XYLON RESEARCH PRIVATE LIMITED</t>
  </si>
  <si>
    <t>S/o Bhairavi, RJO Villa-S, Springville, Harlur, Bangalore</t>
  </si>
  <si>
    <t>MCIPK4934M</t>
  </si>
  <si>
    <t xml:space="preserve">
Jigyasa Jaisinghani</t>
  </si>
  <si>
    <t>Sales- NSS00100050032</t>
  </si>
  <si>
    <t>Spoorti Mahesh kumatgi,</t>
  </si>
  <si>
    <t>SHIPSTER TECHNOLOGIES PRIVATE LIMITED</t>
  </si>
  <si>
    <t>C/O Mahesh
Kumatagi, #241, Roop Land layout, Bagalkot, Bagalkot, Karnataka, 587101</t>
  </si>
  <si>
    <t>IOHPK3208H</t>
  </si>
  <si>
    <t>Sales- NSS00100029556</t>
  </si>
  <si>
    <t>Divvela Venkata Sowjanya,</t>
  </si>
  <si>
    <t>Sri Balaji Marketing</t>
  </si>
  <si>
    <t>R/O at: SUVERY NO 174 AND 175
SHOP NO. 9 LAKE RIDGE APARTMENTS, NIZAMPET, HYDERABAD MCDCHAL MALKAJGIRI, TELANGANA-500090</t>
  </si>
  <si>
    <t>BPSPD6394C</t>
  </si>
  <si>
    <t>Sales- NSS00100050959</t>
  </si>
  <si>
    <t>Promod J Babu,</t>
  </si>
  <si>
    <t>MEDIA GRID TECHNOLOGIES</t>
  </si>
  <si>
    <t>S/O Mani J Babu, Viruppel house, Kokkadu Kokkadup,
Chakkuvarakkaal, kokkad, kollam, Kerala - 691538</t>
  </si>
  <si>
    <t>ACAFM9028N</t>
  </si>
  <si>
    <t>Waiting for the witness details as on 23rd Aug'25</t>
  </si>
  <si>
    <t>Sales- NSS00100050949</t>
  </si>
  <si>
    <t>Chirag</t>
  </si>
  <si>
    <t>JLA INFRAVILLE SHOPPERS LIMITED</t>
  </si>
  <si>
    <t>SIO: Purushootam, choth pana, silana, VTC: Silana (5-R), PO: Silana, Sub District: Kharkhoda, District: Sonipato State: Ilaryana, PIN Code: 131408</t>
  </si>
  <si>
    <t>CTZPC5543C</t>
  </si>
  <si>
    <t>Sales- NSS00100050100</t>
  </si>
  <si>
    <t>Chandan B</t>
  </si>
  <si>
    <t>Argentor Patera Technologies Private Limited</t>
  </si>
  <si>
    <t>S/o Balraj B A, residin g at#14, Janatha Clinic, Hullahalli, Nanjangud Taluk, Mysore, Karnataka - 57 T314, and Mr. B C Kushalappa, S/o B M Changappa, residing at #55, Hodavada, Madikeri Taluk, Madikeri, Kodagu, Karnataka - 571`214</t>
  </si>
  <si>
    <t>BCLPC9425M</t>
  </si>
  <si>
    <t xml:space="preserve">Sales- NSS00100050461 </t>
  </si>
  <si>
    <t>29ABDCA4991K1Z4</t>
  </si>
  <si>
    <t>Radhika Dang</t>
  </si>
  <si>
    <t>The Good Karma Co.</t>
  </si>
  <si>
    <t>C/O: Vineet Gambhir, E-607 Ground Floor Front, Greater Kailash-2, VTC: Greater Kailash, PO: Greater Kailash, Sub District: Defence Colony, District: South Delhi, State: Delhi, PIN Code: 110048,</t>
  </si>
  <si>
    <t>ASWPD2889A</t>
  </si>
  <si>
    <t>Sales- NSS00100050833</t>
  </si>
  <si>
    <t>K S Sudhil</t>
  </si>
  <si>
    <t>MULTIPAY HUB PRIVATE LIMITED</t>
  </si>
  <si>
    <t>C/O K R Sudhakaran, 9, Mini Frams, Main Chhatapur road, Near Lily White, VTC,Chattar Pur, Chattapur PO, South Delhi 110074</t>
  </si>
  <si>
    <t>BGBPS6857F</t>
  </si>
  <si>
    <t>Customer obtained incorportation and all other documents without our NOC and agreement</t>
  </si>
  <si>
    <t>Sales- NSS00100050708</t>
  </si>
  <si>
    <t>Rathi Devi Aruchamy,</t>
  </si>
  <si>
    <t>SS APPARELS</t>
  </si>
  <si>
    <t>C/O: Deepak,
5, Ishwarya Garden, Kangeyam Road, VTC: Tiruppur, PO: T.c.market, Sub District: Tiruppur, District:
Tiruppur, State: Tamil Nadu, PIN Code: 641604</t>
  </si>
  <si>
    <t>FCFPA9232Q</t>
  </si>
  <si>
    <t>Tiruppur</t>
  </si>
  <si>
    <t>Sales- NSS00100052048</t>
  </si>
  <si>
    <t>Vishal Agarwal</t>
  </si>
  <si>
    <t>CRM MASTERS INFOTECH LLP</t>
  </si>
  <si>
    <t>S/O Vijay Kumar Agarwal, Flot Number I 802, Park View
City 1, Sohna Road, Sector 48, South City II, Gurgaon, Haryana – 122018.</t>
  </si>
  <si>
    <t>AALFC6618F</t>
  </si>
  <si>
    <t>Sales- NSS00100045347</t>
  </si>
  <si>
    <t xml:space="preserve">Albert Shaju </t>
  </si>
  <si>
    <t>NEXIVA SERVICES PRIVATE LIMITED</t>
  </si>
  <si>
    <t>S/O- Raji Shaju, Chakkalamattath, Annalur, Jublie Nagar, Annalur, Thrissur, Kerala-680731</t>
  </si>
  <si>
    <t>JSYPS0870M</t>
  </si>
  <si>
    <t>Sales- NSS00100052200</t>
  </si>
  <si>
    <t>RACHIT PUNJ</t>
  </si>
  <si>
    <t>CASETINO RETAIL PRIVATE LIMITED</t>
  </si>
  <si>
    <t>S/O VINOD KUMAR SHARMA, A 32, WARD NO. 10, PANDIT RAM SARAN
DASS ENCLAVE, DHARIWAL, GURDASPUR, PUNJAB-143519,</t>
  </si>
  <si>
    <t>FLFPP8097D</t>
  </si>
  <si>
    <t>BHANU</t>
  </si>
  <si>
    <t>Sales- NSS00100052250</t>
  </si>
  <si>
    <t>MR. Rohit</t>
  </si>
  <si>
    <t>LUNAMARS INTERNATIONAL PRIVATE LIMITED</t>
  </si>
  <si>
    <t>S/O: O M Prakash, RZE-122, Nihal
Vihar, Nangloi, PO – Nilothi, DIst: West Delhi, PIN Code: 110041</t>
  </si>
  <si>
    <t>AFBPO9585J</t>
  </si>
  <si>
    <t>Waiting for the witness details as on 10th Sep'25</t>
  </si>
  <si>
    <t>Sales- NSS00100052438</t>
  </si>
  <si>
    <t>Divya Sameer</t>
  </si>
  <si>
    <t>MARKITGREEN LLP</t>
  </si>
  <si>
    <t>W/O Sameer, Ambedkar nagar, Angol, VTC:Tilakwadi, Belagavi District, Karnataka-590006</t>
  </si>
  <si>
    <t>CLRPP2286D</t>
  </si>
  <si>
    <t>Belagavi</t>
  </si>
  <si>
    <t xml:space="preserve"> Sales- NSS00100051018</t>
  </si>
  <si>
    <t>R N Ramesh</t>
  </si>
  <si>
    <t>AMICORP SHARED SERVICE CENTRE (INDIA) PRIVATE LIMITED</t>
  </si>
  <si>
    <t>C/O: Narayana Gupta,
#106, Pushpagiri Nagar, Hosakerehalli, Bangalore - 560085</t>
  </si>
  <si>
    <t>AHSPR2899F</t>
  </si>
  <si>
    <t>Sales- NSS00100051243</t>
  </si>
  <si>
    <t>29ABDCA4877A1ZO</t>
  </si>
  <si>
    <t>ANKIT SINGHAL</t>
  </si>
  <si>
    <t>Super Vision Industries</t>
  </si>
  <si>
    <t>S/O: SH Sumer Chand Singhal R/O Q-17 First Floor, Model Town– 1, Delhi, PIN Code: 110009</t>
  </si>
  <si>
    <t>AVKPS0683P</t>
  </si>
  <si>
    <t>Sales- NSS00100052686</t>
  </si>
  <si>
    <t>Dushyant Kumar Jha</t>
  </si>
  <si>
    <t>Meshfold Technologies Private Limited</t>
  </si>
  <si>
    <t>Dushyant Kumar Jha, B-73 Rema Skyview apartment, K R Garden, Top N town, Murgeshpalya, Bangalore North, Bangalore, Karnataka - 560017</t>
  </si>
  <si>
    <t>AWLPJ1044L</t>
  </si>
  <si>
    <t xml:space="preserve">Shalini Bhatia </t>
  </si>
  <si>
    <t xml:space="preserve">Sr. Business Expansion Lead </t>
  </si>
  <si>
    <t>Sales- NSS00100052116</t>
  </si>
  <si>
    <t xml:space="preserve">Suprokash Goswami  </t>
  </si>
  <si>
    <t>BIOBIT LABS PRIVATE LIMITED</t>
  </si>
  <si>
    <t>S/O Subrata Goswami Flat No G-1608, Evergreens Apartment Haralur Road , Survey No 53/1, 54 Kasavanahalli Bangalore South Bengaluru Karnataka – 560102</t>
  </si>
  <si>
    <t>AHVPG7694Q</t>
  </si>
  <si>
    <t xml:space="preserve">Priyanka </t>
  </si>
  <si>
    <t>Relationship Manager</t>
  </si>
  <si>
    <t>88262 61404</t>
  </si>
  <si>
    <t>NOC has been shared on 30th Aug'25</t>
  </si>
  <si>
    <t>Sales- NSS00100052359</t>
  </si>
  <si>
    <t xml:space="preserve">Asmit  </t>
  </si>
  <si>
    <t>KITES CREATIVES ( OPC) PRIVATE LIMITED</t>
  </si>
  <si>
    <t>C 3/15, 4 th Floor, C 3 Lane, Dlf, Phase -1, Sector 26A, Sikanderpur, Ghosi (68), Gurgaon, Haryana - 122002</t>
  </si>
  <si>
    <t>ARQPK8313D</t>
  </si>
  <si>
    <t>Divya</t>
  </si>
  <si>
    <t>Draft shared on 1st Sep'25</t>
  </si>
  <si>
    <t>Sales- NSS00100052040</t>
  </si>
  <si>
    <t>Meraj</t>
  </si>
  <si>
    <t>VINTAGE VIBE</t>
  </si>
  <si>
    <t>Sales- NSS00100052994</t>
  </si>
  <si>
    <t>RohitKumar Naresh
Dyawarkonda,</t>
  </si>
  <si>
    <t>SAMYOGA AGROW PRIVATE LIMITED</t>
  </si>
  <si>
    <t>S/O Naresh Narayan Dyawarkonda, Flat No 1001, A wing Kanchan Janga, Plot No 20 , Sector 11, Near Bonkode Bus Stop, Kopar Khairne, Navi Mumbai, Thane – Maharashtra - 400709</t>
  </si>
  <si>
    <t>ANBPD7389K</t>
  </si>
  <si>
    <t>Sales- NSS00100053105</t>
  </si>
  <si>
    <t>Ramprasad</t>
  </si>
  <si>
    <t>SUPREME Q TECHNOLOGY</t>
  </si>
  <si>
    <t>S/O late Tara Chand, #189, Officers Model Colony, Near Jalahalli Ayyappa Temple, Dasarahalli, Bangalore
North, Bangalore, Karnataka – 560057.</t>
  </si>
  <si>
    <t>ABXPR5209E</t>
  </si>
  <si>
    <t>Sales- NSS00100049953</t>
  </si>
  <si>
    <t>Sefali Pal </t>
  </si>
  <si>
    <t>VIVI ENTERPRISES</t>
  </si>
  <si>
    <t>D/o Ram Datt pal, Pure Datti, Rampur Kalan, Aht, Rampur Kala, Rae Bareli, Uttar Pradesh - 229216,</t>
  </si>
  <si>
    <t>CNJPD9665G</t>
  </si>
  <si>
    <t>Sales- NSS00100053207</t>
  </si>
  <si>
    <t>Prabh Simran Juneja</t>
  </si>
  <si>
    <t>Jaswant Singh Juneja , J.K. Farm No.4, GRD Floor, Park Lane, Church Road, Mall Road, VTC: Vasant Kunj,
PO: Vasant Kunj, District: South West Delhi, State: Delhi, PIN Code: 110070</t>
  </si>
  <si>
    <t>Divya Chanana</t>
  </si>
  <si>
    <t>Business process Manager</t>
  </si>
  <si>
    <t>Customer cancelled</t>
  </si>
  <si>
    <t>Sales- NSS00100052628</t>
  </si>
  <si>
    <t>Jani Rutvij Nareshbhai</t>
  </si>
  <si>
    <t>AINEXA VENTURES PRIVATE LIMITED</t>
  </si>
  <si>
    <t>F-102, Shree Rang Aroma, Gift City Road, Randesan, Kudasan, Gandhinagar, Gujarat – 382421</t>
  </si>
  <si>
    <t>AYGPJ2287E</t>
  </si>
  <si>
    <t>Sales- NSS00100052991</t>
  </si>
  <si>
    <t>Partner 1: Akshita Chaudhary &amp;amp; Partner 2: Sakthyapriya S</t>
  </si>
  <si>
    <t>ReachLyft Marketing</t>
  </si>
  <si>
    <t>D/O: Rupender Kumar, 60/412,avadh vihar, Kambal Wala Bagh, New
Mandi, Muzaffarnagar, Muzaffarnagar, Uttar Pradesh-251001 &amp;amp; Partner Sakthyapriya S Address:
D/O: Shanmugavadivel, 9, Ramalingapuram, Bhavani, Erode, A. Sembulichampalayam, Tamil
Nadu , 638502</t>
  </si>
  <si>
    <t>7709625872
8675800000</t>
  </si>
  <si>
    <t>BZIPC9238A &amp; FYLPS5156R</t>
  </si>
  <si>
    <t>Uttar Pradeesh
Tamilnadu</t>
  </si>
  <si>
    <t>Sep'25 bookings for billing will end up here</t>
  </si>
  <si>
    <t>Sales- NSS00100053019</t>
  </si>
  <si>
    <t>Leney Varghese,</t>
  </si>
  <si>
    <t>COREVE LIFESTYLE PRIVATE LIMITED</t>
  </si>
  <si>
    <t>21/152 PANADANS CORRAZON,
KOCHI UNIVERSITY, Kalamassery, Ernakulam Kerala 68202</t>
  </si>
  <si>
    <t>AAMCC4007A</t>
  </si>
  <si>
    <t>Sales- NSS00100053905</t>
  </si>
  <si>
    <t>Shibu</t>
  </si>
  <si>
    <t>SWIFT HAUL SOLUTIONS</t>
  </si>
  <si>
    <t>D/O Upendra Kumar, Karekath Balua Deoria, Balua, Uttar Pradeesh -
274704</t>
  </si>
  <si>
    <t>ONEPS0595H</t>
  </si>
  <si>
    <t>Uttar Pradeesh</t>
  </si>
  <si>
    <t>Sales- NSS00100053811</t>
  </si>
  <si>
    <t>AVA HEALTHCARE</t>
  </si>
  <si>
    <t>,S/O: Pramod Kumar Sharma, d-179, sector-8,Vidyadhar nagar, PO:
Vidyadhar Nagar, DIST: Jaipur,Rajasthan - 302039</t>
  </si>
  <si>
    <t>KOTPS3098B</t>
  </si>
  <si>
    <t xml:space="preserve">Sales- NSS00100051173 </t>
  </si>
  <si>
    <t>Sri. PRABHAT KUMAR</t>
  </si>
  <si>
    <t>Jax &amp; Crew</t>
  </si>
  <si>
    <t>S/o Sri. JAGDISH SINHA 138E, Mainapur Devi asthan, Siddeshwar
Nagar, Patliputra Colony, Patna, Bihar - 800001,</t>
  </si>
  <si>
    <t>AFLPK6107N</t>
  </si>
  <si>
    <t>Sales- NSS00100053137</t>
  </si>
  <si>
    <t>Aboobacker Sakeer,</t>
  </si>
  <si>
    <t>Elegant Wood Products</t>
  </si>
  <si>
    <t>Nanethan, Vallam, Rayonpuram PO, Perumbavoor, Ernakulam, Kerala-683543.</t>
  </si>
  <si>
    <t>OBSPS5479E</t>
  </si>
  <si>
    <t>Sales- NSS00100055235</t>
  </si>
  <si>
    <t>Raja Arora</t>
  </si>
  <si>
    <t>style waves  llp</t>
  </si>
  <si>
    <t>S/O Ashok Arora, H No. 38C, Road No. 73, Opposite Hans Raj Model School, Punjabi bagh west, West Delhi,
Delhi-110026</t>
  </si>
  <si>
    <t>AAJPA1175B</t>
  </si>
  <si>
    <t>Sales- NSS00100055265</t>
  </si>
  <si>
    <t>MAHAVIR JAIN</t>
  </si>
  <si>
    <t>4U Nutrition</t>
  </si>
  <si>
    <t>S/O Ram chander Jain, #549, Vigyan vinar, Sector 49A, Chandigrah, Sector-47 PO CHD, Chandigrah-
160047</t>
  </si>
  <si>
    <t>ACXPJ1635R</t>
  </si>
  <si>
    <t>Chandigrah</t>
  </si>
  <si>
    <t xml:space="preserve">Sales- NSS00100055488 </t>
  </si>
  <si>
    <t>Pavitra Kaur</t>
  </si>
  <si>
    <t xml:space="preserve"> I SMART TECHNOLOGY</t>
  </si>
  <si>
    <t>78 U/G/F, DILSHAD GARDEN, POST OFFICE, New Delhi,
Shahdara, Delhi, 110095</t>
  </si>
  <si>
    <t>AHEPK0759R</t>
  </si>
  <si>
    <t>Sales- NSS0010005154</t>
  </si>
  <si>
    <t>Deepak Jetly</t>
  </si>
  <si>
    <t xml:space="preserve">JETSONS INDIA PRIVATE LIMITED </t>
  </si>
  <si>
    <t xml:space="preserve">C/O Shri M.R Jetly, C11/8, Model Town, Model Town III, Dr. Mukherjee Nagar, North West Delhi, Delhi-110009 </t>
  </si>
  <si>
    <t>AAFPJ5658N</t>
  </si>
  <si>
    <t>20-12-2025</t>
  </si>
  <si>
    <t xml:space="preserve">Sales- NSS00100056109 </t>
  </si>
  <si>
    <t>punit authorised person</t>
  </si>
  <si>
    <t>DECISION SPOT TECH PRIVATE LIMITED</t>
  </si>
  <si>
    <t>: Flat No. 405, 4th Floor, Land Capital Calista, Ananthapura Main Road, Yelahanka, Bengaluru, Karnataka-560064</t>
  </si>
  <si>
    <t>AQMPD6889</t>
  </si>
  <si>
    <t>Sales- NSS00100050210</t>
  </si>
  <si>
    <t>KARAN</t>
  </si>
  <si>
    <t>TERRAFIT LIFE SCIENCES PRIVATE LIMITED</t>
  </si>
  <si>
    <t>Sales- NSS00100045760</t>
  </si>
  <si>
    <t>Sales- NSS00100032667</t>
  </si>
  <si>
    <t>Invoice submitted</t>
  </si>
  <si>
    <t>29-03-2026</t>
  </si>
  <si>
    <t>28-02-2027</t>
  </si>
  <si>
    <t>March 26 Bills ends Here</t>
  </si>
  <si>
    <t>27-02-2027</t>
  </si>
  <si>
    <t>Sales- NSS00100012780</t>
  </si>
  <si>
    <t>17-10-2026</t>
  </si>
  <si>
    <t>16-09-2027</t>
  </si>
  <si>
    <t>Sales- NSS0010005155</t>
  </si>
  <si>
    <t>26-0-2027</t>
  </si>
  <si>
    <t>Sales- NSS00100049057</t>
  </si>
  <si>
    <t>25-04-2026</t>
  </si>
  <si>
    <t>24-03-2027</t>
  </si>
  <si>
    <t>Sales- NSS00100037508</t>
  </si>
  <si>
    <t xml:space="preserve">Sales- NSS0010004534 </t>
  </si>
  <si>
    <t>22-05-2026</t>
  </si>
  <si>
    <t>21-04-2027</t>
  </si>
  <si>
    <t>23-03-2027</t>
  </si>
  <si>
    <t>18-06-2026</t>
  </si>
  <si>
    <t>23-05-2026</t>
  </si>
  <si>
    <t>13-06-2027</t>
  </si>
  <si>
    <t>Mr. KARAN SINGH SURJITH SURJIT WILKHOO</t>
  </si>
  <si>
    <t>BRIGID AGRO TRADE LLP</t>
  </si>
  <si>
    <t>603, Prominence by Sangath IPI, Opp CBD Mall, S.P. Ring Road, Zundal, Gandhi Nagar, Gandhi nagar, Gujarat - 382421, India</t>
  </si>
  <si>
    <t>ADYPW3601Q</t>
  </si>
  <si>
    <t>Gummadi Saritha</t>
  </si>
  <si>
    <t>RAK LEAD EVENTS</t>
  </si>
  <si>
    <r>
      <t>D/o late, Gummadi Narayana, 3-4-15/4, 1</t>
    </r>
    <r>
      <rPr>
        <vertAlign val="superscript"/>
        <sz val="12"/>
        <color theme="1"/>
        <rFont val="Times New Roman"/>
        <charset val="1"/>
      </rPr>
      <t>st</t>
    </r>
    <r>
      <rPr>
        <sz val="12"/>
        <color theme="1"/>
        <rFont val="Times New Roman"/>
        <charset val="1"/>
      </rPr>
      <t xml:space="preserve"> floor, Bhomanna Lane, Bharkathpura, Near Shalini Hospital, Himayathnagar, Hyderabad, Telangana - 500027</t>
    </r>
  </si>
  <si>
    <t>Dinesh Bagoria</t>
  </si>
  <si>
    <t>RELIABLE RENTAL SERVICES PRIVATE LIMITED</t>
  </si>
  <si>
    <t>19/08/2026</t>
  </si>
  <si>
    <t>18/7/2027</t>
  </si>
  <si>
    <t>Sales- NSS00100030427</t>
  </si>
  <si>
    <t>KAN UNIVERSAL PRIVATE LIMITED</t>
  </si>
  <si>
    <t>B E-65, Shalimar Bagh, Shalimar Bagh, North west, Delhi - 110088</t>
  </si>
  <si>
    <t xml:space="preserve">AEFPB4431B </t>
  </si>
  <si>
    <t>15/08/2026</t>
  </si>
  <si>
    <t>14/07/2027</t>
  </si>
  <si>
    <t>Sales - NSS00100050314</t>
  </si>
  <si>
    <t>26-04-2026</t>
  </si>
  <si>
    <t>25-03-2027</t>
  </si>
  <si>
    <t xml:space="preserve">Raghuraj  </t>
  </si>
  <si>
    <t>FGH Partners</t>
  </si>
  <si>
    <t>Sales- NSS00100057328</t>
  </si>
  <si>
    <t>Sales- NSS00100048026</t>
  </si>
  <si>
    <t>Fairwind Realty Private Limited</t>
  </si>
  <si>
    <t>14-09-2026</t>
  </si>
  <si>
    <t>13-08-2027</t>
  </si>
  <si>
    <t>GST Registration</t>
  </si>
  <si>
    <t>Sales- NSS00100058171 -</t>
  </si>
  <si>
    <t>The Digilary</t>
  </si>
  <si>
    <t>15-09-2026</t>
  </si>
  <si>
    <t>14-08-2027</t>
  </si>
  <si>
    <t>Business Registration(B.R)</t>
  </si>
  <si>
    <t>Sales- NSS00100065174</t>
  </si>
  <si>
    <t xml:space="preserve">Ms. </t>
  </si>
  <si>
    <t>Aryam Jain</t>
  </si>
  <si>
    <t>Acme Enterprises,</t>
  </si>
  <si>
    <t>Aryam Jain S/o Anju Jain H No- 146, G.T
KARNAL ROAD VEERA NAGAR, JAIN COLONY, MALKA GANJ S O, NORTH DELHI, DELHI –
110007</t>
  </si>
  <si>
    <t>CHIPJ3563J</t>
  </si>
  <si>
    <t>Rakesh Dayal Khanna</t>
  </si>
  <si>
    <t>Sher Ae Punjab Bakers</t>
  </si>
  <si>
    <t>Sher Ae Punjab Bakers and through its Proprietor, Rakesh Dayal Khanna C/o Dayal
Harichand Khanna, , Delux Bar, / Po – Jawhamagar, petrol pumb / Thane, Bhandara, Maharashtra – 441960,</t>
  </si>
  <si>
    <t>AIQPK214F</t>
  </si>
  <si>
    <t>Arsh</t>
  </si>
  <si>
    <t>MAYUR VINOD LUTHRIA</t>
  </si>
  <si>
    <t>RMV FOOD AND SERVICES PVT LTD</t>
  </si>
  <si>
    <t>Flat No. B/29-30, BhatiBuilding No-2, Bhatia brothers CHS Ltd D.G Marg Mahima west, Mumbai, Maharashtra 400016</t>
  </si>
  <si>
    <t>ABWPL7688N</t>
  </si>
  <si>
    <t>Dhiraj Prakashchand Gandhi</t>
  </si>
  <si>
    <t>Skildmachines India Pvt Ltd</t>
  </si>
  <si>
    <t>Director, Dhiraj Prakashchand Gandhi Residing
at Near Chandak Hospital, Tilak Ward, Warora, Ekarjuma, Chandrapur, Maharashtra – 442907</t>
  </si>
  <si>
    <t>BKHPG5326H</t>
  </si>
  <si>
    <t>Heena Patel</t>
  </si>
  <si>
    <t>HPS Solutions</t>
  </si>
  <si>
    <t>Heena Patel D/o of Ashok Patel, Flat No A-S3,
Block A, SVS Windgates, 13 th Street, Babusapalya, Horamavu Agara, Kalyananagara, Bengaluru,
Karnataka -560043</t>
  </si>
  <si>
    <t>CNDPP5380G</t>
  </si>
  <si>
    <t>Rajan M</t>
  </si>
  <si>
    <t>Vumytrip</t>
  </si>
  <si>
    <t>CEO, Rajan M, S/O Manogaran, #3, 5 th A cross, Kuttiyappa Garden, Ejipura, Bangalore south, Vivek Nagara Bengalore – Karnataka - 560047</t>
  </si>
  <si>
    <t xml:space="preserve"> Sushant M Hiremath</t>
  </si>
  <si>
    <t xml:space="preserve">Xcellent Learning and Development World </t>
  </si>
  <si>
    <t>Partner, Sushant M Hiremath, Residing at #83, 5th A cross, 21st main, RK Colony, JP Nagar 2nd phase Bangalore, Karnataka, 560040</t>
  </si>
  <si>
    <t>ACJPH2927A</t>
  </si>
  <si>
    <t>Raveendran P</t>
  </si>
  <si>
    <t>Maudsolution</t>
  </si>
  <si>
    <t>Proprietor, Raveendran P, S/O Kannan, Radha Nivas, Near Ani – Gas Godown, puthiyatheru, PO, Chirakkal, Kerala – 670011</t>
  </si>
  <si>
    <t>AQUPR7348L</t>
  </si>
  <si>
    <t>Shreyaans Jain</t>
  </si>
  <si>
    <t>QOSMIC Satellite Systems</t>
  </si>
  <si>
    <t>CEO, Shreyaans Jain, C/O Manisha Jain,E-1110, Tower E, Prateek, Edifice, Sector 107, Noida, Gautam buddha Nagar Uttar Pradesh – 201301</t>
  </si>
  <si>
    <t>BVDPJ1644N</t>
  </si>
  <si>
    <t> SAINI ECOMM</t>
  </si>
  <si>
    <t>JATIN SAINII S/o Tejinder Singh Saini, 3/1, Mandevelille gardens, Kolkata M C 68 Ward Gadatut, Ballygunge Kolkata Ballygunge, west Bengal - 700019</t>
  </si>
  <si>
    <t>GRDPS5792B</t>
  </si>
  <si>
    <t>Greenbayz properties private limited</t>
  </si>
  <si>
    <t>Director, Salman khan, S/O N. G
Enayath, #241/B, 5 th Cross, Mask Road, Near Petrol Bunk, Iliyaz Nagar, J.P Nagar 6 th Phase, Bangalore
South, Bangalore Karnataka – 560078</t>
  </si>
  <si>
    <t>EGWPS2035B</t>
  </si>
  <si>
    <t>Mahendra Kumar</t>
  </si>
  <si>
    <t xml:space="preserve">Shiva Traders </t>
  </si>
  <si>
    <t xml:space="preserve">Bagali, Deora, Sanchore, Jalor, Rajasthan - 343040 </t>
  </si>
  <si>
    <t xml:space="preserve">, Rajasthan </t>
  </si>
  <si>
    <t>Thaslim bai Mohamed Afzal</t>
  </si>
  <si>
    <t xml:space="preserve">Band baja weddings </t>
  </si>
  <si>
    <t xml:space="preserve">Address: C/O Mohammad Afzal, FF4, Navagriha Rahumath Apartments, Anhukallummoodu, Kollam, Kerala – 691012 </t>
  </si>
  <si>
    <t xml:space="preserve">ARBPM7057K </t>
  </si>
  <si>
    <t>JAYSON JOY</t>
  </si>
  <si>
    <t xml:space="preserve">ZEROEIGHTY SOFTWARE SOLUTIONS PVT LTD </t>
  </si>
  <si>
    <t>#3,SURVEY NO 67/2, NEAR AMRUTHA COLLAGE , CHOODASANDRA VILLAGE , SARJAPURA HOBLI CHOODASANDRA,BANGALORE -560099</t>
  </si>
  <si>
    <t>AKDPJ9455D</t>
  </si>
  <si>
    <t xml:space="preserve">BANGALORE </t>
  </si>
  <si>
    <t>Durga Enterprises</t>
  </si>
  <si>
    <t xml:space="preserve">Proprietor, T Padmavathamma Address:201, Mookambika Apartments, GM Palya Main Road, Near Anjaneya Apartments,G.M Palya, Bengaluru-560075 </t>
  </si>
  <si>
    <t xml:space="preserve">AWFPT6922M </t>
  </si>
  <si>
    <t>DIGEOBIM LLP</t>
  </si>
  <si>
    <t>residing at 1934/4,
Taralabalu bapuji vidyanagara Davanagere, Karnataka, 577005</t>
  </si>
  <si>
    <t>Nuva Enterprise</t>
  </si>
  <si>
    <t>Proprietor, Sabir Ansari Address: H.No-15 Khan Manzil, 1st
Floor , Mangammanapalya, Bangalore, Karnataka, 560068</t>
  </si>
  <si>
    <t>CKWPA6423R</t>
  </si>
  <si>
    <t>Tuk tuk go logistics</t>
  </si>
  <si>
    <t>Proprietor, Krish Dharmapalan Address: S/O Dharmapalan, 2/95, kollimalai, Ketti, The Nilgiris Lovedale, 643003</t>
  </si>
  <si>
    <t>CDKPK8170Q</t>
  </si>
  <si>
    <t>Atulit Enterprises</t>
  </si>
  <si>
    <t>Mohammed Haseeb</t>
  </si>
  <si>
    <t>Wiseagle Technologies OPC Private Limited</t>
  </si>
  <si>
    <t>#11, 1 st Floor, 1 st Main, 4 th Cross, MD block, Chamarajpet, Bangalore
South, Karnataka - 560018</t>
  </si>
  <si>
    <t>AXMPM6273C</t>
  </si>
  <si>
    <t>Arsh Singh</t>
  </si>
  <si>
    <t>Associate - Operations</t>
  </si>
  <si>
    <t xml:space="preserve"> 92160 11014</t>
  </si>
  <si>
    <t>Vishnu Solank</t>
  </si>
  <si>
    <t>DELIGHT ENTERPRISES</t>
  </si>
  <si>
    <t>Vishnu Solanki, 842, 41ST MAIN ROAD, NEAR NAMMA GOODU, BANASHANKARI 6TH STAGE, 7TH BLOCK, VTC: Somapura, PO: Chudenapura, District: Bengaluru, State: Karnataka, PIN Code: 560060</t>
  </si>
  <si>
    <t>SKFPS3342G</t>
  </si>
  <si>
    <t>Abhishek Meena</t>
  </si>
  <si>
    <t>DECIBEL X INDIA LLP</t>
  </si>
  <si>
    <t>C/o Sathish Chandra Meena, Deep Villa 14E, Adarsha Nagar, Near Aishwarya Collage, University Road pahada, Girwa, Udaipur, Rajasthan - 313001,</t>
  </si>
  <si>
    <t>BEDPM4481B</t>
  </si>
  <si>
    <t>Rajamohan Reddy puppam</t>
  </si>
  <si>
    <t>RR Textiles</t>
  </si>
  <si>
    <t>S/O Puppam Huseen Reddy, 6-145-b, Lingareddy palli, Bathalapalli, Ananthapur, Andra Pradesh – 51566</t>
  </si>
  <si>
    <t>DISRR5355A</t>
  </si>
  <si>
    <t>Siddhartha Ray</t>
  </si>
  <si>
    <t>Mindlabs Consulting</t>
  </si>
  <si>
    <t>S/O Dhruba Ranjan Ray, Flat-D705,Sterling Residency, RMV 2nd Stage, Lottegollahali, Bangalore North, Bangalore, Kamataka, 560094,</t>
  </si>
  <si>
    <t>DIUPR5918E</t>
  </si>
  <si>
    <t>DEBASHIS BANERJEE</t>
  </si>
  <si>
    <t>S/O Ram Chandra Banarrjee, Club Town Estates, Block-4, Flat- 4G, Hanuman Mandir, 87 Dum Dum Road, West Bengal - 700074</t>
  </si>
  <si>
    <t>ADTPB8609E</t>
  </si>
  <si>
    <t>Srishti Vijay</t>
  </si>
  <si>
    <t>Taruveda Naturals</t>
  </si>
  <si>
    <t>D/O Dinesh Vijay, D 58, New Jawahar Nagar, Indrapura, Kota, Rajasthan - 324005</t>
  </si>
  <si>
    <t> 8792421741</t>
  </si>
  <si>
    <t>CFQPV6879B</t>
  </si>
  <si>
    <t>Pradeep Pandey</t>
  </si>
  <si>
    <t>S/O Samaydeen Pandey, Village Karmi, Pandey Post, Amari PO, Amari Bazar, Dist: Basti, Uttar Pradesh - 272155</t>
  </si>
  <si>
    <t>DTLPP4609B</t>
  </si>
  <si>
    <t>MD SK HUSSAIN</t>
  </si>
  <si>
    <t>AMALFI XP MARKETING PRIVATE LIMITED</t>
  </si>
  <si>
    <t>43, Kimber Street, VTC: Circus Avenue S.O, Dist: Kolkata, West Bengal - 700017</t>
  </si>
  <si>
    <t>ANQPH9462C</t>
  </si>
  <si>
    <t>Arko Prathim Choudhury</t>
  </si>
  <si>
    <t>Pharmachemie engineering and consultant Pvt Ltd</t>
  </si>
  <si>
    <t>Dhishal, Katlamari Gomagoaldash, malda, West Bengal - 732102</t>
  </si>
  <si>
    <t>ANWPC3762P</t>
  </si>
  <si>
    <t>Rajesh Kumar Yadav</t>
  </si>
  <si>
    <t>FIRST SOURCE FINTECH PRIVATE LIMITED</t>
  </si>
  <si>
    <t>S/o Ram shankar, pure bechu, Amari basti, uttar pradesh-272155</t>
  </si>
  <si>
    <t>AULPR7276E</t>
  </si>
  <si>
    <t xml:space="preserve"> rstsource ntech3739@gmail.com</t>
  </si>
  <si>
    <t>Madhurima Sarkar</t>
  </si>
  <si>
    <t>Kadamtali, Patiram, South Dinajpur,, West Bengal, - 733133</t>
  </si>
  <si>
    <t>LBCPS2457M</t>
  </si>
  <si>
    <t>Swetha Balakrishna</t>
  </si>
  <si>
    <t>Golden Bloom Bakes (name changed from Swetha B)</t>
  </si>
  <si>
    <t>: D/O: Balakrishnan, # b 80, Bharath nagar beml nagar k g f, VTC: Bangarapet, PO: Beml Nagar, Sub District: Bangarapet, District: Kolar, State: Karnataka, PIN Code: 563115</t>
  </si>
  <si>
    <t>EVQPS7911R</t>
  </si>
  <si>
    <t>Kolar</t>
  </si>
  <si>
    <t>29EVQPS7911R1Z5</t>
  </si>
  <si>
    <t>Sripuram Srikar</t>
  </si>
  <si>
    <t>ECLECTICIQ INDIA PRIVATE LIMITED</t>
  </si>
  <si>
    <t>S/O S M Krishna murthy, 22-1100, SBI Colony, Opp Govt. ITI, Kongareddy palli, Chittoor, Andra Pradesh-517001</t>
  </si>
  <si>
    <t>DZBPS5428H</t>
  </si>
  <si>
    <t>CHANDRASEKHARAN VISWA PRAKASH</t>
  </si>
  <si>
    <t>AGGRAGANNYA SKILLS PRIVATE LIMITED</t>
  </si>
  <si>
    <t>S/O Late C Chandrasekharan, C/O Shivanand C Halasagi, Plot No. 99, 7th Main, Bendre Nagar, Dharwad K.C. Park, Hubli, Dharwad, Karnataka-580008</t>
  </si>
  <si>
    <t>AJCPV8391G</t>
  </si>
  <si>
    <t>Hubli</t>
  </si>
  <si>
    <t>Venugopal L</t>
  </si>
  <si>
    <t>Venter Group</t>
  </si>
  <si>
    <t>Suryakala B G, 55, 10th main, 5th cross, Gururaj Layout, Banashankari 3rd statge, Bengaluru Karnataka-560085.</t>
  </si>
  <si>
    <t>BARPV0660D</t>
  </si>
  <si>
    <t>Yadalapuram Sambasivarao</t>
  </si>
  <si>
    <t xml:space="preserve">Support.com India Private Limited </t>
  </si>
  <si>
    <t>S/O K Eshwarappa, Sree Siddarameshwara Nilaya, Behind G S S Bhavana, Geddalahali Extn, Tumkur, Karnataka-572102</t>
  </si>
  <si>
    <t>INVKA-25-26-0044</t>
  </si>
  <si>
    <t>ysr.sivarao@gmail.com</t>
  </si>
  <si>
    <t xml:space="preserve">9611029251
</t>
  </si>
  <si>
    <t xml:space="preserve">INVKA-25-26-0054
</t>
  </si>
  <si>
    <t>ashokaestro@gmail.com</t>
  </si>
  <si>
    <t>Uttam Amarnath Tendulkar</t>
  </si>
  <si>
    <t>BIOGREEN HEALTHCARE</t>
  </si>
  <si>
    <t xml:space="preserve">601A Gundecha Alture, LBS Marg, Kanjurmarg West, Mumbai, Mumbai Suburban Bhandup West, Maharashtra - 400078 </t>
  </si>
  <si>
    <t>AAIFB5651Q</t>
  </si>
  <si>
    <t>INVKA-26-27-0013</t>
  </si>
  <si>
    <t>biogreenhealthcare@gmail.com</t>
  </si>
  <si>
    <t>David Francis,</t>
  </si>
  <si>
    <t>Ophirnex global</t>
  </si>
  <si>
    <t>S/O Francis, #5, Kanakadasa Layout, Lingarajapura, Bengaluru North, St. Thomous Town, Bengaluru, Karnataka-560084</t>
  </si>
  <si>
    <t>FSXPD1210F</t>
  </si>
  <si>
    <t>INVKA-26-27-0008</t>
  </si>
  <si>
    <t>R Kathiravan</t>
  </si>
  <si>
    <t>Krishna Crafted Crew</t>
  </si>
  <si>
    <t>S/o Ravichandran Residing at 4, Chinnappa Nadar Street, Chinnapayan pudur, Kodumudi, Erode, Tamil Nadu - 638151</t>
  </si>
  <si>
    <t>CWBPR3129J</t>
  </si>
  <si>
    <t xml:space="preserve">INVKA-26-27-0029 </t>
  </si>
  <si>
    <t>kathiravanravichandran2306@gmail.com</t>
  </si>
  <si>
    <t>BRUNTHADEVI P</t>
  </si>
  <si>
    <t>SKANDA ENTERPRISES</t>
  </si>
  <si>
    <t>D/o Palanisamy Residing at 44 OMKALIYAMMAN STREET SAKTHI NAGAR APPAKUDAL Oricheri Erode Tamil Nadu - 638315</t>
  </si>
  <si>
    <t>CYMPP1412K</t>
  </si>
  <si>
    <t xml:space="preserve">INVKA-26-27-0028 </t>
  </si>
  <si>
    <t xml:space="preserve">Kavita Bhatia </t>
  </si>
  <si>
    <t>Ampli5x LLP</t>
  </si>
  <si>
    <t>C/O Sunil Bhatia, residing at Plot 87, Phase 1, Sammys Beverly Hills, Hosahalli, VTC: Hunasamaranahalli, PO: Hunasamaranahalli, District: Bengaluru, State: Karnataka, PIN Code: 562157</t>
  </si>
  <si>
    <t>AHCPB6720H</t>
  </si>
  <si>
    <t>INVKA-26-27-0031</t>
  </si>
  <si>
    <t xml:space="preserve">Kavita@ampli5x.com </t>
  </si>
  <si>
    <t>GURUPRAKASH B</t>
  </si>
  <si>
    <t>VIYANTRA BUILDTECH</t>
  </si>
  <si>
    <t>11 Sakthi Nagar Extension, Phase 3, VTC: Sathuvachari, PO: Sathuvachari, Sub District: Vellore, District: Vellore, State: Tamil Nadu, PIN Code - 632009</t>
  </si>
  <si>
    <t>ARMPG6552A</t>
  </si>
  <si>
    <t>INVKA-26-27-0033</t>
  </si>
  <si>
    <t>viyantrabuildtech@gmail.com</t>
  </si>
  <si>
    <t>Saurabh Tiwari</t>
  </si>
  <si>
    <t>Riddhi Advisory</t>
  </si>
  <si>
    <t>S/o Arun Kumar Tiwari Residing at No 170/4, 4th Cross 80 Feet Road, Kalkere, Bengaluru, Karnataka, PIN Code: 560043</t>
  </si>
  <si>
    <t>AFRPT6260K</t>
  </si>
  <si>
    <t>INVKA-26-27-0037</t>
  </si>
  <si>
    <t>saurabh.assam@gmail.com</t>
  </si>
  <si>
    <t>Dialogues Media</t>
  </si>
  <si>
    <t>INVKA-26-27-0091</t>
  </si>
  <si>
    <t>Pradeep Kumar Upadhya</t>
  </si>
  <si>
    <t>PassPex Global Services LLP</t>
  </si>
  <si>
    <t xml:space="preserve">8, C17, 3rd Floor, Sbi Bank Building, Harinagar Cross, Anjanapura Main Rd, Konanakunte, Bengaluru, Karnataka 560062. 
</t>
  </si>
  <si>
    <t>ACLPU1327P</t>
  </si>
  <si>
    <t>MA</t>
  </si>
  <si>
    <t>INVKA-26-27-0117</t>
  </si>
  <si>
    <t>Ram Chandra Banarrjee</t>
  </si>
  <si>
    <t>Club Town Estates, Block-4, Flat- 4G, Hanuman Mandir, 87 Dum Dum Road, West Bengal - 700074</t>
  </si>
  <si>
    <t>21/08/2026</t>
  </si>
  <si>
    <t>20/07/2027</t>
  </si>
  <si>
    <t>INVKA-26-27-0180</t>
  </si>
  <si>
    <t>RENEWAL</t>
  </si>
  <si>
    <t>Invoice submission status</t>
  </si>
  <si>
    <t>M Yuvaraj</t>
  </si>
  <si>
    <t xml:space="preserve">Yuva Digital Services </t>
  </si>
  <si>
    <t>Director/owner M Yuvaraj, C/O K R Mohanavel, R/o
3/10 C, Kollaimedu, Arunthathiyar Colony, Mukkundram Village, P
Venkatapuram, Gudiyatham, Vellore, Tamil Nadu, 632602</t>
  </si>
  <si>
    <t>AILPY2617G,</t>
  </si>
  <si>
    <t>Vellore</t>
  </si>
  <si>
    <t>Prafull</t>
  </si>
  <si>
    <t>88826 28280</t>
  </si>
  <si>
    <t>Payment received</t>
  </si>
  <si>
    <t>Poluru Dharani Shree,</t>
  </si>
  <si>
    <t>CODENINJAS TRAINING LLP</t>
  </si>
  <si>
    <t>Poluru Dharani Shree, C/O Poluru
Gopi, R/o 1-2-2 Main Road, Muchivolu, Chittor, Andhra Pradesh - 517536</t>
  </si>
  <si>
    <t>HAMPD9541N,</t>
  </si>
  <si>
    <t>Shivani Md Arfat</t>
  </si>
  <si>
    <t>NutriPuffs</t>
  </si>
  <si>
    <t>proprietor
Shivani Md Arfat C/O Akhatar Shivani, R/o Sri Vaaru Nest, 1911/5, 1 st Cross, 4 th
Main, K.N. Extension, Yeswanthpura, Bengaluru, 560022</t>
  </si>
  <si>
    <t>DWFPA2469K</t>
  </si>
  <si>
    <t>Pankaj</t>
  </si>
  <si>
    <t>Jayamma</t>
  </si>
  <si>
    <t>NONSTOP ENTERTAINMENT</t>
  </si>
  <si>
    <t>Jayamma C/O Lingappa, R/o Kanchanahalli Village, Kanchanahalli
Post, Bellur Hobli, Nagamangala Taluk, Kanchanahalli, Nagamangala, Mandya,
Karnataka, 571811,with</t>
  </si>
  <si>
    <t>CKJPJ2249H</t>
  </si>
  <si>
    <t>Vankayala Krishna Ratna</t>
  </si>
  <si>
    <t>FINACE INNOVATIONS PRIVATE LIMITED</t>
  </si>
  <si>
    <t>Vankayala Krishna Ratna
Pavan Kumar C/O Vankayala Suryanarayana Murthy, R/o 8-3-223/C/171, Ist
Floor, Sri Krishna Nagar, Near Sri Venkaleswara Residency, Yousufguda,
Khairatabad, Hyderabad, Telangana, 500045</t>
  </si>
  <si>
    <t>EOIPP7920C</t>
  </si>
  <si>
    <t>Manav Yousuf Ul Umaid</t>
  </si>
  <si>
    <t xml:space="preserve">MAQE TECHNOLOGIES PRIVATE
LIMITED  </t>
  </si>
  <si>
    <t>Director Manav Yousuf Ul Umaid C/O Mohammed Anis, R/o
HOUSE No. 1, Mukaddas Nagar Pull Bogda, Raisen Road, Huzur, Govindpura,
Bhopal, 462023</t>
  </si>
  <si>
    <t>ALSPU3740Q,</t>
  </si>
  <si>
    <t>Bhopal</t>
  </si>
  <si>
    <t>Geetanjali Bisht</t>
  </si>
  <si>
    <t>AVENUE REALTORS</t>
  </si>
  <si>
    <t>Geetanjali Bisht W/O Naresh Singh, R/o Flat - 428, Smart Nest, DS-
Max, Papareddy Palaya Road, Opposite Green Valley Apartment, Ganigarahalli,
Chikkabanavara, Bengaluru, 560090</t>
  </si>
  <si>
    <t>AVCPB9354K,</t>
  </si>
  <si>
    <t>GEETHA SUDHAKARA HEGDE</t>
  </si>
  <si>
    <t>BRANDS OF HEGDE</t>
  </si>
  <si>
    <t>GEETHA SUDHAKARA HEGDE W/O SUDHAKAR HEGDE, R/o Bank
House, Down Town Chako Compound, Vyasnagar Layout, Opp Lobo
Compound, Mangalore, Bijai, Dakshina Kannada, Karnataka, 575004</t>
  </si>
  <si>
    <t>ALHPG4748F,</t>
  </si>
  <si>
    <t>PRAJAL CHETTRI</t>
  </si>
  <si>
    <t>CLCH Locomotion Private Limited</t>
  </si>
  <si>
    <t>PRAJAL CHETTRI C/O SURESH CHETTRI, R/o Upper Gelling PW, Samsung Gelling GPU, Chakung, West, Sikkim, 737121</t>
  </si>
  <si>
    <t>CSGPC9461B,</t>
  </si>
  <si>
    <t xml:space="preserve"> Sikkim</t>
  </si>
  <si>
    <t>ORSU SHIVANJANEYULU</t>
  </si>
  <si>
    <t>EDSPARK SOLUTIONS PRIVATE
LIMITED</t>
  </si>
  <si>
    <t>S/O SRINU ORSU, R/o 5-
198, GANDHI NAGAR, VADAPALLE, WADAPALLY, DAMERACHERLA,
NALGONDA, TELANGANA, 508355</t>
  </si>
  <si>
    <t>AEJPO1943H,</t>
  </si>
  <si>
    <t>Harshad P Sadvelkar</t>
  </si>
  <si>
    <t>ZLATA PHARMA LLP</t>
  </si>
  <si>
    <t>Harshad P Sadvelkar, D/O Pandurang
Ganpat Sadvelkar, R/o Flat No S-3, Vancio Vaddo, Bardez, Gurim, Mapusa,
North Goa, Goa, 403507,</t>
  </si>
  <si>
    <t>BZLPS4183B,</t>
  </si>
  <si>
    <t>GOA</t>
  </si>
  <si>
    <t>\</t>
  </si>
  <si>
    <t xml:space="preserve">Naveen </t>
  </si>
  <si>
    <t>NAVII MULTIPRENEUR LLP</t>
  </si>
  <si>
    <t>director/owner Naveen S/O Venkatesh I Kamati, R/o H NO E 86/B, Bheemu Marg, Dispensary, L N Nagar V C Sedam, Gulbarga, Karnataka, 585222</t>
  </si>
  <si>
    <t>CFVPN1492M</t>
  </si>
  <si>
    <t>Kandukuri Siddi Ganesh</t>
  </si>
  <si>
    <t>SHREEMGLOBAL PROVIDERS</t>
  </si>
  <si>
    <t>its owner Kandukuri Siddi Ganesh S/O
Kandukuri Venkateswarlu, R/o 11/365-b, peerusaheb street, Cuddapah, Andhra Pradesh - 516001</t>
  </si>
  <si>
    <t>CEIPK4200G</t>
  </si>
  <si>
    <t>ANIRUDDHA SEN</t>
  </si>
  <si>
    <t>ANANYA CONSULTING SERVICES</t>
  </si>
  <si>
    <t>proprietor ANIRUDDHA SEN S/O SYAMAL KUMAR SEN, R/o Villa 13,
Windmills Of Your Mind, SB Road, Shivaji Nagar, Basavanna Nagar, EPIP Zone, Whitefield, Hoodi, Bengaluru, Karnataka,</t>
  </si>
  <si>
    <t>AUMPS0812N,</t>
  </si>
  <si>
    <t xml:space="preserve"> S Tufal Khan</t>
  </si>
  <si>
    <t>TM Enterprises</t>
  </si>
  <si>
    <t>proprietor S Tufal Khan S/O M Shail Khan, R/o No-963, 13 th Cross 1 st Stage 3 rd Block, Brindavan Extension, HBR Layout, Bangalore North, Kalyananagar, Bengaluru, Karnataka-560043,</t>
  </si>
  <si>
    <t>KGDPK5540L,</t>
  </si>
  <si>
    <t>MEDINEO INNOVATIONS LLP</t>
  </si>
  <si>
    <t>Partner, Ragin Raj ATK S/O Rajan Puthiyadath, R/o Meethale
Therayamkotte, Villyappalli, Kozhikode, Kerala, 673542</t>
  </si>
  <si>
    <t>APXPT6062M,</t>
  </si>
  <si>
    <t>FEEL YOUR BEST WELLBEING PRIVATE LIMITED</t>
  </si>
  <si>
    <t>Director, Sruti Pujari C/O Srikant Pujari, R/o 151, Shrinivas 2 nd Floor, Pandurang Naik Road, Mahim, Mumbai, Maharashtra,</t>
  </si>
  <si>
    <t>ARPPP0383D,</t>
  </si>
  <si>
    <t>Capital Architects</t>
  </si>
  <si>
    <t>Cusomer Directly Renewed</t>
  </si>
  <si>
    <t>VALUT INNOVATION PRIVATE LIMITED</t>
  </si>
  <si>
    <t>DEFENDRA TECHNOLOGY PRIVATE LIMITED</t>
  </si>
  <si>
    <t>LUNETRON WEB SERVICES LLP</t>
  </si>
  <si>
    <t>TURIST MUNDO</t>
  </si>
  <si>
    <t>TAHIA CRYSTAL HOUSE (OPC) PRIVATE LIMITED</t>
  </si>
  <si>
    <t>Nikesh Rai
Vinutha O T
Akshata Kumbar</t>
  </si>
  <si>
    <t>1BYTHREE</t>
  </si>
  <si>
    <t>S/O Chandra Kumar Rai, R/o, H.C Road, Near Batasia Loop, Batasia, Darjeeling, West Bengal 734101.
D/O Oddachettira Aiyappa Thammaiah, R/o, No.36, Maruthi Nilaya 24th B Main Pipeline Road, JC Nagar, Behind Bharat Gas Godown, Bangalore, P.O Mahalakshmipuram, 560086.
C/O Avvannappa, R/o, 04, Kumbar Galli, Taluka Mudhol, Mudhol, Bagalkot, Karnataka, 587313</t>
  </si>
  <si>
    <t>BPHPR7743N
AJIPV5170H
KHAPK5859Q</t>
  </si>
  <si>
    <t>Mohit Rupani,</t>
  </si>
  <si>
    <t>Pahal Attire</t>
  </si>
  <si>
    <t>S/O Bhagwandas Rupani, R/o, 80/428, Shankaracharya Marg, Jaipur, Mansarovar, Jaipur, Rajasthan, 302020</t>
  </si>
  <si>
    <t>DFIPR0923H</t>
  </si>
  <si>
    <t>Zaiba</t>
  </si>
  <si>
    <t>Zaisha Fashions</t>
  </si>
  <si>
    <t>D/O Afsar Pasha, R/O, #135/136, Shivaji Road, Shivaji Nagar, Bangalore North, H.K.P. Road, Bangalore, Karnataka – 560051</t>
  </si>
  <si>
    <t>ADNPZ8631L</t>
  </si>
  <si>
    <t>Gattineni Bhaswanth</t>
  </si>
  <si>
    <t>THETASECURE TECHNOLOGIES PRIVATE LIMITED</t>
  </si>
  <si>
    <t>C/O Nageswara Rao, R/o, G 602, MJR Pearl Apartments, Gopalkrishna Nagar, Kadugodi, Bangalore -560067</t>
  </si>
  <si>
    <t>ALLPG3565G</t>
  </si>
  <si>
    <t>Aiswarya Krishnan</t>
  </si>
  <si>
    <t>Niraa</t>
  </si>
  <si>
    <t>W/O Krishnan Balasubramanian, R/o, Villa 56, Alliance 10 Downing, Whitefield Hoskote Road, Kannamangala, Bangalore, Karnataka, 560067</t>
  </si>
  <si>
    <t>ALVPR4811J</t>
  </si>
  <si>
    <t>29ALVPR4811J1ZC</t>
  </si>
  <si>
    <t>Suprabha Mukherjee</t>
  </si>
  <si>
    <t>Kairova</t>
  </si>
  <si>
    <t xml:space="preserve"> CIO Subhata Mukherjee, R/o, 38 (1),
 Samaj Road, Tezpur Sonitpur, Assam, 784001 </t>
  </si>
  <si>
    <t>JJSPM8252G</t>
  </si>
  <si>
    <t>Vootoori Harshendar Reddy</t>
  </si>
  <si>
    <t>Optipro AI Private Limited</t>
  </si>
  <si>
    <t>S/O Vootoori Chinna Reddy, having office at, Shop No 12, Rivera Arcade, Anand Nagar, Prahladngar, Jivraj Park, Ahmadabad City, Ahmedabad- 380051, Gujarat</t>
  </si>
  <si>
    <t>AAECO5024F</t>
  </si>
  <si>
    <t>Santosh Shivaputra Mukartihal</t>
  </si>
  <si>
    <t>MOVO TRAFFIQ SOLUTIONS PRIVATE LIMITED</t>
  </si>
  <si>
    <t>S/O Shivaputrappa D Mukartihal, R/o 63 Shiva Nilaya, 6/A cross, Kalidas nagar, Hubli, Hubli Eng College, Dharwad, Karnataka, 580031</t>
  </si>
  <si>
    <t>BAQPM9231G</t>
  </si>
  <si>
    <t>Ritesh Kansal</t>
  </si>
  <si>
    <t>Sangam Enterprise</t>
  </si>
  <si>
    <t>C/O Pawan Kasal, R/o, The New Elgin Apartment, Flat Number 2 B Block2, Sevoke Road, 2nd Mile Siliguri (M. Corp.), Siliguri, Rajganj, Jalpaiguri, West Bengal, 734001</t>
  </si>
  <si>
    <t>DBTPK2383F</t>
  </si>
  <si>
    <t>West bengal</t>
  </si>
  <si>
    <t>Basavaraj Koppad</t>
  </si>
  <si>
    <t>boTaniq landscapers</t>
  </si>
  <si>
    <t>S/O Vijay Koppad, R/o Mugalkhod Raybag Belgaum Karnataka 591235</t>
  </si>
  <si>
    <t>HHVPK0560A</t>
  </si>
  <si>
    <t>Belgaum</t>
  </si>
  <si>
    <t>Jayesh Hannurkar</t>
  </si>
  <si>
    <t>S/O Pundlik Hannurkar, R/o E - 46, RRCAT COLONY, VTC: Indore, District: Indore, State: Madhya Pradesh, PIN Code: 452013</t>
  </si>
  <si>
    <t>ANIPH2775G</t>
  </si>
  <si>
    <t>Madhya pradesh</t>
  </si>
  <si>
    <t>Pradeep Prakash Kapil</t>
  </si>
  <si>
    <t>ACTONIX SOFTWARE PRIVATE LIMITED</t>
  </si>
  <si>
    <t>C/O Madan Lal Kapil, having registered office at, B 604, Hoysala Habitat Nagenahalli, Bengaluru, Bangalore - 560064</t>
  </si>
  <si>
    <t>AANCP0286B</t>
  </si>
  <si>
    <t>Renewal R1 Done Directly From Customer</t>
  </si>
  <si>
    <t>Nishanth Sai G R</t>
  </si>
  <si>
    <t>GalliGooo India pvt ltd</t>
  </si>
  <si>
    <t>S/O Rajesh Babu G S, R/O, No-40, sree Veerabhadra Nilaya, 1st Cross, Jai Hanuman Layout, Virupaksha Pura, Behind – Alphin Apartment, Vidyaranyapura Post, Bangalore North, Vidyaranyapura, Bengaluru, Karnataka, 560097</t>
  </si>
  <si>
    <t>CNPPN5929R</t>
  </si>
  <si>
    <t>Chaithra G C</t>
  </si>
  <si>
    <t>CLAPS Management Solutions</t>
  </si>
  <si>
    <t>W/O Annappaswamy S J, R/O, Chikkondihalli, Sathanagere Post, Arsikere Talok, Kanakatte Hobali, Chikkondihalli, Sathangere, Hassan, Karnataka, 573144</t>
  </si>
  <si>
    <t>BOHPC8085F</t>
  </si>
  <si>
    <t>Hassan</t>
  </si>
  <si>
    <t>Booking ID: VO-255-25</t>
  </si>
  <si>
    <t>KINTSUGI TECHLABS LLP</t>
  </si>
  <si>
    <t>Pundlik Hannurkar, having registered office at 3363/1A 5th Floor Team, Heritage Apartment, 13th, H.A.L II Stage, H A L II STAGE, Bangalore North, Bangalore- 560008</t>
  </si>
  <si>
    <t>ABEFK0046P</t>
  </si>
  <si>
    <t>Booking ID: VO-265-26</t>
  </si>
  <si>
    <t>Manovista Consulting LLP</t>
  </si>
  <si>
    <t>Booking ID: VO-289-25</t>
  </si>
  <si>
    <t xml:space="preserve">Ranjith R, </t>
  </si>
  <si>
    <t>Arrtree Private Limited</t>
  </si>
  <si>
    <t xml:space="preserve">S/O, Balanna Kambanna Rajanna, R/o, Kallukote Badavane Jyothinagara, Sira, Tumkur, Karnataka, 572137 </t>
  </si>
  <si>
    <t>BMDPR2466K</t>
  </si>
  <si>
    <t xml:space="preserve">Booking: ID - VO-301-25 </t>
  </si>
  <si>
    <t>December Month Billing End HEre</t>
  </si>
  <si>
    <t xml:space="preserve">Shohini Munshi, </t>
  </si>
  <si>
    <t xml:space="preserve">Michri Home and Living </t>
  </si>
  <si>
    <t>D/O, Sabyasachi Munshi, R/O AE-666, Salt Lake City, Sector 1, Bidhannagar (M), North 24 Parganas, West Bengal - 700064</t>
  </si>
  <si>
    <t>90518 18260</t>
  </si>
  <si>
    <t>BDCPM3102P</t>
  </si>
  <si>
    <t>Booking ID: VO-281-25</t>
  </si>
  <si>
    <t>Tuhina Panda</t>
  </si>
  <si>
    <t>The Open Oceans</t>
  </si>
  <si>
    <t>D/O, Sudhansu Sekhar Panda, R/O FLAT NO-101, TOWER NO-8, Z-1 ADVAIT, NANDANKANAN ROAD, KALARAHANGA, BHUBANESWAR, Kalarahanga, Khorda, Odisha – 751024</t>
  </si>
  <si>
    <t>ASFPP1952P</t>
  </si>
  <si>
    <t xml:space="preserve">Booking: ID - VO-313-26 </t>
  </si>
  <si>
    <t>Gaurav Kumar</t>
  </si>
  <si>
    <t xml:space="preserve">BRICKS FUSION LLP </t>
  </si>
  <si>
    <t>S/O, Nagendra Prasad Singh, R/O H No 12, Flat No 302, 2nd main Galaxy Blues Layout, Seeghalli, Bangalore North, Virgonagar, Bengaluru, Karnataka, 560049</t>
  </si>
  <si>
    <t>Booking ID: VO-318-26</t>
  </si>
  <si>
    <t>AIVONEX SKILLS ACADEMY PRIVATE LIMITED</t>
  </si>
  <si>
    <t>19-12-2026</t>
  </si>
  <si>
    <t>Booking ID: VO-330-26</t>
  </si>
  <si>
    <t>Sweta Singh</t>
  </si>
  <si>
    <t>CHAKRA ENERGY</t>
  </si>
  <si>
    <t>C/O Prabhat Kumar, R/O P.S. – Bhagwanpur Hat, Bhikhampur, Siwan, Bihar, 841408</t>
  </si>
  <si>
    <t>booking ID - VO-338-26</t>
  </si>
  <si>
    <t>Prabhat Kumar</t>
  </si>
  <si>
    <t>ANANTAYA ENERGIES</t>
  </si>
  <si>
    <t xml:space="preserve">S/O Ranjan Kumar Singh, R/O P.S. – Bhagwanpur Hat, Bhikhampur, Siwan, Bihar, 841408 </t>
  </si>
  <si>
    <t xml:space="preserve"> booking ID - VO-337-26</t>
  </si>
  <si>
    <t>R Dhiraj Kumar</t>
  </si>
  <si>
    <t>ScrimVerse</t>
  </si>
  <si>
    <t xml:space="preserve">S/O Kaguntiah Lakshminarayan Ravikumar, R/O No 341, 5th Main 2nd cross, Bangalore North, Vijayanagar, Bengaluru, Karnataka 560040 </t>
  </si>
  <si>
    <t>27-01-26</t>
  </si>
  <si>
    <t xml:space="preserve">26-12-26 </t>
  </si>
  <si>
    <t>Booking ID: VO-331-26</t>
  </si>
  <si>
    <t>ZION ZEST EDUCATIONAL SERVICES PRIVATE LIMITED</t>
  </si>
  <si>
    <t>Booking ID: VO-350-26</t>
  </si>
  <si>
    <t xml:space="preserve">Renewal : Booking ID: VO-348-26 </t>
  </si>
  <si>
    <t>Kunal Dutta</t>
  </si>
  <si>
    <t xml:space="preserve">TANISI INFOTECH PRIVATE LIMITED </t>
  </si>
  <si>
    <t>S/O, Monoj Dutta, Reg Office at 135/55/1, GIRISH GHOSH ROAD, BELUR, Ghusuri, Uluberia - I, Howrah- 711107,</t>
  </si>
  <si>
    <t>Booking ID: VO-304-25</t>
  </si>
  <si>
    <t>SHADANI INDIA PRIVATE LIMITED</t>
  </si>
  <si>
    <t xml:space="preserve">Booking : ID - 5513425 </t>
  </si>
  <si>
    <t>Neeru Gaumber</t>
  </si>
  <si>
    <t xml:space="preserve">Page3 Events </t>
  </si>
  <si>
    <t xml:space="preserve">W/O, Neeraj Gaumber, R/O, 305, Kristal Jade Apartment, Near Ravindu Toyota Showroom, Bellandur, Bangalore, Karnataka, 560103 </t>
  </si>
  <si>
    <t>AJZPG7140F</t>
  </si>
  <si>
    <t>Vion Vacations</t>
  </si>
  <si>
    <t xml:space="preserve">Booking : ID- 5208746 </t>
  </si>
  <si>
    <t>Anto Liciya Antonyswamy</t>
  </si>
  <si>
    <t xml:space="preserve">HME Attires </t>
  </si>
  <si>
    <t>D No. 3/368-1, Periyar Nagar, 2nd Cross, Krishnagiri, Tamil Nadu, 635001</t>
  </si>
  <si>
    <t>EMTPA8814D</t>
  </si>
  <si>
    <t>28-02-2026</t>
  </si>
  <si>
    <t xml:space="preserve">Booking : ID - 5500545 </t>
  </si>
  <si>
    <t xml:space="preserve">Bethireddy Nagasai Reddy </t>
  </si>
  <si>
    <t>DREAM AQUA ENTERPRISES</t>
  </si>
  <si>
    <t>S/O Bethireddy Appireddy, R/O 1-101, Y S R veedhi, near ravindra bharathi school, ankalamma nagar, Ravulapalem, East Godavari, Andhra Pradesh, 5332</t>
  </si>
  <si>
    <t>DARPB9920E</t>
  </si>
  <si>
    <t>Confirmed: ID: 5452155</t>
  </si>
  <si>
    <t xml:space="preserve">NutriPuffs </t>
  </si>
  <si>
    <t xml:space="preserve">Shivani Md Arfat </t>
  </si>
  <si>
    <t>Booking ID: VO-429-26</t>
  </si>
  <si>
    <t>Kasif Shameem</t>
  </si>
  <si>
    <t>SHAMEEM IT CONSULTING</t>
  </si>
  <si>
    <t xml:space="preserve">S/O Shameem Ahmad, R/O Flat 402, B Block DS – MAX, Springfield Anagalapura Bangalore North Dr. Shivarama Karanth Nagar Bengaluru Karnataka 560077 </t>
  </si>
  <si>
    <t>CHGPS7674R</t>
  </si>
  <si>
    <t>Booking ID 5632494</t>
  </si>
  <si>
    <t>Re-Documentation Charges</t>
  </si>
  <si>
    <t>Saroj Bala</t>
  </si>
  <si>
    <t xml:space="preserve">SEGGO ENTERPRISES </t>
  </si>
  <si>
    <t xml:space="preserve">W/O Rajpal, having residence at H.N0-114 Block N0-8 Geeta colony Gandhi nagar East Delhi Delhi - 110031 </t>
  </si>
  <si>
    <t>AZLPB6396G</t>
  </si>
  <si>
    <t>Booking ID VO-470-26</t>
  </si>
  <si>
    <t>indiranagar</t>
  </si>
  <si>
    <t>Sanjay Jaiprakash Agarwal,</t>
  </si>
  <si>
    <t>RACHNA ART PRINTS PRIVATE LIMITED</t>
  </si>
  <si>
    <t>S/O Jaiprakash Agarwal, having residence at Adwvay, Plot-40, Adarsh Society, Near SCET, Athwalines, Surat M Corp, Athwalines S.o, Surat City, Surat, Gujarat, 395001</t>
  </si>
  <si>
    <t>AAZPA7961M</t>
  </si>
  <si>
    <t>Booking ID 5620942</t>
  </si>
  <si>
    <t>Shreya Jai</t>
  </si>
  <si>
    <t xml:space="preserve">Shiyo Retailers </t>
  </si>
  <si>
    <t>W/O Abhishek Gupta Residing at Flat No. 604 Railway Line Staff CGHS Ltd Plot No 11 Dwarka Sector 19 B South West Delhi Delhi - 110075</t>
  </si>
  <si>
    <t>AMSPJ7777P</t>
  </si>
  <si>
    <t>Booking ID: 5657837</t>
  </si>
  <si>
    <t xml:space="preserve">Famshin P K </t>
  </si>
  <si>
    <t>S/O ABDULLA, R/o Ponathikandy Anchukunnu Wayanad Kerala 670645</t>
  </si>
  <si>
    <t>JAWPK0145R</t>
  </si>
  <si>
    <t xml:space="preserve">Booking ID: VO-472-26 </t>
  </si>
  <si>
    <t xml:space="preserve">Ragin Raj ATK </t>
  </si>
  <si>
    <t>6*</t>
  </si>
  <si>
    <t>Booking ID: VO-577-26</t>
  </si>
  <si>
    <t>:  Saburanayeem Egramudeen</t>
  </si>
  <si>
    <t>D/O Egramudeen, having residence at P No 56, Main Street, Thiruverumbur TK, Amman Nagar, Ellakudy, Pappakurichi Kattur, Tiruchirappalli, Tamil Nadu - 620019</t>
  </si>
  <si>
    <t>8778731194/9940777527</t>
  </si>
  <si>
    <t>AALCD9038R</t>
  </si>
  <si>
    <t>6(Cheeck month end)</t>
  </si>
  <si>
    <t>Booking ID: VO-647-26</t>
  </si>
  <si>
    <t>saburanayeem@gmail.com</t>
  </si>
  <si>
    <t>divi692@gmail.com</t>
  </si>
  <si>
    <t>9392649818/6305907586</t>
  </si>
  <si>
    <t xml:space="preserve">Booking ID: VO-764-26 </t>
  </si>
  <si>
    <t>svnnaiduca@gmail.com</t>
  </si>
  <si>
    <t>Booking ID: VO-855-26</t>
  </si>
  <si>
    <t>25-08-2026</t>
  </si>
  <si>
    <t>24-07-2027</t>
  </si>
  <si>
    <t>Booking ID: VO-914-26</t>
  </si>
  <si>
    <t>30-08-2026</t>
  </si>
  <si>
    <t>29-07-2027</t>
  </si>
  <si>
    <t>Booking ID: VO-921-26</t>
  </si>
  <si>
    <t>Total receivable</t>
  </si>
  <si>
    <t>Invoie Number</t>
  </si>
  <si>
    <t>Accounts@aaddress.in</t>
  </si>
  <si>
    <t>Maheshwari V,</t>
  </si>
  <si>
    <t>Quantumleap IT(OPC) Pvt ltd</t>
  </si>
  <si>
    <t>D/O Venkata muni 18-16 Gandlakothur, Kukkalapally, kukkalapalle, Chittoor, Andhra Pradesh -517128</t>
  </si>
  <si>
    <t>AAACQ9894P*</t>
  </si>
  <si>
    <t xml:space="preserve">PriyaSankaran
</t>
  </si>
  <si>
    <t xml:space="preserve">Sr Associate </t>
  </si>
  <si>
    <t>Sudhindra Kuppasagoudra</t>
  </si>
  <si>
    <t>ECOINTELLECT LLP</t>
  </si>
  <si>
    <t>Sudhindra Kuppasagoudra S/O
Veerabhadrappa #48 /15/2 , 1 st floor, 8 th B cross, Venkatapura,, Koramangala 1 st block Bangalore South,
Bangalore Koramangala Karnataka 560034</t>
  </si>
  <si>
    <t>Dampuri Bharath Kumar Raju</t>
  </si>
  <si>
    <t>GOAL WAY TECHNO SOFT</t>
  </si>
  <si>
    <t>S/O Dampuri Venkata Rangaraju, 11-91, Basic 66, Rajeev Swagruha Complex, Rapthadu, Ananthapur Andra Pradesh –
515722.</t>
  </si>
  <si>
    <t>Bhushar</t>
  </si>
  <si>
    <t>Uma Devi Marimuthu</t>
  </si>
  <si>
    <t>SHIVOHAM INTERIOR PVT LTD (SIPL)</t>
  </si>
  <si>
    <t xml:space="preserve">Director Uma Devi Marimuthu,  W/o, Muruganantham R, Plot No A2, Opulence Ville Sarojini street, Ramamurthy Venue, Mugalivakkam, Kanchepuram, Tamil Nadu – 600116 </t>
  </si>
  <si>
    <t>Udayakumar Sivalingam,</t>
  </si>
  <si>
    <t>NatVellar</t>
  </si>
  <si>
    <t>S/O Sivalingam, No
155/191, Andipatti, Dindigul, Tamil Nadu - 624621</t>
  </si>
  <si>
    <t>OZPPS1226E</t>
  </si>
  <si>
    <t xml:space="preserve"> PriyaSankaran</t>
  </si>
  <si>
    <t>Abinaya P</t>
  </si>
  <si>
    <t>Senticore​</t>
  </si>
  <si>
    <t>D/O Palaniswamy, 2/126, Mariyamman Kovil Street, Gudimangalam, Trippur, Tamil Nadu - 542201</t>
  </si>
  <si>
    <t>CYQPA5842L</t>
  </si>
  <si>
    <t>Tamil nadu</t>
  </si>
  <si>
    <t xml:space="preserve">  Mahalakshmi</t>
  </si>
  <si>
    <t>Office Space Provider</t>
  </si>
  <si>
    <t>Redocumentation done for address change from Koramanagala location to Indiranagar location</t>
  </si>
  <si>
    <t>Abid Mohammad Rafiq</t>
  </si>
  <si>
    <t>BADEGHAR CONSULTANCY PRIVATE LIMITED</t>
  </si>
  <si>
    <t>Business Registration(BR)</t>
  </si>
  <si>
    <t>Raseeq</t>
  </si>
  <si>
    <t xml:space="preserve">KZ Pharmaceutical </t>
  </si>
  <si>
    <t>IRSHAD THARAYIL </t>
  </si>
  <si>
    <t>SANOTIS PHARMACEUTICALS PRIVATE LIMITED</t>
  </si>
  <si>
    <t>Sudhindra</t>
  </si>
  <si>
    <t>14-03-2026</t>
  </si>
  <si>
    <t>13-02-2027</t>
  </si>
  <si>
    <t>PRIYANKA RAI</t>
  </si>
  <si>
    <t>GENIFARM AGRO PRIVATE LIMITED </t>
  </si>
  <si>
    <t>Quickoffice24</t>
  </si>
  <si>
    <t>GST and Company Registration.</t>
  </si>
  <si>
    <t xml:space="preserve">Pending for agreement execution, </t>
  </si>
  <si>
    <t>Kunal Dubey</t>
  </si>
  <si>
    <t>Hypemi</t>
  </si>
  <si>
    <t>Dubey S/o Axay Dubey, 9-4, Ahilya Puri Colony, Bhawarkua,
Indore, Indore Madhya Pradesh - 452001</t>
  </si>
  <si>
    <t>BZMPD2371K</t>
  </si>
  <si>
    <t xml:space="preserve">Invoice submitted </t>
  </si>
  <si>
    <t>MURARI AGARWAL</t>
  </si>
  <si>
    <t>Agarwal Suricals</t>
  </si>
  <si>
    <t>Partner, MURARI AGARWAL, 3RD-FR;FL-D, 222/1 P.B. GHAT ROAD, Kamarhati, Near Sitala Mata Temple Beltala, Kamarhati, Kamarhati, North 24, Parganas West
Bengal – 700058</t>
  </si>
  <si>
    <t>Abhinav Vikram Singh</t>
  </si>
  <si>
    <t>AMOHA HOSPITALITY PRIVATE LIMITED,</t>
  </si>
  <si>
    <t>Director, Abhinav Vikram Singh,
S/o Satyendra Vikram, Naurangabad, Lakshimpur, Kheri, Uttar Pradesh - 262701</t>
  </si>
  <si>
    <t>FCQPS6699Q</t>
  </si>
  <si>
    <t>Vipin</t>
  </si>
  <si>
    <t>RAHUL
GUPTA</t>
  </si>
  <si>
    <t>ABEER ESSENCE PRIVATE LIMITED,</t>
  </si>
  <si>
    <t xml:space="preserve">RAHUL GUPTA, Presently resident of E-502, SAI BABA APARTMENTS, SECTOR 9, ROHINI, NORTH WEST DELHI,
DELHI 110 085 with AADHAR CARD NO. 378826955286 </t>
  </si>
  <si>
    <t>ASUPG6483F</t>
  </si>
  <si>
    <t>MOHD MAKHSOOD ALAM</t>
  </si>
  <si>
    <t>KGN TRADERS,</t>
  </si>
  <si>
    <t>Proprietor, MOHD MAKHSOOD ALAM, S/O Mohd Khalil Khan, House No-D-51, Gali No 10, Harphool Vihar, Jian Vihar Phase - Bapraula, West Delhi, Delhi – 110043</t>
  </si>
  <si>
    <t>CQPPA6615N</t>
  </si>
  <si>
    <t>Not Billed In July Invoice ,Raise a Bill in Sep month</t>
  </si>
  <si>
    <t>ZENTRAILZ VENTURES Pvt Ltd</t>
  </si>
  <si>
    <t>Authorized Signatory, NINA
MOOTHEDATH MENON, Address: W/o Naresh Sugunan, Anjiliparambil, Canal Road, Canal Ward, Mosque,
Alappuzha, Kerala - 688007</t>
  </si>
  <si>
    <t>GPDPM1943A</t>
  </si>
  <si>
    <t>WHEELSEYE LOGISTICS PRIVATE LIMITED</t>
  </si>
  <si>
    <t>registered offtce at 5th Floor, Capital Business Park, Sector - 48, Gurugrzm-l2}}l9Haryana (India),</t>
  </si>
  <si>
    <t>29AACCW3205A1ZT</t>
  </si>
  <si>
    <t>Director, Anusha Pranesh Joshi</t>
  </si>
  <si>
    <t>D/O, Pranesh Vasantaacharya Joshi, Shivapete, 1 st Cross, Gadag,
Karnataka – 582209.</t>
  </si>
  <si>
    <t>BYCPJ4193G</t>
  </si>
  <si>
    <t>Gadag</t>
  </si>
  <si>
    <t>SACHIN
TIWARI,</t>
  </si>
  <si>
    <t>NEXT GEN HERBAL PRODUCTS</t>
  </si>
  <si>
    <t>C/O Manoj Tiwari, Anuruddhpur Poorab Patti, Pakhawaiya, Chilh, Mirzapur, Uttar Pradesh- 231312.</t>
  </si>
  <si>
    <t>BHLPT1408E</t>
  </si>
  <si>
    <t>Shikha Gupta,</t>
  </si>
  <si>
    <t>Talazen Finance India Private Limited</t>
  </si>
  <si>
    <t>D/O Ram Avtar Gupta, G-312 Agrasen apartment, 66 ip Extension
patpar ganj I.P. Extension, Shakarpur, Gandhi Nagar East Delhi, Delhi-110092.</t>
  </si>
  <si>
    <t>AHDPG77878A</t>
  </si>
  <si>
    <t>MAYANK KUMAR,</t>
  </si>
  <si>
    <t>CLASSIC EMPORIUM</t>
  </si>
  <si>
    <t>S/O Arun Kumar, F-61, Mansarover Garden, Ramesh Nagar, West Delhi,
Delhi-110015.</t>
  </si>
  <si>
    <t>AQWPK0119N</t>
  </si>
  <si>
    <t>MOHAMMED
SOHAIL AHMED,</t>
  </si>
  <si>
    <t>H STORE</t>
  </si>
  <si>
    <t>S/O Abdul Hameed, 2-1-209/1, n g o s colony, zaheerabad, Sangareddy,
Telangana, 502220.</t>
  </si>
  <si>
    <t>BVBPA6092B</t>
  </si>
  <si>
    <t>Verdeen Chemicals Private Limited</t>
  </si>
  <si>
    <t>21-05-2026</t>
  </si>
  <si>
    <t>20-04-2027</t>
  </si>
  <si>
    <t>Rishabh Kumar</t>
  </si>
  <si>
    <t>WHEELSEYE Technology india PRIVATE LIMITED</t>
  </si>
  <si>
    <t>Re-Documentation</t>
  </si>
  <si>
    <t>19-10-2026</t>
  </si>
  <si>
    <t>18-09-2027</t>
  </si>
  <si>
    <t>Debjyoti Chakraborty</t>
  </si>
  <si>
    <t>Capstone Human Capital</t>
  </si>
  <si>
    <t>Proprietorship firm
Debjyoti Chakraborty No 5061, 6 th
Floor Prestige Routh Ridge Apartments 100 Ft Ring Rooad, Hosakerehalli, Bangalore South,
Hosakerehalli, Bangalore Karnataka 560085</t>
  </si>
  <si>
    <t>ARNPC8311N</t>
  </si>
  <si>
    <t>Business Head</t>
  </si>
  <si>
    <t xml:space="preserve">Harish Muthuswamy </t>
  </si>
  <si>
    <t xml:space="preserve">FocusPix </t>
  </si>
  <si>
    <t>Harish Muthuswamy S/O J. Muthuswamy near modern english school 3,madhura om sai chs ltd ,sector 4 chheda nagar Chembur Tilak Nagar Mumbai
Maharashtra 400089</t>
  </si>
  <si>
    <t>BIYPM3068H</t>
  </si>
  <si>
    <t xml:space="preserve"> B.BHARATH KRISHNAH</t>
  </si>
  <si>
    <t>ALMOND INTERIOR PVT LTD</t>
  </si>
  <si>
    <t>B. BHARATH
KRISHNAH, S/o Balaji, 80/12, Manikka Vinayagar Koil Street, Vyasarpadi, Chennai, Tamil Nadu -600039</t>
  </si>
  <si>
    <t>BMHPB5983K</t>
  </si>
  <si>
    <t>PARMAR DEEPAK AMRUT</t>
  </si>
  <si>
    <t>DUCTTAPE TECHNOLOGIES (OPC) PRIVATE LIMITED</t>
  </si>
  <si>
    <t>Director,
PARMAR DEEPAK AMRUT, Residing at Near Chembur Railway Station , BLDG NO. 13 Room No. 6
BMC Colony P L Lokhande marg tilak Nagar, Mumbai, Maharashtra-400089</t>
  </si>
  <si>
    <t>AQSPP7245E</t>
  </si>
  <si>
    <t>Agreement is yet to approve but we can raise the invoice</t>
  </si>
  <si>
    <t>Yash Manoj Kalantri</t>
  </si>
  <si>
    <t>M A C S &amp;amp; CO</t>
  </si>
  <si>
    <t>Partner, Yash Manoj Kalantri, Residing at BALAJI CHOUK Nandgaon, Nashik Maharashtra - 423106</t>
  </si>
  <si>
    <t>EFOPK7249G</t>
  </si>
  <si>
    <t>Nasik</t>
  </si>
  <si>
    <t>ADITYA KABRA,</t>
  </si>
  <si>
    <t>B KABRA &amp;amp; CO</t>
  </si>
  <si>
    <t>Partner, ADITYA KABRA, S/o Om Prakash, Kabra, 137 Ward No 11, Paroli, Bhilwara, Rajasthan - 311202</t>
  </si>
  <si>
    <t>BCXPK3032J</t>
  </si>
  <si>
    <t>DimpleKumari</t>
  </si>
  <si>
    <t>ALLIANTIE HEALTH INDIA PRIVATE LIMITED</t>
  </si>
  <si>
    <t>Director, DimpleKumari, C/O: Abhinandan Kumar Singh B-908, 9th Floor, Nitesh Forest Hills, Seegehalli BengaluruKarnataka – 560067</t>
  </si>
  <si>
    <t>82874 37817</t>
  </si>
  <si>
    <t>CCDPK0048R</t>
  </si>
  <si>
    <t>ZOIKO INDUSTRIES PRIVATE LIMITED</t>
  </si>
  <si>
    <t>Director, Mr. Kallol Ghosal ,
S/o Mr. Amit Ghoshal R/o 66, RK Ghosal Road, Kasba Kolkata West Bengal 700042</t>
  </si>
  <si>
    <t>AHLPG1701G</t>
  </si>
  <si>
    <t>west Bengal</t>
  </si>
  <si>
    <t>SCIONECX PRIVATE LIMITED</t>
  </si>
  <si>
    <t>Director, Sunitha Abhilash, , Address:
521, Tower 3, 5 th Floor, Hara Vijay Heights apartments, VISL Layout, off pipe line road, Near Silk
institute metro station, thalaghattapura, Kankapura Road, Bangalore Karnataka - 560109,</t>
  </si>
  <si>
    <t>29ABQCS5806E1ZY</t>
  </si>
  <si>
    <t>Yalavarthi Vamsi Krishna</t>
  </si>
  <si>
    <t>Yalavarti Projects Private Limited</t>
  </si>
  <si>
    <t>Yalavarthi Jayaprakash, flat no 103 raaga central court brindavan colony nizampet road sangamitra school Nizampet Nizampet K.v. Rangareddy Telangana - 500090,</t>
  </si>
  <si>
    <t>AATPY2704Q</t>
  </si>
  <si>
    <t>Chetan Kumar Shetty</t>
  </si>
  <si>
    <t>NUCLEOTIDE HEALTHCARE PRIVATE LIMITED</t>
  </si>
  <si>
    <t>S/O: Gangadhar Shetty, Shri Vasudev Krupa, Subhash Nagar, Sirsi Market Uttar Kannda, , Karnataka, 581402</t>
  </si>
  <si>
    <t>CKBPS9884H</t>
  </si>
  <si>
    <t>Uttar Kannada</t>
  </si>
  <si>
    <t>Mandapalli Prashanth Kumar Joshua</t>
  </si>
  <si>
    <t>ONE VERSE GAMING TECHNOLOGY PRIVATE LIMITED</t>
  </si>
  <si>
    <t>S/O Mandapalli Joshua, Flat No.312, Deeptisrinagar, Madinaguda, Hyderbad, Miyapur, Telengana-500049</t>
  </si>
  <si>
    <t>ARQPJ5162M</t>
  </si>
  <si>
    <t>Plan changed from GR to BR
Nov'25 bookings end here for billing</t>
  </si>
  <si>
    <t>GSTIN:	29AAECO3057A1ZP
CIN: 	U58200KA2024PTC184840</t>
  </si>
  <si>
    <t>Anand Singh Nayal</t>
  </si>
  <si>
    <t>AUDBOT CREATIONS</t>
  </si>
  <si>
    <t>C/O Mohan Singh Nayal, C-39A, Jai Vihar, Najafgarh, South west Delhi, Delhi-110043</t>
  </si>
  <si>
    <t>ATKPN9103C</t>
  </si>
  <si>
    <t>Gokul Ganagadharan A</t>
  </si>
  <si>
    <t>Fit with Gokul</t>
  </si>
  <si>
    <t>S/O Gangadharan A.K, Alarayiparambil House, Thottanchira road, Thanniyam, Peringottukara, Thrissur, Kerala-680565</t>
  </si>
  <si>
    <t>DNCPA9658C</t>
  </si>
  <si>
    <t xml:space="preserve">gokulfitwithgokul.com </t>
  </si>
  <si>
    <t>Renewal R1</t>
  </si>
  <si>
    <t>Permanent Signage</t>
  </si>
  <si>
    <t xml:space="preserve">Sunitha Abhilash </t>
  </si>
  <si>
    <r>
      <rPr>
        <b/>
        <sz val="12"/>
        <color rgb="FF000000"/>
        <rFont val="Segoe UI"/>
      </rPr>
      <t>SCION</t>
    </r>
    <r>
      <rPr>
        <b/>
        <sz val="12"/>
        <color rgb="FF242424"/>
        <rFont val="Segoe UI"/>
      </rPr>
      <t>ECX PRIVATE LIMITED</t>
    </r>
  </si>
  <si>
    <t>Address: 521, Tower3,5thFloor, Hara Vijay Heights apartments, YISL Layout, offpipeline road, Near Silk institute metro st*tion, thalaghattapum, Ktnkapura Road, Bangalcre Karnataka - 560109</t>
  </si>
  <si>
    <t>EHNPS3492C</t>
  </si>
  <si>
    <t>21/06/2026</t>
  </si>
  <si>
    <t>Yalavarti Projects Limited</t>
  </si>
  <si>
    <t>Gmail id</t>
  </si>
  <si>
    <t>Gargi Yadav</t>
  </si>
  <si>
    <t>WIKREATE ORGANISATION</t>
  </si>
  <si>
    <t>owner Gargi Yadav D/o Rakesh Yadav, A-
7/A, Guru Marg, Sethi Colony, Jawahar Nagar, Dist: Jaipur, Rajasthan - 302004</t>
  </si>
  <si>
    <t>AMWPY4659B</t>
  </si>
  <si>
    <t>Pratik</t>
  </si>
  <si>
    <t>Gatreddi
Demudu Naidu</t>
  </si>
  <si>
    <t>RISEON FASHION (OPC) PRIVATE LIMITED</t>
  </si>
  <si>
    <t>Director, Gatreddi Demudu Naidu  S/o Gatreddi Neelakanta, 0-0, Pedanandipalli, Near Water Tank, Devarapalli Mandal,
Pedanandipalle, Agraharam, Visakhapatnam, Andra Pradesh – 531030</t>
  </si>
  <si>
    <t>CZWPG4399B</t>
  </si>
  <si>
    <t>Savio Percy  Anand</t>
  </si>
  <si>
    <t xml:space="preserve"> Limitless Entertainment</t>
  </si>
  <si>
    <t>Owner, Savio Percy Anand C/o Perey Sadanandan,
No I*t floor, Sunshine, Kanakashree layout, Byr*thi, Dr. Shivaram Karanth Nagar, Bengaluruo Karnataka
- 56007</t>
  </si>
  <si>
    <t>BIXPS0297M</t>
  </si>
  <si>
    <t xml:space="preserve">Vivek Bhaskaran </t>
  </si>
  <si>
    <t>Grinning Monkeys Adventures Pvt Ltd</t>
  </si>
  <si>
    <t>Vivek Bhaskaran Flat No.
F1403, Purva 270 Apartments, Kaggadaspura Main Road, C V Raman Nagar Bengaluru Karnataka – 560093</t>
  </si>
  <si>
    <t>96335 51317</t>
  </si>
  <si>
    <t>AVQPB5600G</t>
  </si>
  <si>
    <t>Dilchan biswakarm</t>
  </si>
  <si>
    <t>Petsu hub Pvt Ltd</t>
  </si>
  <si>
    <t>Bhokarpada post - poyanje bhokarpada PO: Poyanja Dist: Raigad maharashtra - 410221</t>
  </si>
  <si>
    <t>CDKPB6107J</t>
  </si>
  <si>
    <t>Raju T G</t>
  </si>
  <si>
    <t>SYNKOR INFOTECH</t>
  </si>
  <si>
    <t>S/O Govindan late, Thekkemalayil, Ezhakkad, Mundur – 2, Kongad, Palakkad, Kerala - 678631</t>
  </si>
  <si>
    <t>BGXPG9191C</t>
  </si>
  <si>
    <t>Raghuveer Das</t>
  </si>
  <si>
    <t>SPIRITED COMPASS</t>
  </si>
  <si>
    <t>S/O of Kumar Das, KA, FF-2, Image residency, 1st cross manjunath nagar, Behind Bangalore internationals public school, Uthrahalli main road, Bangalore south- 560061</t>
  </si>
  <si>
    <t>AHPPR6860D</t>
  </si>
  <si>
    <t>Sneha</t>
  </si>
  <si>
    <t xml:space="preserve"> raghuveerdas@gmail.com</t>
  </si>
  <si>
    <t>Manjit Nayak</t>
  </si>
  <si>
    <t>VYNS Pvt. Ltd.</t>
  </si>
  <si>
    <t>nayakmanjitk@gmail.com</t>
  </si>
  <si>
    <t>December month Billing End Here</t>
  </si>
  <si>
    <t>ANUSREE N (KYC Attached)</t>
  </si>
  <si>
    <t>Japan Connect Academy</t>
  </si>
  <si>
    <t>97466 63394 </t>
  </si>
  <si>
    <t>-  AnusreeNittoor@gmail.com</t>
  </si>
  <si>
    <t xml:space="preserve">SYED KAREEMULLA </t>
  </si>
  <si>
    <t>MIIM ENTERPRISES</t>
  </si>
  <si>
    <t xml:space="preserve">info@miim.in
</t>
  </si>
  <si>
    <t>Gatewaypark Business</t>
  </si>
  <si>
    <t>Small Bets Big Money Pvt Ltd</t>
  </si>
  <si>
    <t>REEVINSPIRE LEARNING SOLUTIONS LLP</t>
  </si>
  <si>
    <t xml:space="preserve">Mr Karan Miglani </t>
  </si>
  <si>
    <t>Ishanee Villas Tech Private Limited</t>
  </si>
  <si>
    <t>R/O  Birch Street 4G with Aadhar Number 220775347210</t>
  </si>
  <si>
    <t>08130623964</t>
  </si>
  <si>
    <t xml:space="preserve"> AOTPM4444B</t>
  </si>
  <si>
    <t>Billing to be done in the Nov'25 bookings bill</t>
  </si>
  <si>
    <t xml:space="preserve">Nikhil Nagaraj Kalale  </t>
  </si>
  <si>
    <t>HARIDRA EARLY NUTRITION CONSULTATION LLP</t>
  </si>
  <si>
    <t>Kalale  R/O  No1902 , maya indradhanush, judicial layout, thalaghattapura, Bengaluru-560062 with Aadhar Number 592020131963</t>
  </si>
  <si>
    <t>BLYPK7368B</t>
  </si>
  <si>
    <t>AATISH ZAMAN</t>
  </si>
  <si>
    <t>AERSTER INDIA (OPC) PRIVATE LIMITED</t>
  </si>
  <si>
    <t xml:space="preserve">S/O Sk Basiruzzaman, Kayra Raibagan, Koyra, Kadambagachi, Barasat- I North 24 Praganas, West Bengal-700125 </t>
  </si>
  <si>
    <t>AENPZ2695F</t>
  </si>
  <si>
    <t xml:space="preserve">MR BYSANI VINOD KUMAR  </t>
  </si>
  <si>
    <t>Excelero Fintech Pvt Ltd</t>
  </si>
  <si>
    <t>R/O  8 3 319 8 12 A YELLAREDDYGUDA OPP TO MADHURA NAGAR METRO STATION AMEERPET HYDERABAD-509325 with Aadhar Number 327559765314</t>
  </si>
  <si>
    <t xml:space="preserve">AMNPB0870C </t>
  </si>
  <si>
    <t>SHABIL AHAMMED HUSSAIN</t>
  </si>
  <si>
    <t>CRISTA ET CASEUS GLOBAL PRIVATE LIMITED</t>
  </si>
  <si>
    <t xml:space="preserve">R/O SHABNAM PLATHOTTAM, TALIPARAMBA, KANNUR, KERALA, 670141 with Aadhar Number 302938206898 </t>
  </si>
  <si>
    <t xml:space="preserve">AWKPH7635Q </t>
  </si>
  <si>
    <t xml:space="preserve">Saheli Kumar </t>
  </si>
  <si>
    <t>TECHLAMA SERVICES PRIVATE LIMITED</t>
  </si>
  <si>
    <t xml:space="preserve">KDWPK0991P </t>
  </si>
  <si>
    <t>23-12-25</t>
  </si>
  <si>
    <t>22-11-26</t>
  </si>
  <si>
    <t>Dec'25 bookings end here for billing</t>
  </si>
  <si>
    <t xml:space="preserve">PARTNER  Mr. ABHINAV AGARWAL </t>
  </si>
  <si>
    <t xml:space="preserve">TAFA AGRI INDUSTRIES </t>
  </si>
  <si>
    <t xml:space="preserve">KASHIPUR-244713 </t>
  </si>
  <si>
    <t>AFRPA4213K</t>
  </si>
  <si>
    <t>Nagarjuna B</t>
  </si>
  <si>
    <t>BRAIN LINKS &amp; RESOURCES PVT LTD</t>
  </si>
  <si>
    <t xml:space="preserve">R/O  NO 9&amp;10, HARSHIYA, BASAVESHWARA LAYOUT, HAGADUR MAIN ROAD, WHITEFIELD, BENGALURU - 560066 </t>
  </si>
  <si>
    <t>AXTPB7308J</t>
  </si>
  <si>
    <t xml:space="preserve">PEGASUS BLACKROCK INDIA PRIVATE LIMITED </t>
  </si>
  <si>
    <t xml:space="preserve">Saksham Agrawal </t>
  </si>
  <si>
    <t>ZETAMEDS PHARMA PRIVATE LIMITED</t>
  </si>
  <si>
    <t>R/O  187-A, Civil Lines, Opp. head post office, Bareilly, dist. Bareilly, Uttar Pradesh 243001</t>
  </si>
  <si>
    <t xml:space="preserve">Shyam Kumar Gupta  </t>
  </si>
  <si>
    <t xml:space="preserve">Perficient Marketing Pvt Ltd </t>
  </si>
  <si>
    <t xml:space="preserve">Gupta  R/O  Ideal Heights 14D BLOCK-B, 302 A P C Road, Near ESI Hospital, Sealdah, Raja Ram Mohan Sarani, PO:Raja Ram Mohan Sarani, DIST:Kolkata, West Bengal, 700009 </t>
  </si>
  <si>
    <t>Neelanjan Munshi</t>
  </si>
  <si>
    <t>OpenRipples</t>
  </si>
  <si>
    <t>1B-1005, Suncity Gloria Apartments, Carmelram, Bengaluru 560035</t>
  </si>
  <si>
    <t>Nara Sravanthi</t>
  </si>
  <si>
    <t>FUZNFASHTON LLP</t>
  </si>
  <si>
    <t>176,1st floor, 13th main,4th block,Koramangala,Bengaluru-560034</t>
  </si>
  <si>
    <t>IND_Platinum</t>
  </si>
  <si>
    <t xml:space="preserve">Lijo George  </t>
  </si>
  <si>
    <t xml:space="preserve">Denc8 engineering  </t>
  </si>
  <si>
    <t>R/O  401, 4th floor, srinivasa nilayam, kasavanahalli village, munnekolala, marathahalli, Karnataka. 560037</t>
  </si>
  <si>
    <t xml:space="preserve">Mr Satyajeet Singh  </t>
  </si>
  <si>
    <t xml:space="preserve">BREIGHFORCE CONSULTANCY PRIVATE LIMITED </t>
  </si>
  <si>
    <t>R/O  Guru Nanak Pura, 6/2/148, Faizabad, Uttar Pradesh 224001</t>
  </si>
  <si>
    <t>RANPS6687F</t>
  </si>
  <si>
    <t>Purnachandra Koley</t>
  </si>
  <si>
    <t>NUTRIWELL ORGANICS PRIVATE LIMITED</t>
  </si>
  <si>
    <t>Purnachandra Koley,
Char Kantapukur Howrah West Bengal 711303</t>
  </si>
  <si>
    <t>EQRPK6330N</t>
  </si>
  <si>
    <t>Howrah</t>
  </si>
  <si>
    <t>Madhurima</t>
  </si>
  <si>
    <t>Choudhury Moidul Islam</t>
  </si>
  <si>
    <t>MPHENO HEALTHCARE PRIVATE LIMITED</t>
  </si>
  <si>
    <t>S/O AH. HOSSAIN CHOUDHURY, SARAITIKAR, DAKSHIN PARA, BURDWAN  Burdwan West Bengal 713104</t>
  </si>
  <si>
    <t>ACNPI7452B</t>
  </si>
  <si>
    <t>Pritam H Roy</t>
  </si>
  <si>
    <t>Munisammy</t>
  </si>
  <si>
    <t>Ecolux Clean</t>
  </si>
  <si>
    <t>S/O Ramu, 26, Ramu Lakshmi Illam, East main road, Venkatesha Nagar, New Saram, Puducherry-605013</t>
  </si>
  <si>
    <t>AYMPM1607R</t>
  </si>
  <si>
    <t>Puducherry</t>
  </si>
  <si>
    <t>Aditya Bhargav</t>
  </si>
  <si>
    <t>Business Consultant</t>
  </si>
  <si>
    <t>Tawseef ahmad</t>
  </si>
  <si>
    <t>NEPHROSYS LIFESIENCES PRIVATE LIMITED</t>
  </si>
  <si>
    <t>S/O Abdul Hamid 
Mattoo, baba pora habakadel, Srinagar, Jammu &amp; Kashmir-190001 _x000D_</t>
  </si>
  <si>
    <t>Jammu &amp; Kashmir</t>
  </si>
  <si>
    <t xml:space="preserve">Anil Mahananda  </t>
  </si>
  <si>
    <t xml:space="preserve">VHAMA ENTERPRISES (OPC) PRIVATE LIMITED </t>
  </si>
  <si>
    <t xml:space="preserve">Chanamunda, Chanamunda, Lakhana, Nuapada Odisha - 766105 </t>
  </si>
  <si>
    <t xml:space="preserve">Monica Kalvani </t>
  </si>
  <si>
    <t>SAGATHY SOURCING AND EXPORTS LLP</t>
  </si>
  <si>
    <t>No. 386, 12th Main, 1st cross, HAL II stage, VTC: HAL II Stage, Bengalore, Karnataka – 560008</t>
  </si>
  <si>
    <t>ACZPK7980N</t>
  </si>
  <si>
    <t>monica_kalvani@yahoo.com</t>
  </si>
  <si>
    <t>Platinum</t>
  </si>
  <si>
    <t>Booking Assigned by</t>
  </si>
  <si>
    <t xml:space="preserve">Charges </t>
  </si>
  <si>
    <t>Type</t>
  </si>
  <si>
    <t>GST No</t>
  </si>
  <si>
    <t>Pradeep</t>
  </si>
  <si>
    <t>Thatch &amp; Tile Design Collective</t>
  </si>
  <si>
    <t>S/o Gunaseelan No 1/1 Doss Nagar 1st Street Kannigapuram Perambur Barracks Chennai Tamil Nadu 600012</t>
  </si>
  <si>
    <t>95000 98269</t>
  </si>
  <si>
    <t>DNSPK5623R</t>
  </si>
  <si>
    <t>BR+GST</t>
  </si>
  <si>
    <t>Renewed</t>
  </si>
  <si>
    <t>REVOLNET TECHNOLOGIES PRIVATE LIMITED</t>
  </si>
  <si>
    <t>Medsee AI Private Limited</t>
  </si>
  <si>
    <t>ARYRAD PROJECTS LLP</t>
  </si>
  <si>
    <t xml:space="preserve">Karthik Devan </t>
  </si>
  <si>
    <t>Karthik Devan</t>
  </si>
  <si>
    <t>#7, Ground Floor, Osborne 1st Cross Road, Sivan Chetty Gardens, Bangalore 560042</t>
  </si>
  <si>
    <t>DWGPD8547E</t>
  </si>
  <si>
    <t>29DWGPD8547E1ZA</t>
  </si>
  <si>
    <t>Saravanan M</t>
  </si>
  <si>
    <t>MS Production</t>
  </si>
  <si>
    <t>No 45, 3rd floor, 6th Cross, Murphy town, Halasuru, Bengaluru 560008</t>
  </si>
  <si>
    <t>EGDPS9483J</t>
  </si>
  <si>
    <t>Veena Mahesh</t>
  </si>
  <si>
    <t>Yatra Mantra Travels &amp; Edu</t>
  </si>
  <si>
    <t>W/O Mahesh kumar B, No. 4/24, Parvathi Nilaya, 3rd Cross, Indira Gandhi Street, Lingaiahna Palya, HAL II stage, Halasuru, Bengaluru-560008</t>
  </si>
  <si>
    <t xml:space="preserve">89700 17656 </t>
  </si>
  <si>
    <t>APHPM4539G</t>
  </si>
  <si>
    <t>Prabhanjan P C</t>
  </si>
  <si>
    <t>Vellverse Digital Solutions</t>
  </si>
  <si>
    <t>S/O Chandrshekarappa P S, Panchehosahalli, Alagatta, Chickmagaluru, Karnataka-577548</t>
  </si>
  <si>
    <t>EXRPP1239N</t>
  </si>
  <si>
    <t>Vellversedigital@gmail.com</t>
  </si>
  <si>
    <t>29AAHCI2075H1ZE</t>
  </si>
  <si>
    <t>Kafko Coffee Works</t>
  </si>
  <si>
    <t>UFS Global Private Limited</t>
  </si>
  <si>
    <t>Amicorp Community foundation</t>
  </si>
  <si>
    <t>SHIVASRI STAYS PRIVATE LIMITED</t>
  </si>
  <si>
    <t>20-01-2025</t>
  </si>
  <si>
    <t>Coorg consultancy</t>
  </si>
  <si>
    <t>CX100 SOLUTIONS PRIVATE LIMITED</t>
  </si>
  <si>
    <t>Ramaiah Chidambaram</t>
  </si>
  <si>
    <t>SAI  SNEHA</t>
  </si>
  <si>
    <t>NivoCore solution</t>
  </si>
  <si>
    <t xml:space="preserve">
Vivek Jain</t>
  </si>
  <si>
    <t>RUNIC ADVISORS PRIVATE LIMITED</t>
  </si>
  <si>
    <t>Flat M1002, Tower 6, Adarsh Palm Retreat, Bellandur, BANGALORE - 560103 Karnataka, India</t>
  </si>
  <si>
    <t>Social Technologies</t>
  </si>
  <si>
    <t>Ameer Basha Shaik</t>
  </si>
  <si>
    <t xml:space="preserve"> Artisan Platforms</t>
  </si>
  <si>
    <t xml:space="preserve">shaikameerbasha24@gmail.com
</t>
  </si>
  <si>
    <t xml:space="preserve">ZIRWA FOODS PRIVATE LIMITED </t>
  </si>
  <si>
    <t>Sheebak230@gmail.com</t>
  </si>
  <si>
    <t>LEADXPO IT SOLUTIONS PRIVATE LIMITED</t>
  </si>
  <si>
    <t>24-02-26</t>
  </si>
  <si>
    <t>23-01-27</t>
  </si>
  <si>
    <t>Auburn Design</t>
  </si>
  <si>
    <t>Sumitha K A</t>
  </si>
  <si>
    <t>Desiseva LLP</t>
  </si>
  <si>
    <t>support@desiseva.in</t>
  </si>
  <si>
    <t>TTHERMAL TECHNOLOGIES</t>
  </si>
  <si>
    <t>Nikhilesh Sudhirrao Shingane and Ruchita Krushnrao Mamulkar</t>
  </si>
  <si>
    <t>RUNAVYAAVYARAWORKS PRIVATE LIMITED</t>
  </si>
  <si>
    <t>Flat 101, Hymavthi Nilayam, 14th Cross Bhuvaneshwari Layout, Near Government School, Opp. SBI ATM, Munnekollala Marathahalli, Bengaluru 560037</t>
  </si>
  <si>
    <t>9503196964/7620607304</t>
  </si>
  <si>
    <t xml:space="preserve"> nikhilshingane@gmail.com/ ruchitamamulkar@gmail.com/</t>
  </si>
  <si>
    <t>M. R. Krishna Kumar &amp; Sadasivan M</t>
  </si>
  <si>
    <t>Skanda Engineering Corporation LLP</t>
  </si>
  <si>
    <t>201, Himagiri Enclave-1A
Kaggadasapura Main Road
C. V. Raman Nagar
Bangalore – 560093 &amp; G2 , 15 Kumaran Nagar 1st Main Road
Chennai – 600092
Mob: +91 9445423802</t>
  </si>
  <si>
    <t>+91 99160 11231 &amp; +91 9445423802</t>
  </si>
  <si>
    <t>pioneertrdg2020@gmail.com &amp; adasivan.mylsamy@gmail.com</t>
  </si>
  <si>
    <t>Tushar Charde</t>
  </si>
  <si>
    <t>TRC Services</t>
  </si>
  <si>
    <t>25 Bajrang Nagar, Koradi Road, Nagpur, Maharashtra – 441111</t>
  </si>
  <si>
    <t>CFQPC0870P</t>
  </si>
  <si>
    <t xml:space="preserve">Tushar@weservv.com , tusharcharde8@gmail.com
</t>
  </si>
  <si>
    <t>SUJATA SINGH</t>
  </si>
  <si>
    <t>VYJNA</t>
  </si>
  <si>
    <t>sujata@vyjna.com</t>
  </si>
  <si>
    <t>Saroj Garg</t>
  </si>
  <si>
    <t>TANGENT AI (INDIA) PRIVATE LIMITED</t>
  </si>
  <si>
    <t>B5-302 Shriram Spandhana, Challaghatta, Bangalore 560037</t>
  </si>
  <si>
    <t>AAMCT8622Q</t>
  </si>
  <si>
    <t xml:space="preserve"> sarojgarg98@gmail.com</t>
  </si>
  <si>
    <t>Grace Enterprise</t>
  </si>
  <si>
    <t>arogyalucyraj96@gmail.com</t>
  </si>
  <si>
    <t>M sowmya shree</t>
  </si>
  <si>
    <t>Krithagna Solutions Pvt Ltd</t>
  </si>
  <si>
    <t>919945772656
Secondary +919591094194</t>
  </si>
  <si>
    <t xml:space="preserve"> malgisujatha@gmail.com</t>
  </si>
  <si>
    <t>Nagasundaramurthy K</t>
  </si>
  <si>
    <t>TPd tech GreenWatt solar</t>
  </si>
  <si>
    <t>79 7563 9029</t>
  </si>
  <si>
    <t>Krishna Lohia</t>
  </si>
  <si>
    <t xml:space="preserve">Riseonix international </t>
  </si>
  <si>
    <r>
      <rPr>
        <sz val="12"/>
        <color rgb="FF000000"/>
        <rFont val="Times New Roman"/>
      </rPr>
      <t>Kishore Lohia, 133/1, 1</t>
    </r>
    <r>
      <rPr>
        <vertAlign val="superscript"/>
        <sz val="12"/>
        <color rgb="FF000000"/>
        <rFont val="Times New Roman"/>
      </rPr>
      <t>st</t>
    </r>
    <r>
      <rPr>
        <sz val="12"/>
        <color rgb="FF000000"/>
        <rFont val="Times New Roman"/>
      </rPr>
      <t xml:space="preserve"> Floor, 3</t>
    </r>
    <r>
      <rPr>
        <vertAlign val="superscript"/>
        <sz val="12"/>
        <color rgb="FF000000"/>
        <rFont val="Times New Roman"/>
      </rPr>
      <t>rd</t>
    </r>
    <r>
      <rPr>
        <sz val="12"/>
        <color rgb="FF000000"/>
        <rFont val="Times New Roman"/>
      </rPr>
      <t xml:space="preserve"> Cross, Kodhailli, Bengaluru North, Bengaluru, Karnataka-560008</t>
    </r>
  </si>
  <si>
    <t>riseonixinternational@gmail.com</t>
  </si>
  <si>
    <t>Crest Photography-Bengaluru'</t>
  </si>
  <si>
    <t>M.A</t>
  </si>
  <si>
    <t xml:space="preserve">Mr. Mayur Vijay Battinwar </t>
  </si>
  <si>
    <t>Orion Stvdio</t>
  </si>
  <si>
    <t>H.NO 11, Swami Narayan Nagar, Purna Road, Nanded, Teroda Bk, Nanded, Maharashtra, 431605</t>
  </si>
  <si>
    <t xml:space="preserve">: DMAPB8340D </t>
  </si>
  <si>
    <t>battinwar.mayur@gmail.com</t>
  </si>
  <si>
    <t xml:space="preserve">Ruby Sathiyan </t>
  </si>
  <si>
    <t xml:space="preserve">HRaniti Private Ltd </t>
  </si>
  <si>
    <t>D/o Sathyan Residing at Dream Villa, Nooranadu, Palamel, Panayil, Alappuzha, Mavellikara, Kerala, 690504</t>
  </si>
  <si>
    <t>IIFPS0217C</t>
  </si>
  <si>
    <t xml:space="preserve">rubysathiyan091@gmail.com  </t>
  </si>
  <si>
    <t xml:space="preserve">, Harshal Bhatia </t>
  </si>
  <si>
    <t>Terminus Technologies LLP</t>
  </si>
  <si>
    <t>S/o Devendra Bhatia Residing at 1100, 1st Floor, 10th D Cross, Opposite Shankar Mutt, Mahalakshmi Layout, VTC: Mahalakshmipuram Layout, PO : Mahalakshmipuram Layout, District: Bengaluru, State: karnataka, PIN Code: 560086</t>
  </si>
  <si>
    <t>BYSPB8288E</t>
  </si>
  <si>
    <t>h4rsh4lbh@gmail.com</t>
  </si>
  <si>
    <t xml:space="preserve">Shaheer KM </t>
  </si>
  <si>
    <t>TASEEFA</t>
  </si>
  <si>
    <t xml:space="preserve">S/o Modidunny Kunnath Parambil Residing at KunnathParambil - House, Chazhiyattiri-Post, Karukaputhur, Palakkad, Kerala, PIN-679535 </t>
  </si>
  <si>
    <t>FBUPS1435R</t>
  </si>
  <si>
    <t xml:space="preserve">Shehisach@gmail.com  </t>
  </si>
  <si>
    <t>Tamara Realty</t>
  </si>
  <si>
    <t>Apt AW-3, Fern Saroj Apartments, 8th A Main Road, L B Shastry Nagar, VTC: Vimanapura, PO: Vimanapura, District: Bengaluru, State: Karnataka, PIN Code: 560017</t>
  </si>
  <si>
    <t>roop_menon@tamararealty.com</t>
  </si>
  <si>
    <t>Valti Design Solutions LLP</t>
  </si>
  <si>
    <t>S/O/ Tileshwar Prasad Singh, R/O Q.NO-1172, Sector-4/G, Bokaro Steel City, Sector- lv, Bokaro, Jharkhand, 827004</t>
  </si>
  <si>
    <t>admin@valtidesigns.com</t>
  </si>
  <si>
    <t xml:space="preserve">Nitesh Sinha, </t>
  </si>
  <si>
    <t>Calmsparks Tech Pvt. Ltd</t>
  </si>
  <si>
    <t xml:space="preserve">Anil Kumar Sinha
Flat B 803 Block B, August Park, 1st A Cross Rd, Opposite DRDO KG School, Nagavarapalya, C V Raman Nagar, C V Raman Nagar, Bengaluru Karnataka - 560093 </t>
  </si>
  <si>
    <t>CYDPS8920C</t>
  </si>
  <si>
    <t>sinha.nitesh@gmail.com</t>
  </si>
  <si>
    <t>KRADEON INDIA ADVISORY LLP </t>
  </si>
  <si>
    <t>pawar4mail@gmail.com</t>
  </si>
  <si>
    <t>leap Of Faith</t>
  </si>
  <si>
    <t xml:space="preserve">Gokul R S </t>
  </si>
  <si>
    <t xml:space="preserve">MODEX ENGINEERING SOLUTIONS LLP </t>
  </si>
  <si>
    <t>Residing at House No 39/1, First floor, SR Layout, Wind tunnel Road, Murgeshpalya, Bangalore 560017</t>
  </si>
  <si>
    <t>EELPS8518Q</t>
  </si>
  <si>
    <t>Balram Nair</t>
  </si>
  <si>
    <t>Capital Architects</t>
  </si>
  <si>
    <t>S/O Rama Rajan Nair, R/o 204, Life is Beautiful Total Environment Apts, Swagath Road, Bannerghatta Approach Road, Near Sagar Hospital, Jayanagar, 4th T Block East, Bengaluru, Karnataka 560041,</t>
  </si>
  <si>
    <t>ADIPN2844C</t>
  </si>
  <si>
    <t>29-05-2026</t>
  </si>
  <si>
    <t>28-04-2027</t>
  </si>
  <si>
    <t>Chudi Dheerendra Rao</t>
  </si>
  <si>
    <t>THORONDOR BUSINESS SOLUTIONS PRIVATE LIMITED</t>
  </si>
  <si>
    <t>: THORONDOR BUSINESS SOLUTIONS PRIVATE LIMITED through it’s Authorized Signatory Chudi Dheerendra Rao S/o C Prakash Rao Residing at H N O LIG-157 Infantry Road Near Ganesh Temple K H B Colony Nethaji Nagar Bellary Bellary Karnataka - 583104</t>
  </si>
  <si>
    <t>AAJCT4481G</t>
  </si>
  <si>
    <t>Neeta Chandra</t>
  </si>
  <si>
    <t xml:space="preserve">Digilite Techvision  </t>
  </si>
  <si>
    <t>residing at #403, SS Environs, Chelikere Main Road, Kalyan Nagar, Bangalore 560043</t>
  </si>
  <si>
    <t>BUBPS1478N</t>
  </si>
  <si>
    <t xml:space="preserve">Saket Toshniwal and Pawan Toshniwal  </t>
  </si>
  <si>
    <t>BILLION AGI PRIVATE LIMITED</t>
  </si>
  <si>
    <t xml:space="preserve">Prestige Acropolis, 20 Hosur Road, Bengaluru - 560029 </t>
  </si>
  <si>
    <t>AANCB5729R</t>
  </si>
  <si>
    <t>16-05-2027</t>
  </si>
  <si>
    <t>Akhil Dwivedi</t>
  </si>
  <si>
    <t xml:space="preserve">Lunetron web services LLP </t>
  </si>
  <si>
    <t>S/O Krishnanand Dwivedi, R/o Arnica Mont, No. 186/A/2, 7th B Cross, 5th Main Road, Near NCFE School, Malleshpalya, Thippasandra, Bengaluru, Karnataka, 560075</t>
  </si>
  <si>
    <t>EHOPD4515A,</t>
  </si>
  <si>
    <t>Renewal Done R1(VO spaces)</t>
  </si>
  <si>
    <t>Tanay Lohia,</t>
  </si>
  <si>
    <t>MANDRAKE BIOWORKS PRIVATE LIMITED</t>
  </si>
  <si>
    <t xml:space="preserve">Residing at 1st Floor, Imperial Park, Jurani Path, Zoo Road, Guwahati Assam 781005 </t>
  </si>
  <si>
    <t>AOGPL7154N</t>
  </si>
  <si>
    <t>19-04-2026</t>
  </si>
  <si>
    <t>18-03-2027</t>
  </si>
  <si>
    <t>Vijaya Urs</t>
  </si>
  <si>
    <t>NAVEEN SHARATH KUMAR NUGGEHALLI</t>
  </si>
  <si>
    <t>ACEPN6862F</t>
  </si>
  <si>
    <t>29-05-2057</t>
  </si>
  <si>
    <t>insta</t>
  </si>
  <si>
    <t>20-05-2027</t>
  </si>
  <si>
    <t xml:space="preserve">Jayanth Kumar M </t>
  </si>
  <si>
    <t>18-07-2026</t>
  </si>
  <si>
    <t>22-08-2026</t>
  </si>
  <si>
    <t>21-07-2027</t>
  </si>
  <si>
    <t>Argentor Patera Technologies Private Limited</t>
  </si>
  <si>
    <t>MALLWALKER RESEARCH (OPC) PRIVATE LIMITED</t>
  </si>
  <si>
    <t>DD - 2SEAT</t>
  </si>
  <si>
    <t>Capfluent Private Limited</t>
  </si>
  <si>
    <t>Amish Dutta</t>
  </si>
  <si>
    <t>INERTIALABS TECHNOLOGIES PRIVATE LIMITED</t>
  </si>
  <si>
    <t>SpringVille, Villa-5 Citrus Ventures, Kudlu Gate, HSR Layout, Bengaluru, Karnataka</t>
  </si>
  <si>
    <t>HNUPD1551D</t>
  </si>
  <si>
    <t>KAFKO TECHNOLOGIES PRIVATE LIMITED</t>
  </si>
  <si>
    <t>28-09-2026</t>
  </si>
  <si>
    <t>27-08-2027</t>
  </si>
  <si>
    <t>DINAMI GLOBAL LLP</t>
  </si>
  <si>
    <t>ansulagarwal@dinamiglobal.com </t>
  </si>
  <si>
    <t>No of Seaters</t>
  </si>
  <si>
    <t>Rajesh Balachandran</t>
  </si>
  <si>
    <t>Procuco Studios Private Limited</t>
  </si>
  <si>
    <t xml:space="preserve"> raj@procu.co</t>
  </si>
  <si>
    <t>Two men collectives</t>
  </si>
  <si>
    <t>Business Registration Plan (B.R)</t>
  </si>
  <si>
    <t>Hemang Devendrabhai Gorasia</t>
  </si>
  <si>
    <t> BlueNortex (OPC) Private Limited</t>
  </si>
  <si>
    <t>gorasiahemang@gmail.com</t>
  </si>
  <si>
    <t>Sankaran Ramani</t>
  </si>
  <si>
    <t>Acumen Plus</t>
  </si>
  <si>
    <t>98802 80990</t>
  </si>
  <si>
    <t xml:space="preserve"> ramani_s@hotmail.com</t>
  </si>
  <si>
    <t>Ashar Abrar Ansari</t>
  </si>
  <si>
    <t>TENDERLY.CARE PRIVATE LIMITED</t>
  </si>
  <si>
    <t xml:space="preserve">House no -71, Islampura, Behind coperation building, bhiwandi, Amane, Thane, Maharashtra - 421302 </t>
  </si>
  <si>
    <t>Bill Rised</t>
  </si>
  <si>
    <t xml:space="preserve">SUPRAVA ROY    </t>
  </si>
  <si>
    <t>PRAVATI FASHION</t>
  </si>
  <si>
    <t xml:space="preserve">Pravatifashion.official@gmail.com    </t>
  </si>
  <si>
    <t>TruValu</t>
  </si>
  <si>
    <t>23-01-2026</t>
  </si>
  <si>
    <t>22-12-2026</t>
  </si>
  <si>
    <t>GST Registration(G.R)</t>
  </si>
  <si>
    <t xml:space="preserve">Dhemaan Aditya &amp; Soma Aich, </t>
  </si>
  <si>
    <t>OLDFUL HEALTH CARE PLATFORMS LLP</t>
  </si>
  <si>
    <t>OLIFE GLOBAL FASHION (OPC) PRIVATE LIMITED</t>
  </si>
  <si>
    <t>D MERCY </t>
  </si>
  <si>
    <t>ZZZ BUS TRAVELS</t>
  </si>
  <si>
    <t>G.R</t>
  </si>
  <si>
    <t>mercyrajeshmercy@gmail.com</t>
  </si>
  <si>
    <t>WEGA INLAND HAULAGE</t>
  </si>
  <si>
    <t>9611244331;</t>
  </si>
  <si>
    <t>AFFPV7427L;</t>
  </si>
  <si>
    <t>B.R</t>
  </si>
  <si>
    <t>ramaganapathy.venkataramani@gmail.com</t>
  </si>
  <si>
    <t>Telnyx India Private Limited</t>
  </si>
  <si>
    <t>Booking ID GSCA2613</t>
  </si>
  <si>
    <t xml:space="preserve">Shruthi Namdhari </t>
  </si>
  <si>
    <t>TEEWRA PRIVATE LIMITED</t>
  </si>
  <si>
    <t xml:space="preserve">W/O Suresh Namdhari, #314, Kristal Olivine, Oter Ring Road, Near Bengaluru Central Mall, Bellandur, Bengaluru, Karnataka-560103 </t>
  </si>
  <si>
    <t xml:space="preserve">. 97408 89898 </t>
  </si>
  <si>
    <t>BAHPN8574J</t>
  </si>
  <si>
    <t>Business Registartion(B.R)</t>
  </si>
  <si>
    <t>Booking ID GSCA2691</t>
  </si>
  <si>
    <t>Redocumentation Authorized signatory change</t>
  </si>
  <si>
    <t>Mr. Neeraj Sharma</t>
  </si>
  <si>
    <t>SELLIFY RETAIL LLP</t>
  </si>
  <si>
    <t>Yes</t>
  </si>
  <si>
    <t>Recived</t>
  </si>
  <si>
    <t>AL BARAQA GROUP OF INDUSTRIES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</si>
</sst>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9"/>
      <color rgb="FF0B5394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Arial"/>
      <family val="2"/>
    </font>
    <font>
      <sz val="10"/>
      <color rgb="FF0D0D0D"/>
      <name val="Segoe UI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.5"/>
      <color rgb="FF202124"/>
      <name val="Roboto"/>
    </font>
    <font>
      <vertAlign val="superscript"/>
      <sz val="12"/>
      <color theme="1"/>
      <name val="Times New Roman"/>
      <family val="1"/>
    </font>
    <font>
      <sz val="10.5"/>
      <color rgb="FF202124"/>
      <name val="Arial"/>
      <family val="2"/>
    </font>
    <font>
      <sz val="10"/>
      <color rgb="FF375375"/>
      <name val="Georgia"/>
      <family val="1"/>
    </font>
    <font>
      <sz val="7"/>
      <color rgb="FF222222"/>
      <name val="Arial"/>
      <family val="2"/>
    </font>
    <font>
      <sz val="12"/>
      <color rgb="FF222222"/>
      <name val="Arial"/>
      <family val="2"/>
    </font>
    <font>
      <sz val="8"/>
      <color theme="1"/>
      <name val="Roboto"/>
    </font>
    <font>
      <b/>
      <u/>
      <sz val="12"/>
      <color theme="1"/>
      <name val="Times New Roman"/>
      <family val="1"/>
    </font>
    <font>
      <sz val="8"/>
      <color rgb="FF1E22AA"/>
      <name val="Roboto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Arial"/>
      <charset val="1"/>
    </font>
    <font>
      <sz val="11"/>
      <color theme="1"/>
      <name val="Roboto"/>
      <charset val="1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imes New Roman"/>
      <family val="1"/>
    </font>
    <font>
      <b/>
      <sz val="10"/>
      <color rgb="FF0D0D0D"/>
      <name val="Segoe UI"/>
      <family val="2"/>
    </font>
    <font>
      <b/>
      <sz val="9"/>
      <color rgb="FF0B5394"/>
      <name val="Arial"/>
      <family val="2"/>
    </font>
    <font>
      <b/>
      <sz val="12"/>
      <color theme="1"/>
      <name val="Times New Roman"/>
      <family val="1"/>
    </font>
    <font>
      <b/>
      <sz val="10.5"/>
      <color rgb="FF202124"/>
      <name val="Roboto"/>
    </font>
    <font>
      <b/>
      <sz val="9"/>
      <color theme="1"/>
      <name val="Calibri"/>
      <family val="2"/>
      <scheme val="minor"/>
    </font>
    <font>
      <b/>
      <sz val="13.5"/>
      <color rgb="FF0000FF"/>
      <name val="Times New Roman"/>
      <charset val="1"/>
    </font>
    <font>
      <b/>
      <sz val="10"/>
      <color rgb="FF375375"/>
      <name val="Georgia"/>
      <family val="1"/>
    </font>
    <font>
      <sz val="12"/>
      <color rgb="FF000000"/>
      <name val="Arial"/>
      <family val="2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8"/>
      <color theme="1"/>
      <name val="Roboto"/>
    </font>
    <font>
      <sz val="12"/>
      <color rgb="FF000000"/>
      <name val="Times New Roman"/>
    </font>
    <font>
      <vertAlign val="superscript"/>
      <sz val="12"/>
      <color rgb="FF000000"/>
      <name val="Times New Roman"/>
    </font>
    <font>
      <sz val="11"/>
      <color rgb="FF1E22AA"/>
      <name val="Roboto"/>
      <charset val="1"/>
    </font>
    <font>
      <u/>
      <sz val="12"/>
      <color theme="1"/>
      <name val="Times New Roman"/>
      <family val="1"/>
    </font>
    <font>
      <b/>
      <u/>
      <sz val="10"/>
      <color rgb="FF2A2F54"/>
      <name val="Work Sans Medium"/>
      <charset val="1"/>
    </font>
    <font>
      <b/>
      <sz val="10"/>
      <color theme="1"/>
      <name val="Calibri"/>
      <family val="2"/>
      <scheme val="minor"/>
    </font>
    <font>
      <b/>
      <sz val="8"/>
      <color rgb="FF1E22AA"/>
      <name val="Roboto"/>
    </font>
    <font>
      <b/>
      <u/>
      <sz val="11"/>
      <color theme="10"/>
      <name val="Calibri"/>
      <family val="2"/>
      <scheme val="minor"/>
    </font>
    <font>
      <sz val="12"/>
      <color theme="1"/>
      <name val="CIDFont+F1"/>
      <charset val="1"/>
    </font>
    <font>
      <b/>
      <sz val="10"/>
      <color rgb="FF0D0D0D"/>
      <name val="Arial"/>
      <family val="2"/>
    </font>
    <font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u/>
      <sz val="11"/>
      <color theme="1"/>
      <name val="Times New Roman"/>
      <charset val="1"/>
    </font>
    <font>
      <u/>
      <vertAlign val="superscript"/>
      <sz val="11"/>
      <color theme="1"/>
      <name val="Times New Roman"/>
      <charset val="1"/>
    </font>
    <font>
      <sz val="11"/>
      <color theme="1"/>
      <name val="Calibri"/>
      <charset val="1"/>
    </font>
    <font>
      <sz val="12"/>
      <color theme="1"/>
      <name val="Times New Roman"/>
      <charset val="1"/>
    </font>
    <font>
      <vertAlign val="superscript"/>
      <sz val="12"/>
      <color theme="1"/>
      <name val="Times New Roman"/>
      <charset val="1"/>
    </font>
    <font>
      <sz val="13.5"/>
      <color rgb="FF0000FF"/>
      <name val="Segoe UI"/>
    </font>
    <font>
      <sz val="13.5"/>
      <color rgb="FF0000FF"/>
      <name val="Calibri"/>
    </font>
    <font>
      <b/>
      <sz val="12"/>
      <color rgb="FF000000"/>
      <name val="Segoe UI"/>
    </font>
    <font>
      <b/>
      <sz val="12"/>
      <color rgb="FF242424"/>
      <name val="Segoe UI"/>
    </font>
    <font>
      <sz val="11"/>
      <color rgb="FF1C4587"/>
      <name val="Calibri"/>
      <family val="2"/>
      <scheme val="minor"/>
    </font>
    <font>
      <sz val="12"/>
      <color rgb="FF242424"/>
      <name val="Segoe UI"/>
      <charset val="1"/>
    </font>
    <font>
      <sz val="10.5"/>
      <color rgb="FF202124"/>
      <name val="Calibri"/>
      <scheme val="minor"/>
    </font>
    <font>
      <sz val="9"/>
      <color rgb="FF0B5394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Roboto"/>
      <charset val="1"/>
    </font>
    <font>
      <b/>
      <sz val="11"/>
      <color rgb="FF1E22AA"/>
      <name val="Roboto"/>
      <charset val="1"/>
    </font>
    <font>
      <sz val="12"/>
      <color theme="1"/>
      <name val="Cambria"/>
      <charset val="1"/>
    </font>
    <font>
      <u/>
      <sz val="12"/>
      <color theme="1"/>
      <name val="Cambria"/>
      <charset val="1"/>
    </font>
    <font>
      <sz val="10"/>
      <color theme="1"/>
      <name val="Times New Roman"/>
      <charset val="1"/>
    </font>
    <font>
      <sz val="11"/>
      <color theme="1"/>
      <name val="Arial"/>
      <charset val="1"/>
    </font>
    <font>
      <sz val="10"/>
      <color theme="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F4FB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8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2" fontId="3" fillId="0" borderId="0" xfId="0" applyNumberFormat="1" applyFont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wrapText="1"/>
    </xf>
    <xf numFmtId="14" fontId="0" fillId="0" borderId="13" xfId="0" applyNumberForma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vertical="center" wrapText="1"/>
    </xf>
    <xf numFmtId="0" fontId="0" fillId="2" borderId="13" xfId="0" applyFill="1" applyBorder="1" applyAlignment="1">
      <alignment wrapText="1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0" fillId="2" borderId="13" xfId="0" applyNumberFormat="1" applyFill="1" applyBorder="1" applyAlignment="1">
      <alignment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17" fontId="0" fillId="0" borderId="0" xfId="0" applyNumberFormat="1"/>
    <xf numFmtId="0" fontId="0" fillId="0" borderId="16" xfId="0" applyBorder="1" applyAlignment="1">
      <alignment vertical="center"/>
    </xf>
    <xf numFmtId="0" fontId="4" fillId="0" borderId="0" xfId="1"/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7" fillId="0" borderId="0" xfId="0" applyFont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8" fillId="0" borderId="17" xfId="0" applyFont="1" applyBorder="1" applyAlignment="1">
      <alignment wrapText="1"/>
    </xf>
    <xf numFmtId="0" fontId="5" fillId="0" borderId="1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11" fillId="0" borderId="1" xfId="0" applyFont="1" applyBorder="1" applyAlignment="1">
      <alignment horizontal="center" vertical="center"/>
    </xf>
    <xf numFmtId="17" fontId="0" fillId="0" borderId="1" xfId="0" applyNumberFormat="1" applyBorder="1"/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13" fillId="0" borderId="1" xfId="0" applyFont="1" applyBorder="1" applyAlignment="1">
      <alignment vertical="center"/>
    </xf>
    <xf numFmtId="0" fontId="20" fillId="0" borderId="0" xfId="0" applyFont="1"/>
    <xf numFmtId="0" fontId="3" fillId="0" borderId="24" xfId="0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4" fillId="0" borderId="0" xfId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8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0" fillId="0" borderId="1" xfId="0" applyFont="1" applyBorder="1"/>
    <xf numFmtId="0" fontId="0" fillId="0" borderId="6" xfId="0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vertical="center"/>
    </xf>
    <xf numFmtId="0" fontId="0" fillId="0" borderId="13" xfId="0" applyBorder="1" applyAlignment="1">
      <alignment vertical="top" wrapText="1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14" fontId="0" fillId="0" borderId="26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vertical="center" wrapText="1"/>
    </xf>
    <xf numFmtId="0" fontId="0" fillId="0" borderId="26" xfId="0" applyBorder="1" applyAlignment="1">
      <alignment vertical="center"/>
    </xf>
    <xf numFmtId="14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5" fillId="0" borderId="26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14" fontId="0" fillId="0" borderId="26" xfId="0" applyNumberFormat="1" applyBorder="1" applyAlignment="1">
      <alignment vertical="center"/>
    </xf>
    <xf numFmtId="0" fontId="0" fillId="0" borderId="26" xfId="0" applyBorder="1" applyAlignment="1">
      <alignment wrapText="1"/>
    </xf>
    <xf numFmtId="0" fontId="0" fillId="2" borderId="26" xfId="0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14" fontId="0" fillId="2" borderId="26" xfId="0" applyNumberFormat="1" applyFill="1" applyBorder="1" applyAlignment="1">
      <alignment vertical="center"/>
    </xf>
    <xf numFmtId="0" fontId="16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19" fillId="0" borderId="26" xfId="0" applyFont="1" applyBorder="1"/>
    <xf numFmtId="0" fontId="21" fillId="0" borderId="26" xfId="0" applyFont="1" applyBorder="1" applyAlignment="1">
      <alignment vertical="center"/>
    </xf>
    <xf numFmtId="0" fontId="0" fillId="3" borderId="26" xfId="0" applyFill="1" applyBorder="1" applyAlignment="1">
      <alignment horizontal="center" vertical="center" wrapText="1"/>
    </xf>
    <xf numFmtId="0" fontId="14" fillId="0" borderId="26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/>
    <xf numFmtId="0" fontId="0" fillId="0" borderId="28" xfId="0" applyBorder="1" applyAlignment="1">
      <alignment vertical="center"/>
    </xf>
    <xf numFmtId="0" fontId="9" fillId="0" borderId="26" xfId="0" applyFont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4" fontId="0" fillId="0" borderId="26" xfId="0" quotePrefix="1" applyNumberFormat="1" applyBorder="1" applyAlignment="1">
      <alignment vertical="center"/>
    </xf>
    <xf numFmtId="0" fontId="0" fillId="0" borderId="12" xfId="0" applyBorder="1" applyAlignment="1">
      <alignment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14" fontId="0" fillId="0" borderId="16" xfId="0" applyNumberFormat="1" applyBorder="1" applyAlignment="1">
      <alignment vertical="center"/>
    </xf>
    <xf numFmtId="0" fontId="3" fillId="0" borderId="0" xfId="0" applyFont="1"/>
    <xf numFmtId="14" fontId="0" fillId="0" borderId="28" xfId="0" applyNumberForma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2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0" borderId="26" xfId="1" applyBorder="1" applyAlignment="1">
      <alignment horizontal="center" vertical="center"/>
    </xf>
    <xf numFmtId="0" fontId="0" fillId="0" borderId="26" xfId="0" quotePrefix="1" applyBorder="1" applyAlignment="1">
      <alignment vertical="center"/>
    </xf>
    <xf numFmtId="0" fontId="12" fillId="0" borderId="26" xfId="0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14" fontId="0" fillId="0" borderId="12" xfId="0" applyNumberFormat="1" applyBorder="1" applyAlignment="1">
      <alignment vertical="center"/>
    </xf>
    <xf numFmtId="0" fontId="0" fillId="2" borderId="26" xfId="0" applyFill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43" fontId="0" fillId="0" borderId="13" xfId="0" applyNumberForma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wrapText="1"/>
    </xf>
    <xf numFmtId="0" fontId="4" fillId="0" borderId="26" xfId="1" applyBorder="1"/>
    <xf numFmtId="17" fontId="0" fillId="0" borderId="26" xfId="0" applyNumberFormat="1" applyBorder="1"/>
    <xf numFmtId="0" fontId="3" fillId="0" borderId="26" xfId="0" applyFont="1" applyBorder="1" applyAlignment="1">
      <alignment wrapText="1"/>
    </xf>
    <xf numFmtId="14" fontId="0" fillId="0" borderId="13" xfId="0" applyNumberForma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11" fillId="0" borderId="2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17" fontId="0" fillId="0" borderId="26" xfId="0" applyNumberFormat="1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26" xfId="0" applyBorder="1" applyAlignment="1">
      <alignment horizontal="left" wrapText="1"/>
    </xf>
    <xf numFmtId="0" fontId="0" fillId="0" borderId="26" xfId="0" applyBorder="1" applyAlignment="1">
      <alignment horizontal="center" wrapText="1"/>
    </xf>
    <xf numFmtId="0" fontId="5" fillId="0" borderId="26" xfId="0" applyFont="1" applyBorder="1" applyAlignment="1">
      <alignment horizontal="center" vertical="center" wrapText="1"/>
    </xf>
    <xf numFmtId="0" fontId="0" fillId="2" borderId="26" xfId="0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8" fillId="0" borderId="13" xfId="0" applyFont="1" applyBorder="1" applyAlignment="1">
      <alignment vertical="center" wrapText="1"/>
    </xf>
    <xf numFmtId="0" fontId="0" fillId="0" borderId="34" xfId="0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/>
    </xf>
    <xf numFmtId="0" fontId="6" fillId="0" borderId="17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/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2" fillId="0" borderId="26" xfId="0" applyFont="1" applyBorder="1" applyAlignment="1">
      <alignment wrapText="1"/>
    </xf>
    <xf numFmtId="0" fontId="32" fillId="0" borderId="0" xfId="0" applyFont="1"/>
    <xf numFmtId="0" fontId="0" fillId="0" borderId="26" xfId="0" applyBorder="1" applyAlignment="1">
      <alignment horizontal="left"/>
    </xf>
    <xf numFmtId="0" fontId="0" fillId="0" borderId="28" xfId="0" applyBorder="1" applyAlignment="1">
      <alignment horizontal="center"/>
    </xf>
    <xf numFmtId="14" fontId="0" fillId="0" borderId="28" xfId="0" applyNumberFormat="1" applyBorder="1" applyAlignment="1">
      <alignment vertical="center"/>
    </xf>
    <xf numFmtId="0" fontId="32" fillId="0" borderId="26" xfId="0" applyFont="1" applyBorder="1"/>
    <xf numFmtId="0" fontId="4" fillId="0" borderId="26" xfId="1" applyBorder="1" applyAlignment="1">
      <alignment horizontal="center" vertical="center" wrapText="1"/>
    </xf>
    <xf numFmtId="0" fontId="32" fillId="0" borderId="1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35" fillId="0" borderId="8" xfId="0" applyFont="1" applyBorder="1" applyAlignment="1">
      <alignment wrapText="1"/>
    </xf>
    <xf numFmtId="0" fontId="27" fillId="0" borderId="8" xfId="0" applyFont="1" applyBorder="1"/>
    <xf numFmtId="0" fontId="12" fillId="0" borderId="8" xfId="0" applyFont="1" applyBorder="1" applyAlignment="1">
      <alignment wrapText="1"/>
    </xf>
    <xf numFmtId="14" fontId="32" fillId="0" borderId="8" xfId="0" applyNumberFormat="1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34" fillId="0" borderId="0" xfId="0" applyFont="1" applyAlignment="1">
      <alignment horizontal="center" vertical="center"/>
    </xf>
    <xf numFmtId="0" fontId="34" fillId="0" borderId="26" xfId="0" applyFont="1" applyBorder="1" applyAlignment="1">
      <alignment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3" fillId="0" borderId="0" xfId="0" applyFont="1" applyAlignment="1">
      <alignment wrapText="1"/>
    </xf>
    <xf numFmtId="0" fontId="0" fillId="0" borderId="1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6" fillId="0" borderId="32" xfId="0" applyFont="1" applyBorder="1" applyAlignment="1">
      <alignment vertical="center" wrapText="1"/>
    </xf>
    <xf numFmtId="14" fontId="0" fillId="0" borderId="32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14" fontId="0" fillId="0" borderId="26" xfId="0" applyNumberFormat="1" applyBorder="1"/>
    <xf numFmtId="0" fontId="36" fillId="0" borderId="0" xfId="0" applyFont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wrapText="1"/>
    </xf>
    <xf numFmtId="0" fontId="3" fillId="0" borderId="13" xfId="0" applyFont="1" applyBorder="1" applyAlignment="1">
      <alignment horizontal="center"/>
    </xf>
    <xf numFmtId="0" fontId="37" fillId="0" borderId="1" xfId="0" applyFont="1" applyBorder="1" applyAlignment="1">
      <alignment vertical="center" wrapText="1"/>
    </xf>
    <xf numFmtId="14" fontId="3" fillId="0" borderId="13" xfId="0" applyNumberFormat="1" applyFont="1" applyBorder="1" applyAlignment="1">
      <alignment vertical="center"/>
    </xf>
    <xf numFmtId="0" fontId="3" fillId="0" borderId="20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31" fillId="5" borderId="0" xfId="0" applyFont="1" applyFill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39" fillId="0" borderId="26" xfId="0" applyFont="1" applyBorder="1" applyAlignment="1">
      <alignment vertical="center"/>
    </xf>
    <xf numFmtId="0" fontId="40" fillId="0" borderId="26" xfId="0" applyFont="1" applyBorder="1" applyAlignment="1">
      <alignment horizontal="center" vertical="center" wrapText="1"/>
    </xf>
    <xf numFmtId="14" fontId="3" fillId="0" borderId="26" xfId="0" applyNumberFormat="1" applyFont="1" applyBorder="1" applyAlignment="1">
      <alignment vertical="center"/>
    </xf>
    <xf numFmtId="0" fontId="41" fillId="0" borderId="0" xfId="0" applyFont="1"/>
    <xf numFmtId="0" fontId="32" fillId="0" borderId="4" xfId="0" applyFont="1" applyBorder="1"/>
    <xf numFmtId="0" fontId="35" fillId="0" borderId="1" xfId="0" applyFont="1" applyBorder="1" applyAlignment="1">
      <alignment wrapText="1"/>
    </xf>
    <xf numFmtId="0" fontId="32" fillId="0" borderId="1" xfId="0" applyFont="1" applyBorder="1"/>
    <xf numFmtId="14" fontId="32" fillId="0" borderId="1" xfId="0" applyNumberFormat="1" applyFont="1" applyBorder="1"/>
    <xf numFmtId="0" fontId="32" fillId="0" borderId="19" xfId="0" applyFont="1" applyBorder="1"/>
    <xf numFmtId="0" fontId="32" fillId="0" borderId="5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2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 wrapText="1"/>
    </xf>
    <xf numFmtId="0" fontId="4" fillId="0" borderId="26" xfId="1" applyBorder="1" applyAlignment="1">
      <alignment wrapText="1"/>
    </xf>
    <xf numFmtId="0" fontId="0" fillId="0" borderId="16" xfId="0" applyBorder="1" applyAlignment="1">
      <alignment horizontal="center" wrapText="1"/>
    </xf>
    <xf numFmtId="0" fontId="4" fillId="0" borderId="29" xfId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14" xfId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22" fillId="0" borderId="26" xfId="0" applyFont="1" applyBorder="1" applyAlignment="1">
      <alignment horizontal="center"/>
    </xf>
    <xf numFmtId="17" fontId="0" fillId="0" borderId="26" xfId="0" applyNumberFormat="1" applyBorder="1" applyAlignment="1">
      <alignment horizontal="center"/>
    </xf>
    <xf numFmtId="0" fontId="31" fillId="0" borderId="26" xfId="0" applyFont="1" applyBorder="1" applyAlignment="1">
      <alignment wrapText="1"/>
    </xf>
    <xf numFmtId="0" fontId="4" fillId="0" borderId="26" xfId="1" applyBorder="1" applyAlignment="1">
      <alignment vertical="center" wrapText="1"/>
    </xf>
    <xf numFmtId="0" fontId="13" fillId="0" borderId="19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4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3" fillId="0" borderId="19" xfId="0" applyFont="1" applyBorder="1" applyAlignment="1">
      <alignment vertical="center"/>
    </xf>
    <xf numFmtId="0" fontId="40" fillId="0" borderId="1" xfId="0" applyFont="1" applyBorder="1" applyAlignment="1">
      <alignment horizontal="center" vertical="center" wrapText="1"/>
    </xf>
    <xf numFmtId="0" fontId="38" fillId="0" borderId="26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wrapText="1"/>
    </xf>
    <xf numFmtId="0" fontId="3" fillId="2" borderId="13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14" fontId="3" fillId="2" borderId="13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6" borderId="13" xfId="0" applyFill="1" applyBorder="1" applyAlignment="1">
      <alignment vertical="center"/>
    </xf>
    <xf numFmtId="0" fontId="0" fillId="6" borderId="13" xfId="0" applyFill="1" applyBorder="1" applyAlignment="1">
      <alignment vertical="center" wrapText="1"/>
    </xf>
    <xf numFmtId="0" fontId="0" fillId="6" borderId="13" xfId="0" applyFill="1" applyBorder="1" applyAlignment="1">
      <alignment wrapText="1"/>
    </xf>
    <xf numFmtId="0" fontId="0" fillId="6" borderId="13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0" fillId="6" borderId="13" xfId="0" applyNumberForma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14" fontId="0" fillId="0" borderId="26" xfId="0" applyNumberFormat="1" applyBorder="1" applyAlignment="1">
      <alignment wrapText="1"/>
    </xf>
    <xf numFmtId="0" fontId="3" fillId="0" borderId="1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left" vertical="center" wrapText="1"/>
    </xf>
    <xf numFmtId="0" fontId="38" fillId="0" borderId="17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wrapText="1"/>
    </xf>
    <xf numFmtId="0" fontId="44" fillId="0" borderId="26" xfId="0" applyFont="1" applyBorder="1" applyAlignment="1">
      <alignment vertical="center" wrapText="1"/>
    </xf>
    <xf numFmtId="14" fontId="3" fillId="0" borderId="26" xfId="0" applyNumberFormat="1" applyFont="1" applyBorder="1" applyAlignment="1">
      <alignment horizontal="center" vertical="center"/>
    </xf>
    <xf numFmtId="0" fontId="0" fillId="3" borderId="26" xfId="0" applyFill="1" applyBorder="1" applyAlignment="1">
      <alignment horizontal="left" vertical="center" wrapText="1"/>
    </xf>
    <xf numFmtId="0" fontId="0" fillId="4" borderId="26" xfId="0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14" fontId="24" fillId="0" borderId="26" xfId="0" applyNumberFormat="1" applyFont="1" applyBorder="1" applyAlignment="1">
      <alignment horizontal="center" vertical="center" wrapText="1"/>
    </xf>
    <xf numFmtId="3" fontId="0" fillId="0" borderId="26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37" fillId="0" borderId="26" xfId="0" applyFont="1" applyBorder="1" applyAlignment="1">
      <alignment vertical="center" wrapText="1"/>
    </xf>
    <xf numFmtId="0" fontId="47" fillId="0" borderId="0" xfId="0" applyFont="1"/>
    <xf numFmtId="0" fontId="0" fillId="0" borderId="28" xfId="0" applyBorder="1" applyAlignment="1">
      <alignment wrapText="1"/>
    </xf>
    <xf numFmtId="14" fontId="0" fillId="0" borderId="28" xfId="0" applyNumberFormat="1" applyBorder="1"/>
    <xf numFmtId="0" fontId="4" fillId="0" borderId="28" xfId="1" applyBorder="1"/>
    <xf numFmtId="0" fontId="3" fillId="0" borderId="4" xfId="0" applyFont="1" applyBorder="1" applyAlignment="1">
      <alignment horizontal="center" vertical="center"/>
    </xf>
    <xf numFmtId="0" fontId="44" fillId="0" borderId="1" xfId="0" applyFont="1" applyBorder="1" applyAlignment="1">
      <alignment vertical="center" wrapText="1"/>
    </xf>
    <xf numFmtId="0" fontId="38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7" fillId="0" borderId="13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4" fillId="0" borderId="1" xfId="0" applyFont="1" applyBorder="1" applyAlignment="1">
      <alignment wrapText="1"/>
    </xf>
    <xf numFmtId="0" fontId="11" fillId="0" borderId="26" xfId="0" applyFont="1" applyBorder="1" applyAlignment="1">
      <alignment horizontal="center"/>
    </xf>
    <xf numFmtId="0" fontId="3" fillId="6" borderId="26" xfId="0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4" fillId="0" borderId="28" xfId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wrapText="1"/>
    </xf>
    <xf numFmtId="0" fontId="0" fillId="0" borderId="32" xfId="0" applyBorder="1"/>
    <xf numFmtId="0" fontId="48" fillId="0" borderId="0" xfId="0" applyFont="1"/>
    <xf numFmtId="0" fontId="4" fillId="0" borderId="5" xfId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50" fillId="0" borderId="0" xfId="0" applyFont="1"/>
    <xf numFmtId="0" fontId="37" fillId="0" borderId="0" xfId="0" applyFont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0" borderId="1" xfId="0" applyFont="1" applyBorder="1"/>
    <xf numFmtId="0" fontId="0" fillId="0" borderId="28" xfId="0" applyBorder="1" applyAlignment="1">
      <alignment horizontal="center" wrapText="1"/>
    </xf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wrapText="1"/>
    </xf>
    <xf numFmtId="0" fontId="31" fillId="0" borderId="0" xfId="0" applyFont="1"/>
    <xf numFmtId="0" fontId="51" fillId="0" borderId="26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0" xfId="0" applyFill="1"/>
    <xf numFmtId="0" fontId="53" fillId="0" borderId="13" xfId="0" applyFont="1" applyBorder="1" applyAlignment="1">
      <alignment vertical="center" wrapText="1"/>
    </xf>
    <xf numFmtId="2" fontId="3" fillId="0" borderId="26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55" fillId="0" borderId="0" xfId="1" applyFont="1"/>
    <xf numFmtId="0" fontId="14" fillId="0" borderId="28" xfId="0" applyFont="1" applyBorder="1" applyAlignment="1">
      <alignment vertical="center"/>
    </xf>
    <xf numFmtId="0" fontId="56" fillId="0" borderId="0" xfId="0" applyFont="1" applyAlignment="1">
      <alignment wrapText="1"/>
    </xf>
    <xf numFmtId="2" fontId="3" fillId="0" borderId="26" xfId="0" applyNumberFormat="1" applyFont="1" applyBorder="1"/>
    <xf numFmtId="14" fontId="6" fillId="0" borderId="2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5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" fillId="0" borderId="26" xfId="0" applyFont="1" applyBorder="1" applyAlignment="1">
      <alignment horizontal="left" wrapText="1"/>
    </xf>
    <xf numFmtId="0" fontId="7" fillId="0" borderId="28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12" xfId="0" applyNumberFormat="1" applyFont="1" applyBorder="1" applyAlignment="1">
      <alignment vertical="center"/>
    </xf>
    <xf numFmtId="0" fontId="34" fillId="0" borderId="0" xfId="0" applyFont="1"/>
    <xf numFmtId="14" fontId="3" fillId="0" borderId="26" xfId="0" applyNumberFormat="1" applyFont="1" applyBorder="1"/>
    <xf numFmtId="0" fontId="0" fillId="0" borderId="15" xfId="0" applyBorder="1" applyAlignment="1">
      <alignment horizontal="center" vertical="center"/>
    </xf>
    <xf numFmtId="0" fontId="55" fillId="0" borderId="26" xfId="1" applyFont="1" applyBorder="1" applyAlignment="1">
      <alignment wrapText="1"/>
    </xf>
    <xf numFmtId="14" fontId="0" fillId="0" borderId="27" xfId="0" applyNumberForma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3" fillId="0" borderId="26" xfId="0" applyFont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17" fontId="3" fillId="0" borderId="26" xfId="0" applyNumberFormat="1" applyFont="1" applyBorder="1"/>
    <xf numFmtId="0" fontId="25" fillId="0" borderId="26" xfId="0" applyFont="1" applyBorder="1" applyAlignment="1">
      <alignment horizontal="center" vertical="center" wrapText="1"/>
    </xf>
    <xf numFmtId="14" fontId="0" fillId="0" borderId="26" xfId="0" quotePrefix="1" applyNumberForma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 wrapText="1"/>
    </xf>
    <xf numFmtId="0" fontId="14" fillId="0" borderId="26" xfId="0" applyFont="1" applyBorder="1"/>
    <xf numFmtId="0" fontId="33" fillId="0" borderId="26" xfId="0" applyFont="1" applyBorder="1" applyAlignment="1">
      <alignment wrapText="1"/>
    </xf>
    <xf numFmtId="0" fontId="6" fillId="0" borderId="26" xfId="0" applyFont="1" applyBorder="1" applyAlignment="1">
      <alignment wrapText="1"/>
    </xf>
    <xf numFmtId="14" fontId="32" fillId="0" borderId="26" xfId="0" applyNumberFormat="1" applyFont="1" applyBorder="1"/>
    <xf numFmtId="0" fontId="3" fillId="0" borderId="26" xfId="0" applyFont="1" applyBorder="1" applyAlignment="1">
      <alignment horizontal="left"/>
    </xf>
    <xf numFmtId="0" fontId="52" fillId="0" borderId="26" xfId="0" applyFont="1" applyBorder="1"/>
    <xf numFmtId="0" fontId="8" fillId="0" borderId="28" xfId="0" applyFont="1" applyBorder="1" applyAlignment="1">
      <alignment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58" fillId="0" borderId="0" xfId="0" applyFont="1"/>
    <xf numFmtId="2" fontId="3" fillId="0" borderId="0" xfId="0" applyNumberFormat="1" applyFont="1" applyAlignment="1">
      <alignment horizontal="center"/>
    </xf>
    <xf numFmtId="14" fontId="29" fillId="0" borderId="26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26" xfId="0" quotePrefix="1" applyFont="1" applyBorder="1" applyAlignment="1">
      <alignment vertical="center"/>
    </xf>
    <xf numFmtId="0" fontId="59" fillId="0" borderId="26" xfId="0" applyFont="1" applyBorder="1"/>
    <xf numFmtId="0" fontId="55" fillId="0" borderId="26" xfId="1" applyFont="1" applyBorder="1" applyAlignment="1">
      <alignment horizontal="center" vertical="center" wrapText="1"/>
    </xf>
    <xf numFmtId="14" fontId="3" fillId="0" borderId="26" xfId="0" quotePrefix="1" applyNumberFormat="1" applyFont="1" applyBorder="1" applyAlignment="1">
      <alignment horizontal="center" vertical="center"/>
    </xf>
    <xf numFmtId="0" fontId="60" fillId="0" borderId="0" xfId="0" applyFont="1"/>
    <xf numFmtId="0" fontId="62" fillId="0" borderId="0" xfId="0" applyFont="1"/>
    <xf numFmtId="0" fontId="62" fillId="0" borderId="26" xfId="0" applyFont="1" applyBorder="1"/>
    <xf numFmtId="0" fontId="63" fillId="0" borderId="26" xfId="0" applyFont="1" applyBorder="1"/>
    <xf numFmtId="0" fontId="0" fillId="7" borderId="26" xfId="0" applyFill="1" applyBorder="1" applyAlignment="1">
      <alignment horizontal="center"/>
    </xf>
    <xf numFmtId="0" fontId="0" fillId="7" borderId="26" xfId="0" applyFill="1" applyBorder="1" applyAlignment="1">
      <alignment horizontal="center" wrapText="1"/>
    </xf>
    <xf numFmtId="0" fontId="0" fillId="7" borderId="26" xfId="0" applyFill="1" applyBorder="1"/>
    <xf numFmtId="0" fontId="0" fillId="7" borderId="26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/>
    </xf>
    <xf numFmtId="0" fontId="0" fillId="3" borderId="2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wrapText="1"/>
    </xf>
    <xf numFmtId="0" fontId="0" fillId="3" borderId="28" xfId="0" applyFill="1" applyBorder="1"/>
    <xf numFmtId="0" fontId="0" fillId="3" borderId="26" xfId="0" applyFill="1" applyBorder="1" applyAlignment="1">
      <alignment horizontal="center"/>
    </xf>
    <xf numFmtId="0" fontId="0" fillId="3" borderId="26" xfId="0" applyFill="1" applyBorder="1" applyAlignment="1">
      <alignment horizontal="center" wrapText="1"/>
    </xf>
    <xf numFmtId="0" fontId="0" fillId="3" borderId="26" xfId="0" applyFill="1" applyBorder="1"/>
    <xf numFmtId="0" fontId="67" fillId="0" borderId="0" xfId="0" applyFont="1"/>
    <xf numFmtId="0" fontId="2" fillId="0" borderId="26" xfId="0" applyFont="1" applyBorder="1"/>
    <xf numFmtId="0" fontId="3" fillId="0" borderId="28" xfId="0" applyFont="1" applyBorder="1" applyAlignment="1">
      <alignment horizontal="center"/>
    </xf>
    <xf numFmtId="0" fontId="3" fillId="0" borderId="28" xfId="0" applyFont="1" applyBorder="1"/>
    <xf numFmtId="14" fontId="3" fillId="0" borderId="26" xfId="0" applyNumberFormat="1" applyFont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71" fillId="0" borderId="26" xfId="0" applyFont="1" applyBorder="1" applyAlignment="1">
      <alignment vertical="center"/>
    </xf>
    <xf numFmtId="0" fontId="72" fillId="0" borderId="26" xfId="0" applyFont="1" applyBorder="1" applyAlignment="1">
      <alignment horizontal="center" vertical="center" wrapText="1"/>
    </xf>
    <xf numFmtId="0" fontId="73" fillId="0" borderId="26" xfId="0" applyFont="1" applyBorder="1" applyAlignment="1">
      <alignment horizontal="center" vertical="center" wrapText="1"/>
    </xf>
    <xf numFmtId="0" fontId="73" fillId="0" borderId="26" xfId="0" applyFont="1" applyBorder="1" applyAlignment="1">
      <alignment horizontal="center" vertical="center"/>
    </xf>
    <xf numFmtId="0" fontId="73" fillId="0" borderId="26" xfId="0" applyFont="1" applyBorder="1" applyAlignment="1">
      <alignment vertical="center" wrapText="1"/>
    </xf>
    <xf numFmtId="0" fontId="73" fillId="0" borderId="26" xfId="0" applyFont="1" applyBorder="1" applyAlignment="1">
      <alignment vertical="center"/>
    </xf>
    <xf numFmtId="14" fontId="73" fillId="0" borderId="26" xfId="0" applyNumberFormat="1" applyFont="1" applyBorder="1" applyAlignment="1">
      <alignment vertical="center"/>
    </xf>
    <xf numFmtId="0" fontId="73" fillId="0" borderId="26" xfId="0" applyFont="1" applyBorder="1"/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 wrapText="1"/>
    </xf>
    <xf numFmtId="0" fontId="3" fillId="0" borderId="28" xfId="0" applyFont="1" applyBorder="1" applyAlignment="1">
      <alignment vertical="center"/>
    </xf>
    <xf numFmtId="0" fontId="3" fillId="0" borderId="28" xfId="0" quotePrefix="1" applyFont="1" applyBorder="1" applyAlignment="1">
      <alignment vertical="center"/>
    </xf>
    <xf numFmtId="14" fontId="3" fillId="0" borderId="26" xfId="0" quotePrefix="1" applyNumberFormat="1" applyFont="1" applyBorder="1" applyAlignment="1">
      <alignment vertical="center"/>
    </xf>
    <xf numFmtId="0" fontId="4" fillId="0" borderId="20" xfId="1" applyBorder="1" applyAlignment="1">
      <alignment horizontal="center" vertical="center" wrapText="1"/>
    </xf>
    <xf numFmtId="0" fontId="31" fillId="0" borderId="0" xfId="0" applyFont="1" applyAlignment="1">
      <alignment wrapText="1"/>
    </xf>
    <xf numFmtId="0" fontId="0" fillId="3" borderId="26" xfId="0" applyFill="1" applyBorder="1" applyAlignment="1">
      <alignment horizontal="center" vertical="center"/>
    </xf>
    <xf numFmtId="0" fontId="0" fillId="3" borderId="26" xfId="0" applyFill="1" applyBorder="1" applyAlignment="1">
      <alignment vertical="center" wrapText="1"/>
    </xf>
    <xf numFmtId="14" fontId="0" fillId="3" borderId="26" xfId="0" applyNumberFormat="1" applyFill="1" applyBorder="1" applyAlignment="1">
      <alignment vertical="center"/>
    </xf>
    <xf numFmtId="0" fontId="0" fillId="3" borderId="26" xfId="0" applyFill="1" applyBorder="1" applyAlignment="1">
      <alignment wrapText="1"/>
    </xf>
    <xf numFmtId="0" fontId="31" fillId="0" borderId="26" xfId="0" applyFont="1" applyBorder="1"/>
    <xf numFmtId="0" fontId="50" fillId="0" borderId="26" xfId="0" applyFont="1" applyBorder="1"/>
    <xf numFmtId="0" fontId="50" fillId="8" borderId="26" xfId="0" applyFont="1" applyFill="1" applyBorder="1" applyAlignment="1">
      <alignment wrapText="1"/>
    </xf>
    <xf numFmtId="0" fontId="3" fillId="0" borderId="28" xfId="0" applyFont="1" applyBorder="1" applyAlignment="1">
      <alignment wrapText="1"/>
    </xf>
    <xf numFmtId="0" fontId="3" fillId="0" borderId="32" xfId="0" applyFont="1" applyBorder="1"/>
    <xf numFmtId="0" fontId="74" fillId="0" borderId="26" xfId="0" applyFont="1" applyBorder="1"/>
    <xf numFmtId="0" fontId="74" fillId="0" borderId="26" xfId="0" applyFont="1" applyBorder="1" applyAlignment="1">
      <alignment wrapText="1"/>
    </xf>
    <xf numFmtId="0" fontId="75" fillId="0" borderId="26" xfId="0" applyFont="1" applyBorder="1"/>
    <xf numFmtId="0" fontId="3" fillId="0" borderId="28" xfId="0" applyFont="1" applyBorder="1" applyAlignment="1">
      <alignment horizontal="left" vertical="center" wrapText="1"/>
    </xf>
    <xf numFmtId="0" fontId="40" fillId="0" borderId="28" xfId="0" applyFont="1" applyBorder="1" applyAlignment="1">
      <alignment horizontal="center" vertical="center" wrapText="1"/>
    </xf>
    <xf numFmtId="14" fontId="3" fillId="0" borderId="28" xfId="0" applyNumberFormat="1" applyFont="1" applyBorder="1" applyAlignment="1">
      <alignment vertical="center"/>
    </xf>
    <xf numFmtId="0" fontId="76" fillId="0" borderId="26" xfId="0" applyFont="1" applyBorder="1" applyAlignment="1">
      <alignment wrapText="1"/>
    </xf>
    <xf numFmtId="0" fontId="77" fillId="0" borderId="26" xfId="0" applyFont="1" applyBorder="1" applyAlignment="1">
      <alignment wrapText="1"/>
    </xf>
    <xf numFmtId="0" fontId="63" fillId="0" borderId="26" xfId="0" applyFont="1" applyBorder="1" applyAlignment="1">
      <alignment wrapText="1"/>
    </xf>
    <xf numFmtId="0" fontId="69" fillId="0" borderId="26" xfId="0" applyFont="1" applyBorder="1" applyAlignment="1">
      <alignment wrapText="1"/>
    </xf>
    <xf numFmtId="0" fontId="70" fillId="0" borderId="26" xfId="0" applyFont="1" applyBorder="1" applyAlignment="1">
      <alignment wrapText="1"/>
    </xf>
    <xf numFmtId="14" fontId="0" fillId="0" borderId="26" xfId="0" applyNumberFormat="1" applyBorder="1" applyAlignment="1">
      <alignment vertical="center" wrapText="1"/>
    </xf>
    <xf numFmtId="0" fontId="78" fillId="0" borderId="0" xfId="0" applyFont="1"/>
    <xf numFmtId="0" fontId="79" fillId="0" borderId="0" xfId="0" applyFont="1"/>
    <xf numFmtId="0" fontId="80" fillId="0" borderId="0" xfId="0" applyFont="1"/>
    <xf numFmtId="0" fontId="44" fillId="0" borderId="13" xfId="0" applyFont="1" applyBorder="1" applyAlignment="1">
      <alignment wrapText="1"/>
    </xf>
    <xf numFmtId="0" fontId="38" fillId="0" borderId="13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4" fontId="0" fillId="0" borderId="26" xfId="0" applyNumberFormat="1" applyBorder="1" applyAlignment="1">
      <alignment horizontal="center"/>
    </xf>
    <xf numFmtId="0" fontId="70" fillId="0" borderId="0" xfId="0" applyFont="1"/>
    <xf numFmtId="0" fontId="3" fillId="0" borderId="5" xfId="0" applyFont="1" applyBorder="1" applyAlignment="1">
      <alignment horizontal="center" wrapText="1"/>
    </xf>
    <xf numFmtId="14" fontId="0" fillId="0" borderId="28" xfId="0" applyNumberForma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31" fillId="0" borderId="28" xfId="0" applyFont="1" applyBorder="1"/>
    <xf numFmtId="0" fontId="3" fillId="0" borderId="12" xfId="0" applyFont="1" applyBorder="1" applyAlignment="1">
      <alignment wrapText="1"/>
    </xf>
    <xf numFmtId="0" fontId="55" fillId="0" borderId="26" xfId="1" applyFont="1" applyBorder="1"/>
    <xf numFmtId="0" fontId="6" fillId="0" borderId="26" xfId="0" applyFont="1" applyBorder="1" applyAlignment="1">
      <alignment horizontal="left" vertical="center" wrapText="1"/>
    </xf>
    <xf numFmtId="14" fontId="0" fillId="0" borderId="26" xfId="0" quotePrefix="1" applyNumberForma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vertical="center"/>
    </xf>
    <xf numFmtId="0" fontId="0" fillId="0" borderId="13" xfId="0" applyFont="1" applyBorder="1" applyAlignment="1">
      <alignment horizontal="left" vertical="center" wrapText="1"/>
    </xf>
    <xf numFmtId="0" fontId="0" fillId="0" borderId="13" xfId="0" applyFont="1" applyBorder="1" applyAlignment="1">
      <alignment wrapText="1"/>
    </xf>
    <xf numFmtId="0" fontId="0" fillId="0" borderId="1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4" fontId="0" fillId="0" borderId="13" xfId="0" applyNumberFormat="1" applyFont="1" applyBorder="1" applyAlignment="1">
      <alignment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0" xfId="0" applyFont="1"/>
    <xf numFmtId="0" fontId="0" fillId="0" borderId="26" xfId="0" applyFont="1" applyBorder="1"/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14" fontId="1" fillId="0" borderId="26" xfId="0" applyNumberFormat="1" applyFont="1" applyBorder="1" applyAlignment="1">
      <alignment vertical="center"/>
    </xf>
    <xf numFmtId="0" fontId="1" fillId="0" borderId="2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tel:+917217720851" TargetMode="External"/><Relationship Id="rId2" Type="http://schemas.openxmlformats.org/officeDocument/2006/relationships/hyperlink" Target="tel:+917217720851" TargetMode="External"/><Relationship Id="rId1" Type="http://schemas.openxmlformats.org/officeDocument/2006/relationships/hyperlink" Target="tel:+919319775809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dinesh1260@gmail.com" TargetMode="External"/><Relationship Id="rId18" Type="http://schemas.openxmlformats.org/officeDocument/2006/relationships/hyperlink" Target="mailto:glakshmi85000@gmail.com" TargetMode="External"/><Relationship Id="rId26" Type="http://schemas.openxmlformats.org/officeDocument/2006/relationships/hyperlink" Target="mailto:geethuramachandran2201@gmail.com" TargetMode="External"/><Relationship Id="rId39" Type="http://schemas.openxmlformats.org/officeDocument/2006/relationships/hyperlink" Target="mailto:erivalabs@gmail.com" TargetMode="External"/><Relationship Id="rId21" Type="http://schemas.openxmlformats.org/officeDocument/2006/relationships/hyperlink" Target="mailto:jobbin@100feetfilms.com" TargetMode="External"/><Relationship Id="rId34" Type="http://schemas.openxmlformats.org/officeDocument/2006/relationships/hyperlink" Target="mailto:pasapula.harinath@gmail.com" TargetMode="External"/><Relationship Id="rId42" Type="http://schemas.openxmlformats.org/officeDocument/2006/relationships/hyperlink" Target="mailto:compliance.technoshala@gmail.com" TargetMode="External"/><Relationship Id="rId47" Type="http://schemas.openxmlformats.org/officeDocument/2006/relationships/hyperlink" Target="mailto:waradasolutions@gmail.com" TargetMode="External"/><Relationship Id="rId50" Type="http://schemas.openxmlformats.org/officeDocument/2006/relationships/hyperlink" Target="mailto:varun.rathi36@gmail.com" TargetMode="External"/><Relationship Id="rId55" Type="http://schemas.openxmlformats.org/officeDocument/2006/relationships/hyperlink" Target="mailto:christinjosesales@gmail.com" TargetMode="External"/><Relationship Id="rId7" Type="http://schemas.openxmlformats.org/officeDocument/2006/relationships/hyperlink" Target="mailto:flycelesta@gmail.com" TargetMode="External"/><Relationship Id="rId2" Type="http://schemas.openxmlformats.org/officeDocument/2006/relationships/hyperlink" Target="mailto:aalokjb@gmail.com" TargetMode="External"/><Relationship Id="rId16" Type="http://schemas.openxmlformats.org/officeDocument/2006/relationships/hyperlink" Target="mailto:billby27hustle@outlook.com" TargetMode="External"/><Relationship Id="rId29" Type="http://schemas.openxmlformats.org/officeDocument/2006/relationships/hyperlink" Target="mailto:armaan@forgefoundry.in" TargetMode="External"/><Relationship Id="rId11" Type="http://schemas.openxmlformats.org/officeDocument/2006/relationships/hyperlink" Target="mailto:thebarwarchi@gmail.com" TargetMode="External"/><Relationship Id="rId24" Type="http://schemas.openxmlformats.org/officeDocument/2006/relationships/hyperlink" Target="mailto:harrykapoor19@gmail.com" TargetMode="External"/><Relationship Id="rId32" Type="http://schemas.openxmlformats.org/officeDocument/2006/relationships/hyperlink" Target="mailto:contact@3bwisers.com" TargetMode="External"/><Relationship Id="rId37" Type="http://schemas.openxmlformats.org/officeDocument/2006/relationships/hyperlink" Target="mailto:info@rucksak.com" TargetMode="External"/><Relationship Id="rId40" Type="http://schemas.openxmlformats.org/officeDocument/2006/relationships/hyperlink" Target="mailto:ashutoshduttspam@gmail.com" TargetMode="External"/><Relationship Id="rId45" Type="http://schemas.openxmlformats.org/officeDocument/2006/relationships/hyperlink" Target="mailto:compliance.ssfoundation@gmail.com" TargetMode="External"/><Relationship Id="rId53" Type="http://schemas.openxmlformats.org/officeDocument/2006/relationships/hyperlink" Target="mailto:mailto.dakshaarav.enterprises@gmail.com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mailto:nivisinfra@gmail.com" TargetMode="External"/><Relationship Id="rId19" Type="http://schemas.openxmlformats.org/officeDocument/2006/relationships/hyperlink" Target="mailto:info.aarami@gmail.com" TargetMode="External"/><Relationship Id="rId4" Type="http://schemas.openxmlformats.org/officeDocument/2006/relationships/hyperlink" Target="mailto:shweta@mysuperhumanrace.com" TargetMode="External"/><Relationship Id="rId9" Type="http://schemas.openxmlformats.org/officeDocument/2006/relationships/hyperlink" Target="mailto:roshnikhanrocks@gmail.com" TargetMode="External"/><Relationship Id="rId14" Type="http://schemas.openxmlformats.org/officeDocument/2006/relationships/hyperlink" Target="mailto:amritsahu.iitkgp@gmail.com" TargetMode="External"/><Relationship Id="rId22" Type="http://schemas.openxmlformats.org/officeDocument/2006/relationships/hyperlink" Target="mailto:ankittalan@gmail.com" TargetMode="External"/><Relationship Id="rId27" Type="http://schemas.openxmlformats.org/officeDocument/2006/relationships/hyperlink" Target="mailto:jindalrita61@gmail.com" TargetMode="External"/><Relationship Id="rId30" Type="http://schemas.openxmlformats.org/officeDocument/2006/relationships/hyperlink" Target="mailto:sam@fintribes.com" TargetMode="External"/><Relationship Id="rId35" Type="http://schemas.openxmlformats.org/officeDocument/2006/relationships/hyperlink" Target="mailto:adi@adiand.co" TargetMode="External"/><Relationship Id="rId43" Type="http://schemas.openxmlformats.org/officeDocument/2006/relationships/hyperlink" Target="mailto:compliance.middlebury@gmail.com" TargetMode="External"/><Relationship Id="rId48" Type="http://schemas.openxmlformats.org/officeDocument/2006/relationships/hyperlink" Target="mailto:ecomtaniraproducts@gmail.com" TargetMode="External"/><Relationship Id="rId56" Type="http://schemas.openxmlformats.org/officeDocument/2006/relationships/hyperlink" Target="mailto:ravi@endorphinfoods.com" TargetMode="External"/><Relationship Id="rId8" Type="http://schemas.openxmlformats.org/officeDocument/2006/relationships/hyperlink" Target="mailto:aaansul72@gmail.com" TargetMode="External"/><Relationship Id="rId51" Type="http://schemas.openxmlformats.org/officeDocument/2006/relationships/hyperlink" Target="mailto:nidhin.johnson.antony@gmail.com" TargetMode="External"/><Relationship Id="rId3" Type="http://schemas.openxmlformats.org/officeDocument/2006/relationships/hyperlink" Target="mailto:abhinit@tyutlive.com" TargetMode="External"/><Relationship Id="rId12" Type="http://schemas.openxmlformats.org/officeDocument/2006/relationships/hyperlink" Target="mailto:mcfcorporateservices@gmail.com" TargetMode="External"/><Relationship Id="rId17" Type="http://schemas.openxmlformats.org/officeDocument/2006/relationships/hyperlink" Target="mailto:mariovinay@gmail.com" TargetMode="External"/><Relationship Id="rId25" Type="http://schemas.openxmlformats.org/officeDocument/2006/relationships/hyperlink" Target="mailto:biozen@gmail.com" TargetMode="External"/><Relationship Id="rId33" Type="http://schemas.openxmlformats.org/officeDocument/2006/relationships/hyperlink" Target="mailto:chiragsinghal13.cs@gmail.com" TargetMode="External"/><Relationship Id="rId38" Type="http://schemas.openxmlformats.org/officeDocument/2006/relationships/hyperlink" Target="mailto:hello@meraaquii.com" TargetMode="External"/><Relationship Id="rId46" Type="http://schemas.openxmlformats.org/officeDocument/2006/relationships/hyperlink" Target="mailto:drsimrannkaur@gmail.com" TargetMode="External"/><Relationship Id="rId20" Type="http://schemas.openxmlformats.org/officeDocument/2006/relationships/hyperlink" Target="mailto:mailme@musthafakamal.com" TargetMode="External"/><Relationship Id="rId41" Type="http://schemas.openxmlformats.org/officeDocument/2006/relationships/hyperlink" Target="mailto:tusharkotangale02@gmail.com" TargetMode="External"/><Relationship Id="rId54" Type="http://schemas.openxmlformats.org/officeDocument/2006/relationships/hyperlink" Target="mailto:chonden@haeyodating.com" TargetMode="External"/><Relationship Id="rId1" Type="http://schemas.openxmlformats.org/officeDocument/2006/relationships/hyperlink" Target="mailto:manukariyattil@gmail.com" TargetMode="External"/><Relationship Id="rId6" Type="http://schemas.openxmlformats.org/officeDocument/2006/relationships/hyperlink" Target="mailto:aralinaveen@gmail.com" TargetMode="External"/><Relationship Id="rId15" Type="http://schemas.openxmlformats.org/officeDocument/2006/relationships/hyperlink" Target="mailto:vishesh@vedastradynamics.com" TargetMode="External"/><Relationship Id="rId23" Type="http://schemas.openxmlformats.org/officeDocument/2006/relationships/hyperlink" Target="mailto:mudit@artofpuja.com" TargetMode="External"/><Relationship Id="rId28" Type="http://schemas.openxmlformats.org/officeDocument/2006/relationships/hyperlink" Target="mailto:mtwjs1@gmail.com" TargetMode="External"/><Relationship Id="rId36" Type="http://schemas.openxmlformats.org/officeDocument/2006/relationships/hyperlink" Target="mailto:chethan.pawar@outlook.com" TargetMode="External"/><Relationship Id="rId49" Type="http://schemas.openxmlformats.org/officeDocument/2006/relationships/hyperlink" Target="mailto:sabooj1912@gmail.com" TargetMode="External"/><Relationship Id="rId57" Type="http://schemas.openxmlformats.org/officeDocument/2006/relationships/hyperlink" Target="mailto:aalokjb@gmail.com" TargetMode="External"/><Relationship Id="rId10" Type="http://schemas.openxmlformats.org/officeDocument/2006/relationships/hyperlink" Target="mailto:aum.ahl@gmail.com" TargetMode="External"/><Relationship Id="rId31" Type="http://schemas.openxmlformats.org/officeDocument/2006/relationships/hyperlink" Target="mailto:anc.greenenergy@gmail.com" TargetMode="External"/><Relationship Id="rId44" Type="http://schemas.openxmlformats.org/officeDocument/2006/relationships/hyperlink" Target="mailto:compliance.jumaadi.01@gmail.com" TargetMode="External"/><Relationship Id="rId52" Type="http://schemas.openxmlformats.org/officeDocument/2006/relationships/hyperlink" Target="mailto:accounts@245degree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ahul@explodinggradients.com" TargetMode="External"/><Relationship Id="rId13" Type="http://schemas.openxmlformats.org/officeDocument/2006/relationships/hyperlink" Target="mailto:karoten.solutions@gmail.com" TargetMode="External"/><Relationship Id="rId18" Type="http://schemas.openxmlformats.org/officeDocument/2006/relationships/hyperlink" Target="mailto:Kdibyashu@gmail.com" TargetMode="External"/><Relationship Id="rId26" Type="http://schemas.openxmlformats.org/officeDocument/2006/relationships/hyperlink" Target="mailto:jithin@explodinggradients.com" TargetMode="External"/><Relationship Id="rId3" Type="http://schemas.openxmlformats.org/officeDocument/2006/relationships/hyperlink" Target="mailto:jithin@explodinggradients.com" TargetMode="External"/><Relationship Id="rId21" Type="http://schemas.openxmlformats.org/officeDocument/2006/relationships/hyperlink" Target="mailto:ravi@alfredsolutions.com" TargetMode="External"/><Relationship Id="rId7" Type="http://schemas.openxmlformats.org/officeDocument/2006/relationships/hyperlink" Target="mailto:jithin@explodinggradients.com" TargetMode="External"/><Relationship Id="rId12" Type="http://schemas.openxmlformats.org/officeDocument/2006/relationships/hyperlink" Target="mailto:srikant@sahajwealth.com" TargetMode="External"/><Relationship Id="rId17" Type="http://schemas.openxmlformats.org/officeDocument/2006/relationships/hyperlink" Target="mailto:ank12.somani@gmail.com" TargetMode="External"/><Relationship Id="rId25" Type="http://schemas.openxmlformats.org/officeDocument/2006/relationships/hyperlink" Target="mailto:chandna_fzr@yahoo.com" TargetMode="External"/><Relationship Id="rId2" Type="http://schemas.openxmlformats.org/officeDocument/2006/relationships/hyperlink" Target="mailto:transparentdeals@gmail.com" TargetMode="External"/><Relationship Id="rId16" Type="http://schemas.openxmlformats.org/officeDocument/2006/relationships/hyperlink" Target="mailto:raizadaarjun2002@gmail.com" TargetMode="External"/><Relationship Id="rId20" Type="http://schemas.openxmlformats.org/officeDocument/2006/relationships/hyperlink" Target="mailto:reachatomnia@gmail.com" TargetMode="External"/><Relationship Id="rId1" Type="http://schemas.openxmlformats.org/officeDocument/2006/relationships/hyperlink" Target="mailto:accounts@zerocircle.in" TargetMode="External"/><Relationship Id="rId6" Type="http://schemas.openxmlformats.org/officeDocument/2006/relationships/hyperlink" Target="mailto:Abhijitparmar@rediffmail.com" TargetMode="External"/><Relationship Id="rId11" Type="http://schemas.openxmlformats.org/officeDocument/2006/relationships/hyperlink" Target="mailto:albinkuriakose1995@gmail.com" TargetMode="External"/><Relationship Id="rId24" Type="http://schemas.openxmlformats.org/officeDocument/2006/relationships/hyperlink" Target="mailto:Junaid@techprogenie.com" TargetMode="External"/><Relationship Id="rId5" Type="http://schemas.openxmlformats.org/officeDocument/2006/relationships/hyperlink" Target="mailto:Rachur.Kiran@gmail.com" TargetMode="External"/><Relationship Id="rId15" Type="http://schemas.openxmlformats.org/officeDocument/2006/relationships/hyperlink" Target="mailto:sdip1100@gmail.com" TargetMode="External"/><Relationship Id="rId23" Type="http://schemas.openxmlformats.org/officeDocument/2006/relationships/hyperlink" Target="mailto:shreejichem01@gmail.com" TargetMode="External"/><Relationship Id="rId28" Type="http://schemas.openxmlformats.org/officeDocument/2006/relationships/printerSettings" Target="../printerSettings/printerSettings5.bin"/><Relationship Id="rId10" Type="http://schemas.openxmlformats.org/officeDocument/2006/relationships/hyperlink" Target="mailto:Vinay@homegrown.co.in" TargetMode="External"/><Relationship Id="rId19" Type="http://schemas.openxmlformats.org/officeDocument/2006/relationships/hyperlink" Target="mailto:ank12.somani@gmail.com" TargetMode="External"/><Relationship Id="rId4" Type="http://schemas.openxmlformats.org/officeDocument/2006/relationships/hyperlink" Target="mailto:rasik.pansare@gmail.com" TargetMode="External"/><Relationship Id="rId9" Type="http://schemas.openxmlformats.org/officeDocument/2006/relationships/hyperlink" Target="mailto:arshinazeez@gmail.com" TargetMode="External"/><Relationship Id="rId14" Type="http://schemas.openxmlformats.org/officeDocument/2006/relationships/hyperlink" Target="mailto:hr.otstech@gmail.com" TargetMode="External"/><Relationship Id="rId22" Type="http://schemas.openxmlformats.org/officeDocument/2006/relationships/hyperlink" Target="mailto:chaumin1859@gmail.com" TargetMode="External"/><Relationship Id="rId27" Type="http://schemas.openxmlformats.org/officeDocument/2006/relationships/hyperlink" Target="mailto:shahul@explodinggradient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saurabh.assam@gmail.com" TargetMode="External"/><Relationship Id="rId3" Type="http://schemas.openxmlformats.org/officeDocument/2006/relationships/hyperlink" Target="mailto:biogreenhealthcare@gmail.com" TargetMode="External"/><Relationship Id="rId7" Type="http://schemas.openxmlformats.org/officeDocument/2006/relationships/hyperlink" Target="mailto:viyantrabuildtech@gmail.com" TargetMode="External"/><Relationship Id="rId2" Type="http://schemas.openxmlformats.org/officeDocument/2006/relationships/hyperlink" Target="mailto:ashokaestro@gmail.com" TargetMode="External"/><Relationship Id="rId1" Type="http://schemas.openxmlformats.org/officeDocument/2006/relationships/hyperlink" Target="mailto:ysr.sivarao@gmail.com" TargetMode="External"/><Relationship Id="rId6" Type="http://schemas.openxmlformats.org/officeDocument/2006/relationships/hyperlink" Target="mailto:Kavita@ampli5x.com" TargetMode="External"/><Relationship Id="rId5" Type="http://schemas.openxmlformats.org/officeDocument/2006/relationships/hyperlink" Target="mailto:kathiravanravichandran2306@gmail.com" TargetMode="External"/><Relationship Id="rId4" Type="http://schemas.openxmlformats.org/officeDocument/2006/relationships/hyperlink" Target="mailto:kathiravanravichandran2306@gmail.com" TargetMode="External"/><Relationship Id="rId9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vnnaiduca@gmail.com" TargetMode="External"/><Relationship Id="rId2" Type="http://schemas.openxmlformats.org/officeDocument/2006/relationships/hyperlink" Target="mailto:divi692@gmail.com" TargetMode="External"/><Relationship Id="rId1" Type="http://schemas.openxmlformats.org/officeDocument/2006/relationships/hyperlink" Target="mailto:saburanayeem@gmail.com" TargetMode="External"/><Relationship Id="rId4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Accounts@aaddress.i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nayakmanjitk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monica_kalvani@yahoo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battinwar.mayur@gmail.com" TargetMode="External"/><Relationship Id="rId13" Type="http://schemas.openxmlformats.org/officeDocument/2006/relationships/hyperlink" Target="mailto:admin@valtidesigns.com" TargetMode="External"/><Relationship Id="rId18" Type="http://schemas.openxmlformats.org/officeDocument/2006/relationships/printerSettings" Target="../printerSettings/printerSettings13.bin"/><Relationship Id="rId3" Type="http://schemas.openxmlformats.org/officeDocument/2006/relationships/hyperlink" Target="mailto:support@desiseva.in" TargetMode="External"/><Relationship Id="rId7" Type="http://schemas.openxmlformats.org/officeDocument/2006/relationships/hyperlink" Target="mailto:riseonixinternational@gmail.com" TargetMode="External"/><Relationship Id="rId12" Type="http://schemas.openxmlformats.org/officeDocument/2006/relationships/hyperlink" Target="mailto:roop_menon@tamararealty.com" TargetMode="External"/><Relationship Id="rId17" Type="http://schemas.openxmlformats.org/officeDocument/2006/relationships/hyperlink" Target="mailto:ansulagarwal@dinamiglobal.com" TargetMode="External"/><Relationship Id="rId2" Type="http://schemas.openxmlformats.org/officeDocument/2006/relationships/hyperlink" Target="mailto:Sheebak230@gmail.com" TargetMode="External"/><Relationship Id="rId16" Type="http://schemas.openxmlformats.org/officeDocument/2006/relationships/hyperlink" Target="mailto:dinesh1260@gmail.com" TargetMode="External"/><Relationship Id="rId1" Type="http://schemas.openxmlformats.org/officeDocument/2006/relationships/hyperlink" Target="mailto:Vellversedigital@gmail.com" TargetMode="External"/><Relationship Id="rId6" Type="http://schemas.openxmlformats.org/officeDocument/2006/relationships/hyperlink" Target="mailto:arogyalucyraj96@gmail.com" TargetMode="External"/><Relationship Id="rId11" Type="http://schemas.openxmlformats.org/officeDocument/2006/relationships/hyperlink" Target="mailto:Shehisach@gmail.com" TargetMode="External"/><Relationship Id="rId5" Type="http://schemas.openxmlformats.org/officeDocument/2006/relationships/hyperlink" Target="mailto:sujata@vyjna.com" TargetMode="External"/><Relationship Id="rId15" Type="http://schemas.openxmlformats.org/officeDocument/2006/relationships/hyperlink" Target="mailto:pawar4mail@gmail.com" TargetMode="External"/><Relationship Id="rId10" Type="http://schemas.openxmlformats.org/officeDocument/2006/relationships/hyperlink" Target="mailto:h4rsh4lbh@gmail.com" TargetMode="External"/><Relationship Id="rId4" Type="http://schemas.openxmlformats.org/officeDocument/2006/relationships/hyperlink" Target="mailto:pioneertrdg2020@gmail.com%20&amp;%20adasivan.mylsamy@gmail.com" TargetMode="External"/><Relationship Id="rId9" Type="http://schemas.openxmlformats.org/officeDocument/2006/relationships/hyperlink" Target="mailto:rubysathiyan091@gmail.com" TargetMode="External"/><Relationship Id="rId14" Type="http://schemas.openxmlformats.org/officeDocument/2006/relationships/hyperlink" Target="mailto:sinha.nitesh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gorasiahemang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Pravatifashion.official@g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mailto:ramaganapathy.venkataramani@gmail.com" TargetMode="External"/><Relationship Id="rId1" Type="http://schemas.openxmlformats.org/officeDocument/2006/relationships/hyperlink" Target="mailto:mercyrajeshmerc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805B-9127-499B-9055-09188E5011CF}">
  <dimension ref="A1:N64"/>
  <sheetViews>
    <sheetView topLeftCell="A51" workbookViewId="0">
      <selection activeCell="H60" sqref="H60"/>
    </sheetView>
  </sheetViews>
  <sheetFormatPr defaultRowHeight="14.45"/>
  <cols>
    <col min="1" max="1" width="7.85546875" style="6" customWidth="1"/>
    <col min="2" max="2" width="17.85546875" style="6" customWidth="1"/>
    <col min="3" max="3" width="18" style="79" customWidth="1"/>
    <col min="4" max="4" width="25.28515625" style="79" customWidth="1"/>
    <col min="5" max="5" width="21.140625" style="79" customWidth="1"/>
    <col min="6" max="6" width="17.7109375" style="79" customWidth="1"/>
    <col min="7" max="7" width="9.140625" style="6"/>
    <col min="8" max="8" width="34.7109375" style="6" bestFit="1" customWidth="1"/>
    <col min="9" max="9" width="18.7109375" style="6" customWidth="1"/>
    <col min="10" max="10" width="29" style="6" customWidth="1"/>
    <col min="11" max="14" width="9.140625" style="6"/>
  </cols>
  <sheetData>
    <row r="1" spans="1:12" ht="27.75" customHeight="1">
      <c r="A1" s="509" t="s">
        <v>0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1"/>
    </row>
    <row r="2" spans="1:12" ht="23.25" customHeight="1">
      <c r="A2" s="131" t="s">
        <v>1</v>
      </c>
      <c r="B2" s="131" t="s">
        <v>2</v>
      </c>
      <c r="C2" s="131" t="s">
        <v>3</v>
      </c>
      <c r="D2" s="131" t="s">
        <v>4</v>
      </c>
      <c r="E2" s="131" t="s">
        <v>5</v>
      </c>
      <c r="F2" s="131" t="s">
        <v>6</v>
      </c>
      <c r="G2" s="131"/>
      <c r="H2" s="131" t="s">
        <v>7</v>
      </c>
      <c r="I2" s="131" t="s">
        <v>8</v>
      </c>
      <c r="J2" s="131"/>
      <c r="K2" s="131" t="s">
        <v>9</v>
      </c>
      <c r="L2" s="131"/>
    </row>
    <row r="3" spans="1:12" ht="23.25" customHeight="1">
      <c r="A3" s="139">
        <v>1</v>
      </c>
      <c r="B3" s="142">
        <v>45903</v>
      </c>
      <c r="C3" s="133" t="s">
        <v>10</v>
      </c>
      <c r="D3" s="133" t="s">
        <v>11</v>
      </c>
      <c r="E3" s="133" t="s">
        <v>12</v>
      </c>
      <c r="F3" s="133" t="s">
        <v>13</v>
      </c>
      <c r="G3" s="139"/>
      <c r="H3" s="139" t="s">
        <v>14</v>
      </c>
      <c r="I3" s="139" t="s">
        <v>15</v>
      </c>
      <c r="J3" s="139"/>
      <c r="K3" s="139"/>
      <c r="L3" s="139"/>
    </row>
    <row r="4" spans="1:12" ht="29.1">
      <c r="A4" s="139">
        <v>2</v>
      </c>
      <c r="B4" s="142">
        <v>45906</v>
      </c>
      <c r="C4" s="176" t="s">
        <v>10</v>
      </c>
      <c r="D4" s="133" t="s">
        <v>16</v>
      </c>
      <c r="E4" s="133" t="s">
        <v>17</v>
      </c>
      <c r="F4" s="133" t="s">
        <v>18</v>
      </c>
      <c r="G4" s="139"/>
      <c r="H4" s="133" t="s">
        <v>19</v>
      </c>
      <c r="I4" s="133" t="s">
        <v>15</v>
      </c>
      <c r="J4" s="133"/>
      <c r="K4" s="139"/>
      <c r="L4" s="139"/>
    </row>
    <row r="5" spans="1:12" ht="39" customHeight="1">
      <c r="A5" s="139">
        <v>3</v>
      </c>
      <c r="B5" s="142">
        <v>45908</v>
      </c>
      <c r="C5" s="133" t="s">
        <v>20</v>
      </c>
      <c r="D5" s="133" t="s">
        <v>21</v>
      </c>
      <c r="E5" s="133" t="s">
        <v>22</v>
      </c>
      <c r="F5" s="133" t="s">
        <v>23</v>
      </c>
      <c r="G5" s="139"/>
      <c r="H5" s="139" t="s">
        <v>24</v>
      </c>
      <c r="I5" s="139" t="s">
        <v>25</v>
      </c>
      <c r="J5" s="139"/>
      <c r="K5" s="139"/>
      <c r="L5" s="139"/>
    </row>
    <row r="6" spans="1:12" ht="39" customHeight="1">
      <c r="A6" s="139">
        <v>4</v>
      </c>
      <c r="B6" s="142">
        <v>45908</v>
      </c>
      <c r="C6" s="133" t="s">
        <v>20</v>
      </c>
      <c r="D6" s="133" t="s">
        <v>26</v>
      </c>
      <c r="E6" s="133" t="s">
        <v>22</v>
      </c>
      <c r="F6" s="133" t="s">
        <v>27</v>
      </c>
      <c r="G6" s="139"/>
      <c r="H6" s="139" t="s">
        <v>24</v>
      </c>
      <c r="I6" s="139" t="s">
        <v>25</v>
      </c>
      <c r="J6" s="139"/>
      <c r="K6" s="139"/>
      <c r="L6" s="139"/>
    </row>
    <row r="7" spans="1:12" ht="29.1">
      <c r="A7" s="139">
        <v>5</v>
      </c>
      <c r="B7" s="142">
        <v>45908</v>
      </c>
      <c r="C7" s="133" t="s">
        <v>10</v>
      </c>
      <c r="D7" s="133" t="s">
        <v>28</v>
      </c>
      <c r="E7" s="133" t="s">
        <v>12</v>
      </c>
      <c r="F7" s="133" t="s">
        <v>29</v>
      </c>
      <c r="G7" s="139"/>
      <c r="H7" s="139" t="s">
        <v>14</v>
      </c>
      <c r="I7" s="139" t="s">
        <v>15</v>
      </c>
      <c r="J7" s="139"/>
      <c r="K7" s="139"/>
      <c r="L7" s="139"/>
    </row>
    <row r="8" spans="1:12" ht="29.1">
      <c r="A8" s="139">
        <v>6</v>
      </c>
      <c r="B8" s="142">
        <v>45911</v>
      </c>
      <c r="C8" s="133" t="s">
        <v>10</v>
      </c>
      <c r="D8" s="133" t="s">
        <v>30</v>
      </c>
      <c r="E8" s="133" t="s">
        <v>12</v>
      </c>
      <c r="F8" s="133" t="s">
        <v>31</v>
      </c>
      <c r="G8" s="139"/>
      <c r="H8" s="139" t="s">
        <v>14</v>
      </c>
      <c r="I8" s="139" t="s">
        <v>15</v>
      </c>
      <c r="J8" s="139"/>
      <c r="K8" s="139"/>
      <c r="L8" s="139"/>
    </row>
    <row r="9" spans="1:12" ht="29.1">
      <c r="A9" s="139">
        <v>7</v>
      </c>
      <c r="B9" s="142">
        <v>45915</v>
      </c>
      <c r="C9" s="133" t="s">
        <v>32</v>
      </c>
      <c r="D9" s="133" t="s">
        <v>33</v>
      </c>
      <c r="E9" s="133" t="s">
        <v>17</v>
      </c>
      <c r="F9" s="133" t="s">
        <v>34</v>
      </c>
      <c r="G9" s="139"/>
      <c r="H9" s="139"/>
      <c r="I9" s="139" t="s">
        <v>15</v>
      </c>
      <c r="J9" s="139"/>
      <c r="K9" s="139"/>
      <c r="L9" s="139"/>
    </row>
    <row r="10" spans="1:12" ht="29.1">
      <c r="A10" s="139">
        <v>8</v>
      </c>
      <c r="B10" s="142">
        <v>45919</v>
      </c>
      <c r="C10" s="133" t="s">
        <v>35</v>
      </c>
      <c r="D10" s="133" t="s">
        <v>36</v>
      </c>
      <c r="E10" s="133" t="s">
        <v>22</v>
      </c>
      <c r="F10" s="133" t="s">
        <v>37</v>
      </c>
      <c r="G10" s="139"/>
      <c r="H10" s="139" t="s">
        <v>14</v>
      </c>
      <c r="I10" s="139" t="s">
        <v>25</v>
      </c>
      <c r="J10" s="139"/>
      <c r="K10" s="139"/>
      <c r="L10" s="139"/>
    </row>
    <row r="11" spans="1:12" ht="57.95">
      <c r="A11" s="139">
        <v>9</v>
      </c>
      <c r="B11" s="142">
        <v>45924</v>
      </c>
      <c r="C11" s="133" t="s">
        <v>35</v>
      </c>
      <c r="D11" s="133" t="s">
        <v>38</v>
      </c>
      <c r="E11" s="133" t="s">
        <v>39</v>
      </c>
      <c r="F11" s="133" t="s">
        <v>40</v>
      </c>
      <c r="G11" s="139"/>
      <c r="H11" s="139" t="s">
        <v>41</v>
      </c>
      <c r="I11" s="139" t="s">
        <v>15</v>
      </c>
      <c r="J11" s="139"/>
      <c r="K11" s="139"/>
      <c r="L11" s="139"/>
    </row>
    <row r="12" spans="1:12" ht="29.1">
      <c r="A12" s="139">
        <v>10</v>
      </c>
      <c r="B12" s="142">
        <v>45927</v>
      </c>
      <c r="C12" s="133" t="s">
        <v>10</v>
      </c>
      <c r="D12" s="133" t="s">
        <v>42</v>
      </c>
      <c r="E12" s="133" t="s">
        <v>12</v>
      </c>
      <c r="F12" s="133" t="s">
        <v>43</v>
      </c>
      <c r="G12" s="139"/>
      <c r="H12" s="139" t="s">
        <v>14</v>
      </c>
      <c r="I12" s="139" t="s">
        <v>15</v>
      </c>
      <c r="J12" s="139"/>
      <c r="K12" s="139"/>
      <c r="L12" s="139"/>
    </row>
    <row r="13" spans="1:12" ht="29.1">
      <c r="A13" s="139">
        <v>11</v>
      </c>
      <c r="B13" s="142">
        <v>45927</v>
      </c>
      <c r="C13" s="133" t="s">
        <v>10</v>
      </c>
      <c r="D13" s="133" t="s">
        <v>44</v>
      </c>
      <c r="E13" s="133" t="s">
        <v>12</v>
      </c>
      <c r="F13" s="133" t="s">
        <v>45</v>
      </c>
      <c r="G13" s="139"/>
      <c r="H13" s="139" t="s">
        <v>14</v>
      </c>
      <c r="I13" s="139" t="s">
        <v>15</v>
      </c>
      <c r="J13" s="139"/>
      <c r="K13" s="139"/>
      <c r="L13" s="139"/>
    </row>
    <row r="14" spans="1:12" ht="29.1">
      <c r="A14" s="139">
        <v>12</v>
      </c>
      <c r="B14" s="142">
        <v>45929</v>
      </c>
      <c r="C14" s="133" t="s">
        <v>10</v>
      </c>
      <c r="D14" s="133" t="s">
        <v>46</v>
      </c>
      <c r="E14" s="133" t="s">
        <v>12</v>
      </c>
      <c r="F14" s="133" t="s">
        <v>47</v>
      </c>
      <c r="G14" s="139"/>
      <c r="H14" s="139" t="s">
        <v>14</v>
      </c>
      <c r="I14" s="139" t="s">
        <v>15</v>
      </c>
      <c r="J14" s="139"/>
      <c r="K14" s="139"/>
      <c r="L14" s="139"/>
    </row>
    <row r="15" spans="1:12" ht="29.1">
      <c r="A15" s="139">
        <v>13</v>
      </c>
      <c r="B15" s="142">
        <v>45939</v>
      </c>
      <c r="C15" s="133" t="s">
        <v>10</v>
      </c>
      <c r="D15" s="133" t="s">
        <v>48</v>
      </c>
      <c r="E15" s="133" t="s">
        <v>12</v>
      </c>
      <c r="F15" s="133" t="s">
        <v>49</v>
      </c>
      <c r="G15" s="139"/>
      <c r="H15" s="139" t="s">
        <v>14</v>
      </c>
      <c r="I15" s="139" t="s">
        <v>15</v>
      </c>
      <c r="J15" s="139"/>
      <c r="K15" s="139"/>
      <c r="L15" s="139"/>
    </row>
    <row r="16" spans="1:12" ht="57.95">
      <c r="A16" s="139">
        <v>14</v>
      </c>
      <c r="B16" s="142">
        <v>45944</v>
      </c>
      <c r="C16" s="133" t="s">
        <v>10</v>
      </c>
      <c r="D16" s="133" t="s">
        <v>50</v>
      </c>
      <c r="E16" s="133" t="s">
        <v>17</v>
      </c>
      <c r="F16" s="133" t="s">
        <v>51</v>
      </c>
      <c r="G16" s="139"/>
      <c r="H16" s="133" t="s">
        <v>52</v>
      </c>
      <c r="I16" s="139" t="s">
        <v>25</v>
      </c>
      <c r="J16" s="139"/>
      <c r="K16" s="139"/>
      <c r="L16" s="139"/>
    </row>
    <row r="17" spans="1:12" ht="29.1">
      <c r="A17" s="139">
        <v>15</v>
      </c>
      <c r="B17" s="142">
        <v>45957</v>
      </c>
      <c r="C17" s="133" t="s">
        <v>53</v>
      </c>
      <c r="D17" s="133" t="s">
        <v>54</v>
      </c>
      <c r="E17" s="133" t="s">
        <v>17</v>
      </c>
      <c r="F17" s="133"/>
      <c r="G17" s="139"/>
      <c r="H17" s="139" t="s">
        <v>55</v>
      </c>
      <c r="I17" s="139" t="s">
        <v>15</v>
      </c>
      <c r="J17" s="139"/>
      <c r="K17" s="139"/>
      <c r="L17" s="139"/>
    </row>
    <row r="18" spans="1:12" ht="29.1">
      <c r="A18" s="139">
        <v>16</v>
      </c>
      <c r="B18" s="142">
        <v>45957</v>
      </c>
      <c r="C18" s="133" t="s">
        <v>53</v>
      </c>
      <c r="D18" s="133" t="s">
        <v>56</v>
      </c>
      <c r="E18" s="133" t="s">
        <v>17</v>
      </c>
      <c r="F18" s="133"/>
      <c r="G18" s="139"/>
      <c r="H18" s="139" t="s">
        <v>55</v>
      </c>
      <c r="I18" s="139" t="s">
        <v>15</v>
      </c>
      <c r="J18" s="139"/>
      <c r="K18" s="139"/>
      <c r="L18" s="139"/>
    </row>
    <row r="19" spans="1:12" ht="29.1">
      <c r="A19" s="139">
        <v>17</v>
      </c>
      <c r="B19" s="142">
        <v>45957</v>
      </c>
      <c r="C19" s="133" t="s">
        <v>57</v>
      </c>
      <c r="D19" s="133" t="s">
        <v>58</v>
      </c>
      <c r="E19" s="133" t="s">
        <v>17</v>
      </c>
      <c r="F19" s="133" t="s">
        <v>59</v>
      </c>
      <c r="G19" s="139"/>
      <c r="H19" s="139" t="s">
        <v>60</v>
      </c>
      <c r="I19" s="139" t="s">
        <v>15</v>
      </c>
      <c r="J19" s="139"/>
      <c r="K19" s="139"/>
      <c r="L19" s="139"/>
    </row>
    <row r="20" spans="1:12" ht="29.1">
      <c r="A20" s="139">
        <v>18</v>
      </c>
      <c r="B20" s="142">
        <v>45959</v>
      </c>
      <c r="C20" s="133" t="s">
        <v>20</v>
      </c>
      <c r="D20" s="133" t="s">
        <v>61</v>
      </c>
      <c r="E20" s="133" t="s">
        <v>22</v>
      </c>
      <c r="F20" s="133" t="s">
        <v>62</v>
      </c>
      <c r="G20" s="139"/>
      <c r="H20" s="139" t="s">
        <v>14</v>
      </c>
      <c r="I20" s="139" t="s">
        <v>15</v>
      </c>
      <c r="J20" s="139"/>
      <c r="K20" s="139"/>
      <c r="L20" s="139"/>
    </row>
    <row r="21" spans="1:12" ht="29.1">
      <c r="A21" s="139">
        <v>19</v>
      </c>
      <c r="B21" s="142">
        <v>45966</v>
      </c>
      <c r="C21" s="133" t="s">
        <v>53</v>
      </c>
      <c r="D21" s="133" t="s">
        <v>63</v>
      </c>
      <c r="E21" s="133" t="s">
        <v>17</v>
      </c>
      <c r="F21" s="133"/>
      <c r="G21" s="139"/>
      <c r="H21" s="139" t="s">
        <v>55</v>
      </c>
      <c r="I21" s="139" t="s">
        <v>15</v>
      </c>
      <c r="J21" s="139"/>
      <c r="K21" s="139"/>
      <c r="L21" s="139"/>
    </row>
    <row r="22" spans="1:12" ht="29.1">
      <c r="A22" s="139">
        <v>20</v>
      </c>
      <c r="B22" s="142">
        <v>45966</v>
      </c>
      <c r="C22" s="133" t="s">
        <v>53</v>
      </c>
      <c r="D22" s="133" t="s">
        <v>64</v>
      </c>
      <c r="E22" s="133" t="s">
        <v>17</v>
      </c>
      <c r="F22" s="133"/>
      <c r="G22" s="139"/>
      <c r="H22" s="139" t="s">
        <v>55</v>
      </c>
      <c r="I22" s="139" t="s">
        <v>15</v>
      </c>
      <c r="J22" s="139"/>
      <c r="K22" s="139"/>
      <c r="L22" s="139"/>
    </row>
    <row r="23" spans="1:12" ht="72.599999999999994">
      <c r="A23" s="139">
        <v>21</v>
      </c>
      <c r="B23" s="142">
        <v>45966</v>
      </c>
      <c r="C23" s="133" t="s">
        <v>65</v>
      </c>
      <c r="D23" s="133" t="s">
        <v>66</v>
      </c>
      <c r="E23" s="133" t="s">
        <v>17</v>
      </c>
      <c r="F23" s="133" t="s">
        <v>67</v>
      </c>
      <c r="G23" s="139"/>
      <c r="H23" s="133" t="s">
        <v>68</v>
      </c>
      <c r="I23" s="139" t="s">
        <v>15</v>
      </c>
      <c r="J23" s="139"/>
      <c r="K23" s="139"/>
      <c r="L23" s="139"/>
    </row>
    <row r="24" spans="1:12" ht="29.1">
      <c r="A24" s="139">
        <v>22</v>
      </c>
      <c r="B24" s="142">
        <v>45966</v>
      </c>
      <c r="C24" s="133" t="s">
        <v>69</v>
      </c>
      <c r="D24" s="133" t="s">
        <v>70</v>
      </c>
      <c r="E24" s="133" t="s">
        <v>17</v>
      </c>
      <c r="F24" s="133" t="s">
        <v>71</v>
      </c>
      <c r="G24" s="139"/>
      <c r="H24" s="133" t="s">
        <v>72</v>
      </c>
      <c r="I24" s="139" t="s">
        <v>15</v>
      </c>
      <c r="J24" s="139"/>
      <c r="K24" s="139"/>
      <c r="L24" s="139"/>
    </row>
    <row r="25" spans="1:12" ht="29.1">
      <c r="A25" s="139">
        <v>23</v>
      </c>
      <c r="B25" s="142">
        <v>45967</v>
      </c>
      <c r="C25" s="133" t="s">
        <v>10</v>
      </c>
      <c r="D25" s="133" t="s">
        <v>73</v>
      </c>
      <c r="E25" s="133" t="s">
        <v>17</v>
      </c>
      <c r="F25" s="133" t="s">
        <v>74</v>
      </c>
      <c r="G25" s="139"/>
      <c r="H25" s="133" t="s">
        <v>75</v>
      </c>
      <c r="I25" s="139" t="s">
        <v>15</v>
      </c>
      <c r="J25" s="139"/>
      <c r="K25" s="139"/>
      <c r="L25" s="139"/>
    </row>
    <row r="26" spans="1:12" ht="29.1">
      <c r="A26" s="139">
        <v>24</v>
      </c>
      <c r="B26" s="142">
        <v>45971</v>
      </c>
      <c r="C26" s="133" t="s">
        <v>53</v>
      </c>
      <c r="D26" s="133" t="s">
        <v>56</v>
      </c>
      <c r="E26" s="133" t="s">
        <v>17</v>
      </c>
      <c r="F26" s="133"/>
      <c r="G26" s="139"/>
      <c r="H26" s="139" t="s">
        <v>76</v>
      </c>
      <c r="I26" s="139" t="s">
        <v>15</v>
      </c>
      <c r="J26" s="139"/>
      <c r="K26" s="139"/>
      <c r="L26" s="139"/>
    </row>
    <row r="27" spans="1:12" ht="29.1">
      <c r="A27" s="139">
        <v>25</v>
      </c>
      <c r="B27" s="142">
        <v>45973</v>
      </c>
      <c r="C27" s="133" t="s">
        <v>77</v>
      </c>
      <c r="D27" s="133" t="s">
        <v>78</v>
      </c>
      <c r="E27" s="133" t="s">
        <v>17</v>
      </c>
      <c r="F27" s="133"/>
      <c r="G27" s="139"/>
      <c r="H27" s="139" t="s">
        <v>79</v>
      </c>
      <c r="I27" s="139" t="s">
        <v>15</v>
      </c>
      <c r="J27" s="139" t="s">
        <v>80</v>
      </c>
      <c r="K27" s="139"/>
      <c r="L27" s="139"/>
    </row>
    <row r="28" spans="1:12" ht="29.1">
      <c r="A28" s="139">
        <v>26</v>
      </c>
      <c r="B28" s="142">
        <v>45974</v>
      </c>
      <c r="C28" s="133" t="s">
        <v>32</v>
      </c>
      <c r="D28" s="133" t="s">
        <v>81</v>
      </c>
      <c r="E28" s="133" t="s">
        <v>17</v>
      </c>
      <c r="F28" s="133"/>
      <c r="G28" s="139"/>
      <c r="H28" s="139" t="s">
        <v>82</v>
      </c>
      <c r="I28" s="139" t="s">
        <v>15</v>
      </c>
      <c r="J28" s="139"/>
      <c r="K28" s="139"/>
      <c r="L28" s="139"/>
    </row>
    <row r="29" spans="1:12" ht="43.5">
      <c r="A29" s="139">
        <v>27</v>
      </c>
      <c r="B29" s="142">
        <v>45979</v>
      </c>
      <c r="C29" s="133" t="s">
        <v>65</v>
      </c>
      <c r="D29" s="133" t="s">
        <v>83</v>
      </c>
      <c r="E29" s="133" t="s">
        <v>17</v>
      </c>
      <c r="F29" s="133" t="s">
        <v>84</v>
      </c>
      <c r="G29" s="139"/>
      <c r="H29" s="139" t="s">
        <v>85</v>
      </c>
      <c r="I29" s="139" t="s">
        <v>15</v>
      </c>
      <c r="J29" s="139"/>
      <c r="K29" s="139"/>
      <c r="L29" s="139"/>
    </row>
    <row r="30" spans="1:12" ht="29.1">
      <c r="A30" s="139">
        <v>28</v>
      </c>
      <c r="B30" s="142">
        <v>45983</v>
      </c>
      <c r="C30" s="133" t="s">
        <v>86</v>
      </c>
      <c r="D30" s="133" t="s">
        <v>48</v>
      </c>
      <c r="E30" s="133" t="s">
        <v>17</v>
      </c>
      <c r="F30" s="133" t="s">
        <v>87</v>
      </c>
      <c r="G30" s="139"/>
      <c r="H30" s="139" t="s">
        <v>88</v>
      </c>
      <c r="I30" s="139" t="s">
        <v>15</v>
      </c>
      <c r="J30" s="139"/>
      <c r="K30" s="139"/>
      <c r="L30" s="139"/>
    </row>
    <row r="31" spans="1:12" ht="29.1">
      <c r="A31" s="139">
        <v>29</v>
      </c>
      <c r="B31" s="142">
        <v>45965</v>
      </c>
      <c r="C31" s="133" t="s">
        <v>86</v>
      </c>
      <c r="D31" s="133" t="s">
        <v>89</v>
      </c>
      <c r="E31" s="133" t="s">
        <v>12</v>
      </c>
      <c r="F31" s="133" t="s">
        <v>90</v>
      </c>
      <c r="G31" s="139"/>
      <c r="H31" s="139" t="s">
        <v>91</v>
      </c>
      <c r="I31" s="139" t="s">
        <v>15</v>
      </c>
      <c r="J31" s="139"/>
      <c r="K31" s="139"/>
      <c r="L31" s="139"/>
    </row>
    <row r="32" spans="1:12" ht="29.1">
      <c r="A32" s="139">
        <v>30</v>
      </c>
      <c r="B32" s="142">
        <v>45975</v>
      </c>
      <c r="C32" s="133" t="s">
        <v>65</v>
      </c>
      <c r="D32" s="133" t="s">
        <v>92</v>
      </c>
      <c r="E32" s="133" t="s">
        <v>22</v>
      </c>
      <c r="F32" s="133" t="s">
        <v>93</v>
      </c>
      <c r="G32" s="139"/>
      <c r="H32" s="139"/>
      <c r="I32" s="139" t="s">
        <v>15</v>
      </c>
      <c r="J32" s="139"/>
      <c r="K32" s="139"/>
      <c r="L32" s="139"/>
    </row>
    <row r="33" spans="1:14" ht="29.1">
      <c r="A33" s="139">
        <v>31</v>
      </c>
      <c r="B33" s="142">
        <v>45982</v>
      </c>
      <c r="C33" s="133" t="s">
        <v>86</v>
      </c>
      <c r="D33" s="133" t="s">
        <v>11</v>
      </c>
      <c r="E33" s="133" t="s">
        <v>12</v>
      </c>
      <c r="F33" s="133"/>
      <c r="G33" s="139"/>
      <c r="H33" s="139"/>
      <c r="I33" s="139" t="s">
        <v>15</v>
      </c>
      <c r="J33" s="139"/>
      <c r="K33" s="139"/>
      <c r="L33" s="139"/>
    </row>
    <row r="34" spans="1:14" ht="29.1">
      <c r="A34" s="139">
        <v>32</v>
      </c>
      <c r="B34" s="142">
        <v>45992</v>
      </c>
      <c r="C34" s="133" t="s">
        <v>86</v>
      </c>
      <c r="D34" s="133" t="s">
        <v>94</v>
      </c>
      <c r="E34" s="133" t="s">
        <v>12</v>
      </c>
      <c r="F34" s="133"/>
      <c r="G34" s="139"/>
      <c r="H34" s="139"/>
      <c r="I34" s="139" t="s">
        <v>15</v>
      </c>
      <c r="J34" s="139"/>
      <c r="K34" s="139"/>
      <c r="L34" s="139"/>
    </row>
    <row r="35" spans="1:14" ht="29.1">
      <c r="A35" s="139">
        <v>33</v>
      </c>
      <c r="B35" s="142" t="s">
        <v>95</v>
      </c>
      <c r="C35" s="133" t="s">
        <v>86</v>
      </c>
      <c r="D35" s="133" t="s">
        <v>96</v>
      </c>
      <c r="E35" s="133" t="s">
        <v>12</v>
      </c>
      <c r="F35" s="133" t="s">
        <v>97</v>
      </c>
      <c r="G35" s="139"/>
      <c r="H35" s="139"/>
      <c r="I35" s="139" t="s">
        <v>15</v>
      </c>
      <c r="J35" s="139"/>
      <c r="K35" s="139"/>
      <c r="L35" s="139"/>
    </row>
    <row r="36" spans="1:14" ht="29.1">
      <c r="A36" s="139">
        <v>34</v>
      </c>
      <c r="B36" s="142" t="s">
        <v>98</v>
      </c>
      <c r="C36" s="133" t="s">
        <v>86</v>
      </c>
      <c r="D36" s="133" t="s">
        <v>99</v>
      </c>
      <c r="E36" s="133" t="s">
        <v>12</v>
      </c>
      <c r="F36" s="133" t="s">
        <v>100</v>
      </c>
      <c r="G36" s="139"/>
      <c r="H36" s="139"/>
      <c r="I36" s="139"/>
      <c r="J36" s="139"/>
      <c r="K36" s="139"/>
      <c r="L36" s="139"/>
    </row>
    <row r="37" spans="1:14" ht="29.1">
      <c r="A37" s="139">
        <v>35</v>
      </c>
      <c r="B37" s="142" t="s">
        <v>101</v>
      </c>
      <c r="C37" s="133" t="s">
        <v>86</v>
      </c>
      <c r="D37" s="133" t="s">
        <v>102</v>
      </c>
      <c r="E37" s="133" t="s">
        <v>17</v>
      </c>
      <c r="F37" s="133" t="s">
        <v>103</v>
      </c>
      <c r="G37" s="139"/>
      <c r="H37" s="139"/>
      <c r="I37" s="139"/>
      <c r="J37" s="139"/>
      <c r="K37" s="139"/>
      <c r="L37" s="139"/>
    </row>
    <row r="38" spans="1:14">
      <c r="A38" s="139"/>
      <c r="B38" s="142"/>
      <c r="C38" s="133"/>
      <c r="D38" s="133"/>
      <c r="E38" s="133"/>
      <c r="F38" s="133"/>
      <c r="G38" s="139"/>
      <c r="H38" s="139"/>
      <c r="I38" s="139"/>
      <c r="J38" s="139"/>
      <c r="K38" s="139"/>
      <c r="L38" s="139"/>
    </row>
    <row r="40" spans="1:14" ht="29.1">
      <c r="A40" s="139">
        <v>36</v>
      </c>
      <c r="B40" s="142" t="s">
        <v>104</v>
      </c>
      <c r="C40" s="133" t="s">
        <v>86</v>
      </c>
      <c r="D40" s="133" t="s">
        <v>105</v>
      </c>
      <c r="E40" s="133" t="s">
        <v>12</v>
      </c>
      <c r="F40" s="133" t="s">
        <v>106</v>
      </c>
      <c r="G40" s="139"/>
      <c r="H40" s="139"/>
      <c r="I40" s="139" t="s">
        <v>15</v>
      </c>
      <c r="J40" s="139"/>
      <c r="K40" s="139"/>
      <c r="L40" s="139"/>
    </row>
    <row r="41" spans="1:14" ht="29.1">
      <c r="A41" s="139">
        <v>37</v>
      </c>
      <c r="B41" s="142" t="s">
        <v>107</v>
      </c>
      <c r="C41" s="133" t="s">
        <v>65</v>
      </c>
      <c r="D41" s="133" t="s">
        <v>108</v>
      </c>
      <c r="E41" s="133" t="s">
        <v>12</v>
      </c>
      <c r="F41" s="133" t="s">
        <v>109</v>
      </c>
      <c r="G41" s="139"/>
      <c r="H41" s="139"/>
      <c r="I41" s="139" t="s">
        <v>15</v>
      </c>
      <c r="J41" s="139"/>
      <c r="K41" s="139"/>
      <c r="L41" s="139"/>
    </row>
    <row r="42" spans="1:14" ht="29.1">
      <c r="A42" s="139">
        <v>38</v>
      </c>
      <c r="B42" s="139" t="s">
        <v>110</v>
      </c>
      <c r="C42" s="133" t="s">
        <v>86</v>
      </c>
      <c r="D42" s="133" t="s">
        <v>111</v>
      </c>
      <c r="E42" s="133" t="s">
        <v>12</v>
      </c>
      <c r="F42" s="133" t="s">
        <v>112</v>
      </c>
      <c r="G42" s="139"/>
      <c r="H42" s="139"/>
      <c r="I42" s="139"/>
      <c r="J42" s="139"/>
      <c r="K42" s="139"/>
      <c r="L42" s="139"/>
    </row>
    <row r="43" spans="1:14" ht="29.1">
      <c r="A43" s="139">
        <v>39</v>
      </c>
      <c r="B43" s="142">
        <v>46026</v>
      </c>
      <c r="C43" s="133" t="s">
        <v>86</v>
      </c>
      <c r="D43" s="133" t="s">
        <v>113</v>
      </c>
      <c r="E43" s="133" t="s">
        <v>12</v>
      </c>
      <c r="F43" s="133" t="s">
        <v>114</v>
      </c>
      <c r="G43" s="139"/>
      <c r="H43" s="139"/>
      <c r="I43" s="139" t="s">
        <v>15</v>
      </c>
      <c r="J43" s="139"/>
      <c r="K43" s="139"/>
      <c r="L43" s="139"/>
    </row>
    <row r="44" spans="1:14" ht="43.5">
      <c r="A44" s="163">
        <v>40</v>
      </c>
      <c r="B44" s="175">
        <v>46330</v>
      </c>
      <c r="C44" s="168" t="s">
        <v>86</v>
      </c>
      <c r="D44" s="168" t="s">
        <v>115</v>
      </c>
      <c r="E44" s="168" t="s">
        <v>116</v>
      </c>
      <c r="F44" s="168" t="s">
        <v>117</v>
      </c>
      <c r="G44" s="163"/>
      <c r="H44" s="163"/>
      <c r="I44" s="163" t="s">
        <v>15</v>
      </c>
      <c r="J44" s="163"/>
      <c r="K44" s="163"/>
      <c r="L44" s="163"/>
    </row>
    <row r="45" spans="1:14" s="161" customFormat="1" ht="30.75">
      <c r="A45" s="143">
        <v>41</v>
      </c>
      <c r="B45" s="143" t="s">
        <v>118</v>
      </c>
      <c r="C45" s="168" t="s">
        <v>86</v>
      </c>
      <c r="D45" s="207" t="s">
        <v>119</v>
      </c>
      <c r="E45" s="168" t="s">
        <v>116</v>
      </c>
      <c r="F45" s="207" t="s">
        <v>120</v>
      </c>
      <c r="G45" s="143" t="s">
        <v>121</v>
      </c>
      <c r="H45" s="143"/>
      <c r="I45" s="143" t="s">
        <v>15</v>
      </c>
      <c r="J45" s="143"/>
      <c r="K45" s="143"/>
      <c r="L45" s="143"/>
      <c r="M45" s="143"/>
      <c r="N45" s="143"/>
    </row>
    <row r="46" spans="1:14" s="161" customFormat="1" ht="30.75">
      <c r="A46" s="143">
        <v>42</v>
      </c>
      <c r="B46" s="143" t="s">
        <v>122</v>
      </c>
      <c r="C46" s="168" t="s">
        <v>86</v>
      </c>
      <c r="D46" s="207" t="s">
        <v>123</v>
      </c>
      <c r="E46" s="168" t="s">
        <v>116</v>
      </c>
      <c r="F46" s="207" t="s">
        <v>124</v>
      </c>
      <c r="G46" s="143" t="s">
        <v>121</v>
      </c>
      <c r="H46" s="143"/>
      <c r="I46" s="143" t="s">
        <v>15</v>
      </c>
      <c r="J46" s="143"/>
      <c r="K46" s="143"/>
      <c r="L46" s="143"/>
      <c r="M46" s="143"/>
      <c r="N46" s="143"/>
    </row>
    <row r="47" spans="1:14" s="447" customFormat="1" ht="30.75">
      <c r="A47" s="445">
        <v>43</v>
      </c>
      <c r="B47" s="445" t="s">
        <v>125</v>
      </c>
      <c r="C47" s="442" t="s">
        <v>86</v>
      </c>
      <c r="D47" s="446" t="s">
        <v>126</v>
      </c>
      <c r="E47" s="159" t="s">
        <v>17</v>
      </c>
      <c r="F47" s="446" t="s">
        <v>127</v>
      </c>
      <c r="G47" s="445"/>
      <c r="H47" s="445"/>
      <c r="I47" s="445" t="s">
        <v>15</v>
      </c>
      <c r="J47" s="445"/>
      <c r="K47" s="445"/>
      <c r="L47" s="445"/>
      <c r="M47" s="445"/>
      <c r="N47" s="445"/>
    </row>
    <row r="48" spans="1:14" s="447" customFormat="1" ht="30.75">
      <c r="A48" s="445">
        <v>44</v>
      </c>
      <c r="B48" s="445" t="s">
        <v>128</v>
      </c>
      <c r="C48" s="446"/>
      <c r="D48" s="446" t="s">
        <v>129</v>
      </c>
      <c r="E48" s="159" t="s">
        <v>12</v>
      </c>
      <c r="F48" s="446"/>
      <c r="G48" s="445"/>
      <c r="H48" s="445"/>
      <c r="I48" s="445" t="s">
        <v>15</v>
      </c>
      <c r="J48" s="445"/>
      <c r="K48" s="445"/>
      <c r="L48" s="445"/>
      <c r="M48" s="445"/>
      <c r="N48" s="445"/>
    </row>
    <row r="49" spans="1:14" s="447" customFormat="1" ht="30.75">
      <c r="A49" s="445">
        <v>45</v>
      </c>
      <c r="B49" s="445" t="s">
        <v>128</v>
      </c>
      <c r="C49" s="446"/>
      <c r="D49" s="446" t="s">
        <v>130</v>
      </c>
      <c r="E49" s="159" t="s">
        <v>12</v>
      </c>
      <c r="F49" s="446"/>
      <c r="G49" s="445"/>
      <c r="H49" s="445"/>
      <c r="I49" s="445" t="s">
        <v>15</v>
      </c>
      <c r="J49" s="445"/>
      <c r="K49" s="445"/>
      <c r="L49" s="445"/>
      <c r="M49" s="445"/>
      <c r="N49" s="445"/>
    </row>
    <row r="50" spans="1:14" s="439" customFormat="1" ht="30.75">
      <c r="A50" s="437">
        <v>46</v>
      </c>
      <c r="B50" s="437" t="s">
        <v>128</v>
      </c>
      <c r="C50" s="438" t="s">
        <v>131</v>
      </c>
      <c r="D50" s="438" t="s">
        <v>132</v>
      </c>
      <c r="E50" s="440" t="s">
        <v>12</v>
      </c>
      <c r="F50" s="438"/>
      <c r="G50" s="437"/>
      <c r="H50" s="437" t="s">
        <v>133</v>
      </c>
      <c r="I50" s="437" t="s">
        <v>15</v>
      </c>
      <c r="J50" s="437"/>
      <c r="K50" s="437"/>
      <c r="L50" s="437"/>
      <c r="M50" s="437"/>
      <c r="N50" s="437"/>
    </row>
    <row r="51" spans="1:14" s="444" customFormat="1" ht="30.75">
      <c r="A51" s="441">
        <v>47</v>
      </c>
      <c r="B51" s="441" t="s">
        <v>128</v>
      </c>
      <c r="C51" s="442" t="s">
        <v>86</v>
      </c>
      <c r="D51" s="443" t="s">
        <v>134</v>
      </c>
      <c r="E51" s="159" t="s">
        <v>12</v>
      </c>
      <c r="F51" s="443" t="s">
        <v>135</v>
      </c>
      <c r="G51" s="441"/>
      <c r="H51" s="441" t="s">
        <v>136</v>
      </c>
      <c r="I51" s="445" t="s">
        <v>15</v>
      </c>
      <c r="J51" s="441"/>
      <c r="K51" s="441"/>
      <c r="L51" s="441"/>
      <c r="M51" s="441"/>
      <c r="N51" s="441"/>
    </row>
    <row r="52" spans="1:14" s="447" customFormat="1" ht="45.75">
      <c r="A52" s="445">
        <v>48</v>
      </c>
      <c r="B52" s="441" t="s">
        <v>128</v>
      </c>
      <c r="C52" s="442" t="s">
        <v>86</v>
      </c>
      <c r="D52" s="446" t="s">
        <v>137</v>
      </c>
      <c r="E52" s="159" t="s">
        <v>12</v>
      </c>
      <c r="F52" s="446" t="s">
        <v>138</v>
      </c>
      <c r="G52" s="445"/>
      <c r="H52" s="445"/>
      <c r="I52" s="445" t="s">
        <v>15</v>
      </c>
      <c r="J52" s="445"/>
      <c r="K52" s="445"/>
      <c r="L52" s="445"/>
      <c r="M52" s="445"/>
      <c r="N52" s="445"/>
    </row>
    <row r="53" spans="1:14" s="161" customFormat="1" ht="45.75">
      <c r="A53" s="143">
        <v>49</v>
      </c>
      <c r="B53" s="143" t="s">
        <v>139</v>
      </c>
      <c r="C53" s="207" t="s">
        <v>86</v>
      </c>
      <c r="D53" s="207" t="s">
        <v>140</v>
      </c>
      <c r="E53" s="207" t="s">
        <v>12</v>
      </c>
      <c r="F53" s="207" t="s">
        <v>141</v>
      </c>
      <c r="G53" s="143"/>
      <c r="H53" s="143"/>
      <c r="I53" s="143" t="s">
        <v>15</v>
      </c>
      <c r="J53" s="143"/>
      <c r="K53" s="143"/>
      <c r="L53" s="143"/>
      <c r="M53" s="143"/>
      <c r="N53" s="143"/>
    </row>
    <row r="54" spans="1:14" s="164" customFormat="1" ht="30.75">
      <c r="A54" s="225">
        <v>50</v>
      </c>
      <c r="B54" s="502">
        <v>46242</v>
      </c>
      <c r="C54" s="368" t="s">
        <v>86</v>
      </c>
      <c r="D54" s="368" t="s">
        <v>142</v>
      </c>
      <c r="E54" s="368" t="s">
        <v>12</v>
      </c>
      <c r="F54" s="368" t="s">
        <v>143</v>
      </c>
      <c r="G54" s="225"/>
      <c r="H54" s="225"/>
      <c r="I54" s="225" t="s">
        <v>15</v>
      </c>
      <c r="J54" s="225"/>
      <c r="K54" s="225"/>
      <c r="L54" s="225"/>
      <c r="M54" s="225"/>
      <c r="N54" s="225"/>
    </row>
    <row r="55" spans="1:14" s="161" customFormat="1">
      <c r="A55" s="143"/>
      <c r="B55" s="143"/>
      <c r="C55" s="207"/>
      <c r="D55" s="207"/>
      <c r="E55" s="207"/>
      <c r="F55" s="207"/>
      <c r="G55" s="143"/>
      <c r="H55" s="143"/>
      <c r="I55" s="143"/>
      <c r="J55" s="143"/>
      <c r="K55" s="143"/>
      <c r="L55" s="143"/>
      <c r="M55" s="143"/>
      <c r="N55" s="143"/>
    </row>
    <row r="56" spans="1:14" s="161" customFormat="1" ht="45.75">
      <c r="A56" s="143"/>
      <c r="B56" s="499">
        <v>46335</v>
      </c>
      <c r="C56" s="207" t="s">
        <v>86</v>
      </c>
      <c r="D56" s="207" t="s">
        <v>144</v>
      </c>
      <c r="E56" s="207" t="s">
        <v>12</v>
      </c>
      <c r="F56" s="207" t="s">
        <v>145</v>
      </c>
      <c r="G56" s="143"/>
      <c r="H56" s="143" t="s">
        <v>146</v>
      </c>
      <c r="I56" s="143" t="s">
        <v>15</v>
      </c>
      <c r="J56" s="143"/>
      <c r="K56" s="143"/>
      <c r="L56" s="143"/>
      <c r="M56" s="143"/>
      <c r="N56" s="143"/>
    </row>
    <row r="57" spans="1:14" s="161" customFormat="1">
      <c r="A57" s="143"/>
      <c r="B57" s="143"/>
      <c r="C57" s="207"/>
      <c r="D57" s="207"/>
      <c r="E57" s="207"/>
      <c r="F57" s="207"/>
      <c r="G57" s="143"/>
      <c r="H57" s="143"/>
      <c r="I57" s="143"/>
      <c r="J57" s="143"/>
      <c r="K57" s="143"/>
      <c r="L57" s="143"/>
      <c r="M57" s="143"/>
      <c r="N57" s="143"/>
    </row>
    <row r="58" spans="1:14" s="161" customFormat="1">
      <c r="A58" s="143"/>
      <c r="B58" s="143"/>
      <c r="C58" s="207"/>
      <c r="D58" s="207"/>
      <c r="E58" s="207"/>
      <c r="F58" s="207"/>
      <c r="G58" s="143"/>
      <c r="H58" s="143"/>
      <c r="I58" s="143"/>
      <c r="J58" s="143"/>
      <c r="K58" s="143"/>
      <c r="L58" s="143"/>
      <c r="M58" s="143"/>
      <c r="N58" s="143"/>
    </row>
    <row r="59" spans="1:14" s="161" customFormat="1">
      <c r="A59" s="143"/>
      <c r="B59" s="143"/>
      <c r="C59" s="207"/>
      <c r="D59" s="207"/>
      <c r="E59" s="207"/>
      <c r="F59" s="207"/>
      <c r="G59" s="143"/>
      <c r="H59" s="143"/>
      <c r="I59" s="143"/>
      <c r="J59" s="143"/>
      <c r="K59" s="143"/>
      <c r="L59" s="143"/>
      <c r="M59" s="143"/>
      <c r="N59" s="143"/>
    </row>
    <row r="60" spans="1:14" s="161" customFormat="1">
      <c r="A60" s="143"/>
      <c r="B60" s="143"/>
      <c r="C60" s="207"/>
      <c r="D60" s="207"/>
      <c r="E60" s="207"/>
      <c r="F60" s="207"/>
      <c r="G60" s="143"/>
      <c r="H60" s="143"/>
      <c r="I60" s="143"/>
      <c r="J60" s="143"/>
      <c r="K60" s="143"/>
      <c r="L60" s="143"/>
      <c r="M60" s="143"/>
      <c r="N60" s="143"/>
    </row>
    <row r="61" spans="1:14" s="161" customFormat="1">
      <c r="A61" s="143"/>
      <c r="B61" s="143"/>
      <c r="C61" s="207"/>
      <c r="D61" s="207"/>
      <c r="E61" s="207"/>
      <c r="F61" s="207"/>
      <c r="G61" s="143"/>
      <c r="H61" s="143"/>
      <c r="I61" s="143"/>
      <c r="J61" s="143"/>
      <c r="K61" s="143"/>
      <c r="L61" s="143"/>
      <c r="M61" s="143"/>
      <c r="N61" s="143"/>
    </row>
    <row r="62" spans="1:14" s="161" customFormat="1">
      <c r="A62" s="143"/>
      <c r="B62" s="143"/>
      <c r="C62" s="207"/>
      <c r="D62" s="207"/>
      <c r="E62" s="207"/>
      <c r="F62" s="207"/>
      <c r="G62" s="143"/>
      <c r="H62" s="143"/>
      <c r="I62" s="143"/>
      <c r="J62" s="143"/>
      <c r="K62" s="143"/>
      <c r="L62" s="143"/>
      <c r="M62" s="143"/>
      <c r="N62" s="143"/>
    </row>
    <row r="63" spans="1:14" s="161" customFormat="1">
      <c r="A63" s="143"/>
      <c r="B63" s="143"/>
      <c r="C63" s="207"/>
      <c r="D63" s="207"/>
      <c r="E63" s="207"/>
      <c r="F63" s="207"/>
      <c r="G63" s="143"/>
      <c r="H63" s="143"/>
      <c r="I63" s="143"/>
      <c r="J63" s="143"/>
      <c r="K63" s="143"/>
      <c r="L63" s="143"/>
      <c r="M63" s="143"/>
      <c r="N63" s="143"/>
    </row>
    <row r="64" spans="1:14" s="161" customFormat="1">
      <c r="A64" s="143"/>
      <c r="B64" s="143"/>
      <c r="C64" s="207"/>
      <c r="D64" s="207"/>
      <c r="E64" s="207"/>
      <c r="F64" s="207"/>
      <c r="G64" s="143"/>
      <c r="H64" s="143"/>
      <c r="I64" s="143"/>
      <c r="J64" s="143"/>
      <c r="K64" s="143"/>
      <c r="L64" s="143"/>
      <c r="M64" s="143"/>
      <c r="N64" s="143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6167-343D-4890-8714-32D3626CD527}">
  <sheetPr filterMode="1"/>
  <dimension ref="A1:XET663"/>
  <sheetViews>
    <sheetView workbookViewId="0">
      <pane xSplit="1" ySplit="1" topLeftCell="B540" activePane="bottomRight" state="frozen"/>
      <selection pane="bottomRight" sqref="A1:XFD589"/>
      <selection pane="bottomLeft" activeCell="A5" sqref="A5"/>
      <selection pane="topRight" activeCell="F1" sqref="F1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.7109375" style="34" customWidth="1"/>
    <col min="4" max="4" width="26.140625" style="85" customWidth="1"/>
    <col min="5" max="5" width="33" style="16" customWidth="1"/>
    <col min="6" max="6" width="12.5703125" style="29" customWidth="1"/>
    <col min="7" max="7" width="13.140625" style="29" customWidth="1"/>
    <col min="8" max="8" width="14.28515625" style="34" customWidth="1"/>
    <col min="9" max="9" width="15.28515625" style="6" customWidth="1"/>
    <col min="10" max="10" width="12.85546875" style="85" customWidth="1"/>
    <col min="11" max="11" width="23.7109375" style="85" customWidth="1"/>
    <col min="12" max="12" width="21.42578125" style="34" customWidth="1"/>
    <col min="13" max="14" width="10.85546875" style="29" customWidth="1"/>
    <col min="15" max="16" width="10.28515625" style="34" customWidth="1"/>
    <col min="17" max="17" width="14.28515625" customWidth="1"/>
    <col min="18" max="18" width="9.140625" customWidth="1"/>
    <col min="19" max="20" width="21.28515625" style="85" customWidth="1"/>
    <col min="21" max="21" width="25.7109375" style="34" customWidth="1"/>
    <col min="22" max="22" width="12.7109375" style="34" customWidth="1"/>
    <col min="23" max="23" width="20" style="116" customWidth="1"/>
    <col min="24" max="24" width="25.85546875" customWidth="1"/>
    <col min="30" max="30" width="23.7109375" bestFit="1" customWidth="1"/>
  </cols>
  <sheetData>
    <row r="1" spans="1:30" s="161" customFormat="1" ht="30.75">
      <c r="A1" s="131" t="s">
        <v>147</v>
      </c>
      <c r="B1" s="131" t="s">
        <v>148</v>
      </c>
      <c r="C1" s="131" t="s">
        <v>149</v>
      </c>
      <c r="D1" s="131" t="s">
        <v>150</v>
      </c>
      <c r="E1" s="131" t="s">
        <v>151</v>
      </c>
      <c r="F1" s="132" t="s">
        <v>152</v>
      </c>
      <c r="G1" s="132" t="s">
        <v>153</v>
      </c>
      <c r="H1" s="131" t="s">
        <v>154</v>
      </c>
      <c r="I1" s="131" t="s">
        <v>155</v>
      </c>
      <c r="J1" s="131" t="s">
        <v>156</v>
      </c>
      <c r="K1" s="131" t="s">
        <v>157</v>
      </c>
      <c r="L1" s="131" t="s">
        <v>158</v>
      </c>
      <c r="M1" s="131" t="s">
        <v>159</v>
      </c>
      <c r="N1" s="131" t="s">
        <v>160</v>
      </c>
      <c r="O1" s="131" t="s">
        <v>161</v>
      </c>
      <c r="P1" s="131"/>
      <c r="Q1" s="131" t="s">
        <v>162</v>
      </c>
      <c r="R1" s="131" t="s">
        <v>163</v>
      </c>
      <c r="S1" s="131" t="s">
        <v>164</v>
      </c>
      <c r="T1" s="131"/>
      <c r="U1" s="131" t="s">
        <v>165</v>
      </c>
      <c r="V1" s="131" t="s">
        <v>166</v>
      </c>
      <c r="W1" s="131" t="s">
        <v>163</v>
      </c>
      <c r="X1" s="131"/>
    </row>
    <row r="2" spans="1:30" s="161" customFormat="1" ht="45.75">
      <c r="A2" s="133">
        <v>1</v>
      </c>
      <c r="B2" s="133" t="s">
        <v>167</v>
      </c>
      <c r="C2" s="134" t="s">
        <v>168</v>
      </c>
      <c r="D2" s="166" t="s">
        <v>169</v>
      </c>
      <c r="E2" s="140" t="s">
        <v>170</v>
      </c>
      <c r="F2" s="135">
        <v>8197064630</v>
      </c>
      <c r="G2" s="135" t="s">
        <v>171</v>
      </c>
      <c r="H2" s="133" t="s">
        <v>172</v>
      </c>
      <c r="I2" s="133" t="s">
        <v>10</v>
      </c>
      <c r="J2" s="133" t="s">
        <v>173</v>
      </c>
      <c r="K2" s="133" t="s">
        <v>174</v>
      </c>
      <c r="L2" s="180" t="s">
        <v>175</v>
      </c>
      <c r="M2" s="136">
        <v>45558</v>
      </c>
      <c r="N2" s="136">
        <v>45891</v>
      </c>
      <c r="O2" s="133">
        <v>11</v>
      </c>
      <c r="P2" s="133"/>
      <c r="Q2" s="133" t="s">
        <v>176</v>
      </c>
      <c r="R2" s="133" t="s">
        <v>177</v>
      </c>
      <c r="S2" s="133" t="s">
        <v>178</v>
      </c>
      <c r="T2" s="133"/>
      <c r="U2" s="133" t="s">
        <v>179</v>
      </c>
      <c r="V2" s="133"/>
      <c r="W2" s="133"/>
      <c r="X2" s="133"/>
      <c r="AD2" s="161" t="s">
        <v>180</v>
      </c>
    </row>
    <row r="3" spans="1:30" s="219" customFormat="1" ht="87.75">
      <c r="A3" s="131">
        <v>2</v>
      </c>
      <c r="B3" s="131" t="s">
        <v>167</v>
      </c>
      <c r="C3" s="131" t="s">
        <v>181</v>
      </c>
      <c r="D3" s="131" t="s">
        <v>182</v>
      </c>
      <c r="E3" s="328" t="s">
        <v>183</v>
      </c>
      <c r="F3" s="298">
        <v>9901253086</v>
      </c>
      <c r="G3" s="298" t="s">
        <v>184</v>
      </c>
      <c r="H3" s="131" t="s">
        <v>172</v>
      </c>
      <c r="I3" s="131" t="s">
        <v>10</v>
      </c>
      <c r="J3" s="131" t="s">
        <v>185</v>
      </c>
      <c r="K3" s="131" t="s">
        <v>174</v>
      </c>
      <c r="L3" s="264" t="s">
        <v>186</v>
      </c>
      <c r="M3" s="452">
        <v>45559</v>
      </c>
      <c r="N3" s="452">
        <v>45892</v>
      </c>
      <c r="O3" s="131">
        <v>11</v>
      </c>
      <c r="P3" s="131"/>
      <c r="Q3" s="131" t="s">
        <v>176</v>
      </c>
      <c r="R3" s="131" t="s">
        <v>177</v>
      </c>
      <c r="S3" s="131" t="s">
        <v>187</v>
      </c>
      <c r="T3" s="131"/>
      <c r="U3" s="131"/>
      <c r="V3" s="131"/>
      <c r="W3" s="131" t="s">
        <v>188</v>
      </c>
      <c r="X3" s="131"/>
      <c r="AD3" s="219" t="s">
        <v>189</v>
      </c>
    </row>
    <row r="4" spans="1:30" s="161" customFormat="1" ht="45.75">
      <c r="A4" s="139">
        <v>3</v>
      </c>
      <c r="B4" s="139" t="s">
        <v>167</v>
      </c>
      <c r="C4" s="133" t="s">
        <v>190</v>
      </c>
      <c r="D4" s="133" t="s">
        <v>191</v>
      </c>
      <c r="E4" s="140" t="s">
        <v>192</v>
      </c>
      <c r="F4" s="141">
        <v>8178495485</v>
      </c>
      <c r="G4" s="135" t="s">
        <v>193</v>
      </c>
      <c r="H4" s="133" t="s">
        <v>194</v>
      </c>
      <c r="I4" s="133" t="s">
        <v>10</v>
      </c>
      <c r="J4" s="133" t="s">
        <v>173</v>
      </c>
      <c r="K4" s="133" t="s">
        <v>174</v>
      </c>
      <c r="L4" s="180" t="s">
        <v>175</v>
      </c>
      <c r="M4" s="142">
        <v>45565</v>
      </c>
      <c r="N4" s="142">
        <v>45898</v>
      </c>
      <c r="O4" s="139">
        <v>11</v>
      </c>
      <c r="P4" s="139"/>
      <c r="Q4" s="133" t="s">
        <v>195</v>
      </c>
      <c r="R4" s="139" t="s">
        <v>177</v>
      </c>
      <c r="S4" s="133" t="s">
        <v>196</v>
      </c>
      <c r="T4" s="133"/>
      <c r="U4" s="133"/>
      <c r="V4" s="133"/>
      <c r="W4" s="131" t="s">
        <v>188</v>
      </c>
      <c r="X4" s="133"/>
      <c r="AD4" s="161" t="s">
        <v>197</v>
      </c>
    </row>
    <row r="5" spans="1:30" s="161" customFormat="1" ht="45.75">
      <c r="A5" s="139">
        <v>4</v>
      </c>
      <c r="B5" s="139" t="s">
        <v>167</v>
      </c>
      <c r="C5" s="139" t="s">
        <v>198</v>
      </c>
      <c r="D5" s="133" t="s">
        <v>199</v>
      </c>
      <c r="E5" s="140" t="s">
        <v>200</v>
      </c>
      <c r="F5" s="141">
        <v>9446942100</v>
      </c>
      <c r="G5" s="141" t="s">
        <v>201</v>
      </c>
      <c r="H5" s="139" t="s">
        <v>202</v>
      </c>
      <c r="I5" s="133" t="s">
        <v>10</v>
      </c>
      <c r="J5" s="133" t="s">
        <v>185</v>
      </c>
      <c r="K5" s="133" t="s">
        <v>174</v>
      </c>
      <c r="L5" s="138" t="s">
        <v>186</v>
      </c>
      <c r="M5" s="142">
        <v>45569</v>
      </c>
      <c r="N5" s="142">
        <v>45933</v>
      </c>
      <c r="O5" s="139">
        <v>12</v>
      </c>
      <c r="P5" s="139"/>
      <c r="Q5" s="133" t="s">
        <v>203</v>
      </c>
      <c r="R5" s="139" t="s">
        <v>177</v>
      </c>
      <c r="S5" s="133" t="s">
        <v>204</v>
      </c>
      <c r="T5" s="133"/>
      <c r="U5" s="133"/>
      <c r="V5" s="133"/>
      <c r="W5" s="133"/>
      <c r="X5" s="133"/>
      <c r="AD5" s="161" t="s">
        <v>205</v>
      </c>
    </row>
    <row r="6" spans="1:30" s="141" customFormat="1" ht="45.75">
      <c r="A6" s="133">
        <v>5</v>
      </c>
      <c r="B6" s="139" t="s">
        <v>167</v>
      </c>
      <c r="C6" s="139" t="s">
        <v>206</v>
      </c>
      <c r="D6" s="133" t="s">
        <v>207</v>
      </c>
      <c r="E6" s="140" t="s">
        <v>208</v>
      </c>
      <c r="F6" s="141">
        <v>8868908134</v>
      </c>
      <c r="G6" s="141" t="s">
        <v>209</v>
      </c>
      <c r="H6" s="139" t="s">
        <v>194</v>
      </c>
      <c r="I6" s="133" t="s">
        <v>10</v>
      </c>
      <c r="J6" s="133" t="s">
        <v>173</v>
      </c>
      <c r="K6" s="133" t="s">
        <v>174</v>
      </c>
      <c r="L6" s="180" t="s">
        <v>175</v>
      </c>
      <c r="M6" s="142">
        <v>45601</v>
      </c>
      <c r="N6" s="142">
        <v>45935</v>
      </c>
      <c r="O6" s="139">
        <v>11</v>
      </c>
      <c r="P6" s="139"/>
      <c r="Q6" s="133" t="s">
        <v>195</v>
      </c>
      <c r="R6" s="139" t="s">
        <v>177</v>
      </c>
      <c r="S6" s="133" t="s">
        <v>210</v>
      </c>
      <c r="T6" s="133"/>
      <c r="U6" s="133"/>
      <c r="V6" s="133"/>
      <c r="W6" s="131" t="s">
        <v>188</v>
      </c>
      <c r="X6" s="133"/>
      <c r="AD6" s="141" t="s">
        <v>203</v>
      </c>
    </row>
    <row r="7" spans="1:30" s="161" customFormat="1" ht="45.75">
      <c r="A7" s="133">
        <v>6</v>
      </c>
      <c r="B7" s="139" t="s">
        <v>211</v>
      </c>
      <c r="C7" s="139" t="s">
        <v>212</v>
      </c>
      <c r="D7" s="133" t="s">
        <v>213</v>
      </c>
      <c r="E7" s="140" t="s">
        <v>214</v>
      </c>
      <c r="F7" s="141">
        <v>8050839065</v>
      </c>
      <c r="G7" s="141" t="s">
        <v>215</v>
      </c>
      <c r="H7" s="139" t="s">
        <v>216</v>
      </c>
      <c r="I7" s="133" t="s">
        <v>10</v>
      </c>
      <c r="J7" s="133" t="s">
        <v>173</v>
      </c>
      <c r="K7" s="133" t="s">
        <v>174</v>
      </c>
      <c r="L7" s="180" t="s">
        <v>175</v>
      </c>
      <c r="M7" s="142">
        <v>45602</v>
      </c>
      <c r="N7" s="142">
        <v>45936</v>
      </c>
      <c r="O7" s="139">
        <v>11</v>
      </c>
      <c r="P7" s="139"/>
      <c r="Q7" s="133" t="s">
        <v>176</v>
      </c>
      <c r="R7" s="139" t="s">
        <v>177</v>
      </c>
      <c r="S7" s="133" t="s">
        <v>217</v>
      </c>
      <c r="T7" s="133"/>
      <c r="U7" s="133" t="s">
        <v>218</v>
      </c>
      <c r="V7" s="133"/>
      <c r="W7" s="133"/>
      <c r="X7" s="133"/>
      <c r="AD7" s="145" t="s">
        <v>176</v>
      </c>
    </row>
    <row r="8" spans="1:30" s="161" customFormat="1" ht="60.75">
      <c r="A8" s="139">
        <v>8</v>
      </c>
      <c r="B8" s="139" t="s">
        <v>211</v>
      </c>
      <c r="C8" s="133" t="s">
        <v>219</v>
      </c>
      <c r="D8" s="133" t="s">
        <v>220</v>
      </c>
      <c r="E8" s="137" t="s">
        <v>221</v>
      </c>
      <c r="F8" s="141">
        <v>9062211140</v>
      </c>
      <c r="G8" s="141" t="s">
        <v>222</v>
      </c>
      <c r="H8" s="139" t="s">
        <v>223</v>
      </c>
      <c r="I8" s="133" t="s">
        <v>10</v>
      </c>
      <c r="J8" s="133" t="s">
        <v>173</v>
      </c>
      <c r="K8" s="133" t="s">
        <v>174</v>
      </c>
      <c r="L8" s="180" t="s">
        <v>175</v>
      </c>
      <c r="M8" s="142">
        <v>45608</v>
      </c>
      <c r="N8" s="142">
        <v>45942</v>
      </c>
      <c r="O8" s="139">
        <v>11</v>
      </c>
      <c r="P8" s="139"/>
      <c r="Q8" s="133" t="s">
        <v>195</v>
      </c>
      <c r="R8" s="139" t="s">
        <v>177</v>
      </c>
      <c r="S8" s="133" t="s">
        <v>224</v>
      </c>
      <c r="T8" s="133"/>
      <c r="U8" s="133" t="s">
        <v>225</v>
      </c>
      <c r="V8" s="133"/>
      <c r="W8" s="133"/>
      <c r="X8" s="133"/>
      <c r="AD8" s="161" t="s">
        <v>226</v>
      </c>
    </row>
    <row r="9" spans="1:30" s="161" customFormat="1" ht="45.75">
      <c r="A9" s="133">
        <v>9</v>
      </c>
      <c r="B9" s="139" t="s">
        <v>227</v>
      </c>
      <c r="C9" s="133" t="s">
        <v>228</v>
      </c>
      <c r="D9" s="133" t="s">
        <v>229</v>
      </c>
      <c r="E9" s="133" t="s">
        <v>230</v>
      </c>
      <c r="F9" s="144">
        <v>9480454011</v>
      </c>
      <c r="G9" s="145" t="s">
        <v>231</v>
      </c>
      <c r="H9" s="133" t="s">
        <v>232</v>
      </c>
      <c r="I9" s="133" t="s">
        <v>10</v>
      </c>
      <c r="J9" s="133" t="s">
        <v>233</v>
      </c>
      <c r="K9" s="133" t="s">
        <v>174</v>
      </c>
      <c r="L9" s="180" t="s">
        <v>234</v>
      </c>
      <c r="M9" s="142">
        <v>45609</v>
      </c>
      <c r="N9" s="142">
        <v>45578</v>
      </c>
      <c r="O9" s="139">
        <v>11</v>
      </c>
      <c r="P9" s="139"/>
      <c r="Q9" s="133" t="s">
        <v>176</v>
      </c>
      <c r="R9" s="139" t="s">
        <v>177</v>
      </c>
      <c r="S9" s="133" t="s">
        <v>235</v>
      </c>
      <c r="T9" s="133"/>
      <c r="U9" s="133"/>
      <c r="V9" s="133"/>
      <c r="W9" s="131" t="s">
        <v>188</v>
      </c>
      <c r="X9" s="207"/>
      <c r="AD9" s="161" t="s">
        <v>236</v>
      </c>
    </row>
    <row r="10" spans="1:30" s="161" customFormat="1" ht="60.75">
      <c r="A10" s="133">
        <v>10</v>
      </c>
      <c r="B10" s="139" t="s">
        <v>227</v>
      </c>
      <c r="C10" s="139" t="s">
        <v>237</v>
      </c>
      <c r="D10" s="133" t="s">
        <v>238</v>
      </c>
      <c r="E10" s="137" t="s">
        <v>239</v>
      </c>
      <c r="F10" s="145">
        <v>8936922096</v>
      </c>
      <c r="G10" s="145" t="s">
        <v>240</v>
      </c>
      <c r="H10" s="133" t="s">
        <v>241</v>
      </c>
      <c r="I10" s="133" t="s">
        <v>10</v>
      </c>
      <c r="J10" s="133" t="s">
        <v>173</v>
      </c>
      <c r="K10" s="133" t="s">
        <v>174</v>
      </c>
      <c r="L10" s="180" t="s">
        <v>175</v>
      </c>
      <c r="M10" s="142">
        <v>45609</v>
      </c>
      <c r="N10" s="142">
        <v>45973</v>
      </c>
      <c r="O10" s="139">
        <v>11</v>
      </c>
      <c r="P10" s="139"/>
      <c r="Q10" s="133" t="s">
        <v>195</v>
      </c>
      <c r="R10" s="139" t="s">
        <v>177</v>
      </c>
      <c r="S10" s="133" t="s">
        <v>242</v>
      </c>
      <c r="T10" s="133"/>
      <c r="U10" s="133"/>
      <c r="V10" s="133"/>
      <c r="W10" s="131" t="s">
        <v>243</v>
      </c>
      <c r="X10" s="207"/>
    </row>
    <row r="11" spans="1:30" s="141" customFormat="1" ht="60.75">
      <c r="A11" s="139">
        <v>11</v>
      </c>
      <c r="B11" s="139" t="s">
        <v>227</v>
      </c>
      <c r="C11" s="139" t="s">
        <v>244</v>
      </c>
      <c r="D11" s="133" t="s">
        <v>245</v>
      </c>
      <c r="E11" s="137" t="s">
        <v>246</v>
      </c>
      <c r="F11" s="141">
        <v>7755047992</v>
      </c>
      <c r="G11" s="141" t="s">
        <v>247</v>
      </c>
      <c r="H11" s="139" t="s">
        <v>248</v>
      </c>
      <c r="I11" s="133" t="s">
        <v>10</v>
      </c>
      <c r="J11" s="133" t="s">
        <v>185</v>
      </c>
      <c r="K11" s="133" t="s">
        <v>174</v>
      </c>
      <c r="L11" s="138" t="s">
        <v>186</v>
      </c>
      <c r="M11" s="142">
        <v>45617</v>
      </c>
      <c r="N11" s="142">
        <v>45981</v>
      </c>
      <c r="O11" s="139">
        <v>11</v>
      </c>
      <c r="P11" s="139"/>
      <c r="Q11" s="133" t="s">
        <v>195</v>
      </c>
      <c r="R11" s="139" t="s">
        <v>177</v>
      </c>
      <c r="S11" s="133" t="s">
        <v>249</v>
      </c>
      <c r="T11" s="133"/>
      <c r="U11" s="133" t="s">
        <v>250</v>
      </c>
      <c r="V11" s="133"/>
      <c r="W11" s="131" t="s">
        <v>188</v>
      </c>
      <c r="X11" s="133"/>
    </row>
    <row r="12" spans="1:30" s="198" customFormat="1" ht="60.75">
      <c r="A12" s="179">
        <v>12</v>
      </c>
      <c r="B12" s="179" t="s">
        <v>227</v>
      </c>
      <c r="C12" s="179" t="s">
        <v>251</v>
      </c>
      <c r="D12" s="131" t="s">
        <v>252</v>
      </c>
      <c r="E12" s="323" t="s">
        <v>253</v>
      </c>
      <c r="F12" s="198">
        <v>8544322071</v>
      </c>
      <c r="G12" s="198" t="s">
        <v>254</v>
      </c>
      <c r="H12" s="179" t="s">
        <v>172</v>
      </c>
      <c r="I12" s="131" t="s">
        <v>10</v>
      </c>
      <c r="J12" s="131" t="s">
        <v>233</v>
      </c>
      <c r="K12" s="131" t="s">
        <v>174</v>
      </c>
      <c r="L12" s="277" t="s">
        <v>234</v>
      </c>
      <c r="M12" s="329">
        <v>45630</v>
      </c>
      <c r="N12" s="329">
        <v>45994</v>
      </c>
      <c r="O12" s="179">
        <v>12</v>
      </c>
      <c r="P12" s="179"/>
      <c r="Q12" s="131" t="s">
        <v>176</v>
      </c>
      <c r="R12" s="179" t="s">
        <v>177</v>
      </c>
      <c r="S12" s="131" t="s">
        <v>255</v>
      </c>
      <c r="T12" s="131"/>
      <c r="U12" s="131" t="s">
        <v>256</v>
      </c>
      <c r="V12" s="131"/>
      <c r="W12" s="131" t="s">
        <v>188</v>
      </c>
      <c r="X12" s="131"/>
    </row>
    <row r="13" spans="1:30" s="141" customFormat="1" ht="60.75">
      <c r="A13" s="133">
        <v>13</v>
      </c>
      <c r="B13" s="139" t="s">
        <v>227</v>
      </c>
      <c r="C13" s="139" t="s">
        <v>257</v>
      </c>
      <c r="D13" s="133" t="s">
        <v>258</v>
      </c>
      <c r="E13" s="137" t="s">
        <v>259</v>
      </c>
      <c r="F13" s="141">
        <v>9310691987</v>
      </c>
      <c r="G13" s="141" t="s">
        <v>260</v>
      </c>
      <c r="H13" s="139" t="s">
        <v>261</v>
      </c>
      <c r="I13" s="133" t="s">
        <v>10</v>
      </c>
      <c r="J13" s="133" t="s">
        <v>185</v>
      </c>
      <c r="K13" s="133" t="s">
        <v>174</v>
      </c>
      <c r="L13" s="138" t="s">
        <v>186</v>
      </c>
      <c r="M13" s="142">
        <v>45630</v>
      </c>
      <c r="N13" s="142">
        <v>45994</v>
      </c>
      <c r="O13" s="139">
        <v>12</v>
      </c>
      <c r="P13" s="139"/>
      <c r="Q13" s="133" t="s">
        <v>176</v>
      </c>
      <c r="R13" s="139" t="s">
        <v>177</v>
      </c>
      <c r="S13" s="133" t="s">
        <v>262</v>
      </c>
      <c r="T13" s="133"/>
      <c r="U13" s="133" t="s">
        <v>263</v>
      </c>
      <c r="V13" s="133"/>
      <c r="W13" s="133"/>
      <c r="X13" s="133"/>
    </row>
    <row r="14" spans="1:30" s="141" customFormat="1" ht="76.5">
      <c r="A14" s="133">
        <v>14</v>
      </c>
      <c r="B14" s="139" t="s">
        <v>227</v>
      </c>
      <c r="C14" s="139" t="s">
        <v>264</v>
      </c>
      <c r="D14" s="133" t="s">
        <v>265</v>
      </c>
      <c r="E14" s="137" t="s">
        <v>266</v>
      </c>
      <c r="F14" s="141">
        <v>9901540217</v>
      </c>
      <c r="G14" s="141" t="s">
        <v>267</v>
      </c>
      <c r="H14" s="139" t="s">
        <v>268</v>
      </c>
      <c r="I14" s="133" t="s">
        <v>10</v>
      </c>
      <c r="J14" s="133" t="s">
        <v>233</v>
      </c>
      <c r="K14" s="133" t="s">
        <v>174</v>
      </c>
      <c r="L14" s="180" t="s">
        <v>234</v>
      </c>
      <c r="M14" s="142">
        <v>45632</v>
      </c>
      <c r="N14" s="142">
        <v>45996</v>
      </c>
      <c r="O14" s="139">
        <v>12</v>
      </c>
      <c r="P14" s="139"/>
      <c r="Q14" s="133" t="s">
        <v>176</v>
      </c>
      <c r="R14" s="139" t="s">
        <v>177</v>
      </c>
      <c r="S14" s="133" t="s">
        <v>269</v>
      </c>
      <c r="T14" s="133"/>
      <c r="U14" s="133" t="s">
        <v>270</v>
      </c>
      <c r="V14" s="133"/>
      <c r="W14" s="131" t="s">
        <v>188</v>
      </c>
      <c r="X14" s="133"/>
    </row>
    <row r="15" spans="1:30" s="198" customFormat="1" ht="45.75">
      <c r="A15" s="179">
        <v>15</v>
      </c>
      <c r="B15" s="179" t="s">
        <v>227</v>
      </c>
      <c r="C15" s="179" t="s">
        <v>271</v>
      </c>
      <c r="D15" s="131" t="s">
        <v>272</v>
      </c>
      <c r="E15" s="132" t="s">
        <v>273</v>
      </c>
      <c r="F15" s="198" t="s">
        <v>274</v>
      </c>
      <c r="H15" s="179" t="s">
        <v>275</v>
      </c>
      <c r="I15" s="179" t="s">
        <v>276</v>
      </c>
      <c r="J15" s="131" t="s">
        <v>277</v>
      </c>
      <c r="K15" s="131"/>
      <c r="L15" s="179"/>
      <c r="M15" s="265">
        <v>45633</v>
      </c>
      <c r="N15" s="265">
        <v>45997</v>
      </c>
      <c r="O15" s="179">
        <v>12</v>
      </c>
      <c r="P15" s="179"/>
      <c r="Q15" s="131" t="s">
        <v>195</v>
      </c>
      <c r="R15" s="179" t="s">
        <v>177</v>
      </c>
      <c r="S15" s="131" t="s">
        <v>278</v>
      </c>
      <c r="T15" s="131"/>
      <c r="U15" s="131"/>
      <c r="V15" s="179"/>
      <c r="W15" s="131" t="s">
        <v>279</v>
      </c>
      <c r="X15" s="179"/>
    </row>
    <row r="16" spans="1:30" s="219" customFormat="1" ht="91.5">
      <c r="A16" s="179">
        <v>16</v>
      </c>
      <c r="B16" s="179" t="s">
        <v>227</v>
      </c>
      <c r="C16" s="179" t="s">
        <v>280</v>
      </c>
      <c r="D16" s="131" t="s">
        <v>281</v>
      </c>
      <c r="E16" s="132" t="s">
        <v>282</v>
      </c>
      <c r="F16" s="198">
        <v>9582249765</v>
      </c>
      <c r="G16" s="198" t="s">
        <v>283</v>
      </c>
      <c r="H16" s="131" t="s">
        <v>241</v>
      </c>
      <c r="I16" s="131" t="s">
        <v>10</v>
      </c>
      <c r="J16" s="131" t="s">
        <v>173</v>
      </c>
      <c r="K16" s="131" t="s">
        <v>174</v>
      </c>
      <c r="L16" s="277" t="s">
        <v>175</v>
      </c>
      <c r="M16" s="265">
        <v>45635</v>
      </c>
      <c r="N16" s="265">
        <v>45970</v>
      </c>
      <c r="O16" s="179">
        <v>11</v>
      </c>
      <c r="P16" s="179"/>
      <c r="Q16" s="131" t="s">
        <v>195</v>
      </c>
      <c r="R16" s="179" t="s">
        <v>177</v>
      </c>
      <c r="S16" s="131" t="s">
        <v>284</v>
      </c>
      <c r="T16" s="131"/>
      <c r="U16" s="131" t="s">
        <v>285</v>
      </c>
      <c r="V16" s="131"/>
      <c r="W16" s="131" t="s">
        <v>188</v>
      </c>
      <c r="X16" s="131"/>
    </row>
    <row r="17" spans="1:25" s="219" customFormat="1" ht="60.75">
      <c r="A17" s="131">
        <v>17</v>
      </c>
      <c r="B17" s="179" t="s">
        <v>227</v>
      </c>
      <c r="C17" s="179" t="s">
        <v>286</v>
      </c>
      <c r="D17" s="131" t="s">
        <v>287</v>
      </c>
      <c r="E17" s="132" t="s">
        <v>288</v>
      </c>
      <c r="F17" s="198">
        <v>9830070871</v>
      </c>
      <c r="G17" s="198" t="s">
        <v>289</v>
      </c>
      <c r="H17" s="131" t="s">
        <v>290</v>
      </c>
      <c r="I17" s="131" t="s">
        <v>10</v>
      </c>
      <c r="J17" s="131" t="s">
        <v>185</v>
      </c>
      <c r="K17" s="131" t="s">
        <v>174</v>
      </c>
      <c r="L17" s="264" t="s">
        <v>186</v>
      </c>
      <c r="M17" s="265">
        <v>45636</v>
      </c>
      <c r="N17" s="265">
        <v>45970</v>
      </c>
      <c r="O17" s="179">
        <v>11</v>
      </c>
      <c r="P17" s="179"/>
      <c r="Q17" s="131" t="s">
        <v>195</v>
      </c>
      <c r="R17" s="179" t="s">
        <v>177</v>
      </c>
      <c r="S17" s="131" t="s">
        <v>291</v>
      </c>
      <c r="T17" s="131"/>
      <c r="U17" s="131" t="s">
        <v>292</v>
      </c>
      <c r="V17" s="131"/>
      <c r="W17" s="131" t="s">
        <v>188</v>
      </c>
      <c r="X17" s="131"/>
    </row>
    <row r="18" spans="1:25" s="161" customFormat="1" ht="76.5">
      <c r="A18" s="133">
        <v>18</v>
      </c>
      <c r="B18" s="139" t="s">
        <v>227</v>
      </c>
      <c r="C18" s="139" t="s">
        <v>293</v>
      </c>
      <c r="D18" s="133" t="s">
        <v>294</v>
      </c>
      <c r="E18" s="145" t="s">
        <v>295</v>
      </c>
      <c r="F18" s="141">
        <v>9315845736</v>
      </c>
      <c r="G18" s="141" t="s">
        <v>296</v>
      </c>
      <c r="H18" s="133" t="s">
        <v>194</v>
      </c>
      <c r="I18" s="133" t="s">
        <v>10</v>
      </c>
      <c r="J18" s="133" t="s">
        <v>185</v>
      </c>
      <c r="K18" s="133" t="s">
        <v>174</v>
      </c>
      <c r="L18" s="138" t="s">
        <v>186</v>
      </c>
      <c r="M18" s="146">
        <v>45636</v>
      </c>
      <c r="N18" s="146">
        <v>45970</v>
      </c>
      <c r="O18" s="139">
        <v>11</v>
      </c>
      <c r="P18" s="139"/>
      <c r="Q18" s="133" t="s">
        <v>176</v>
      </c>
      <c r="R18" s="139" t="s">
        <v>177</v>
      </c>
      <c r="S18" s="133" t="s">
        <v>297</v>
      </c>
      <c r="T18" s="133"/>
      <c r="U18" s="133" t="s">
        <v>298</v>
      </c>
      <c r="V18" s="133"/>
      <c r="W18" s="133"/>
      <c r="X18" s="133"/>
    </row>
    <row r="19" spans="1:25" s="161" customFormat="1" ht="76.5">
      <c r="A19" s="139">
        <v>20</v>
      </c>
      <c r="B19" s="139" t="s">
        <v>211</v>
      </c>
      <c r="C19" s="139" t="s">
        <v>299</v>
      </c>
      <c r="D19" s="133" t="s">
        <v>300</v>
      </c>
      <c r="E19" s="145" t="s">
        <v>301</v>
      </c>
      <c r="F19" s="141">
        <v>9008420101</v>
      </c>
      <c r="G19" s="141" t="s">
        <v>302</v>
      </c>
      <c r="H19" s="139" t="s">
        <v>303</v>
      </c>
      <c r="I19" s="133" t="s">
        <v>10</v>
      </c>
      <c r="J19" s="133" t="s">
        <v>185</v>
      </c>
      <c r="K19" s="133" t="s">
        <v>174</v>
      </c>
      <c r="L19" s="138" t="s">
        <v>186</v>
      </c>
      <c r="M19" s="146">
        <v>45637</v>
      </c>
      <c r="N19" s="146">
        <v>45971</v>
      </c>
      <c r="O19" s="139">
        <v>11</v>
      </c>
      <c r="P19" s="139"/>
      <c r="Q19" s="133" t="s">
        <v>195</v>
      </c>
      <c r="R19" s="139" t="s">
        <v>177</v>
      </c>
      <c r="S19" s="133" t="s">
        <v>304</v>
      </c>
      <c r="T19" s="133"/>
      <c r="U19" s="133" t="s">
        <v>305</v>
      </c>
      <c r="V19" s="133"/>
      <c r="W19" s="133"/>
      <c r="X19" s="133"/>
    </row>
    <row r="20" spans="1:25" s="161" customFormat="1" ht="60.75">
      <c r="A20" s="133">
        <v>21</v>
      </c>
      <c r="B20" s="139" t="s">
        <v>227</v>
      </c>
      <c r="C20" s="139" t="s">
        <v>306</v>
      </c>
      <c r="D20" s="133" t="s">
        <v>307</v>
      </c>
      <c r="E20" s="145" t="s">
        <v>308</v>
      </c>
      <c r="F20" s="141">
        <v>8136942326</v>
      </c>
      <c r="G20" s="141" t="s">
        <v>309</v>
      </c>
      <c r="H20" s="139" t="s">
        <v>202</v>
      </c>
      <c r="I20" s="133" t="s">
        <v>10</v>
      </c>
      <c r="J20" s="133" t="s">
        <v>185</v>
      </c>
      <c r="K20" s="133" t="s">
        <v>174</v>
      </c>
      <c r="L20" s="138" t="s">
        <v>186</v>
      </c>
      <c r="M20" s="146">
        <v>45638</v>
      </c>
      <c r="N20" s="146">
        <v>45972</v>
      </c>
      <c r="O20" s="139">
        <v>11</v>
      </c>
      <c r="P20" s="139"/>
      <c r="Q20" s="133" t="s">
        <v>195</v>
      </c>
      <c r="R20" s="139" t="s">
        <v>177</v>
      </c>
      <c r="S20" s="133" t="s">
        <v>310</v>
      </c>
      <c r="T20" s="133"/>
      <c r="U20" s="133"/>
      <c r="V20" s="133"/>
      <c r="W20" s="133"/>
      <c r="X20" s="133"/>
    </row>
    <row r="21" spans="1:25" s="161" customFormat="1" ht="76.5">
      <c r="A21" s="133">
        <v>22</v>
      </c>
      <c r="B21" s="148" t="s">
        <v>227</v>
      </c>
      <c r="C21" s="148" t="s">
        <v>311</v>
      </c>
      <c r="D21" s="150" t="s">
        <v>312</v>
      </c>
      <c r="E21" s="188" t="s">
        <v>313</v>
      </c>
      <c r="F21" s="149">
        <v>9953040099</v>
      </c>
      <c r="G21" s="149" t="s">
        <v>314</v>
      </c>
      <c r="H21" s="148" t="s">
        <v>194</v>
      </c>
      <c r="I21" s="150" t="s">
        <v>10</v>
      </c>
      <c r="J21" s="150" t="s">
        <v>185</v>
      </c>
      <c r="K21" s="150" t="s">
        <v>174</v>
      </c>
      <c r="L21" s="151" t="s">
        <v>186</v>
      </c>
      <c r="M21" s="152">
        <v>45638</v>
      </c>
      <c r="N21" s="152">
        <v>45972</v>
      </c>
      <c r="O21" s="148">
        <v>11</v>
      </c>
      <c r="P21" s="148"/>
      <c r="Q21" s="150" t="s">
        <v>176</v>
      </c>
      <c r="R21" s="148" t="s">
        <v>177</v>
      </c>
      <c r="S21" s="150" t="s">
        <v>315</v>
      </c>
      <c r="T21" s="150"/>
      <c r="U21" s="133"/>
      <c r="V21" s="150"/>
      <c r="W21" s="148" t="s">
        <v>316</v>
      </c>
      <c r="X21" s="150"/>
    </row>
    <row r="22" spans="1:25" s="161" customFormat="1" ht="60.75">
      <c r="A22" s="139">
        <v>23</v>
      </c>
      <c r="B22" s="139" t="s">
        <v>227</v>
      </c>
      <c r="C22" s="139" t="s">
        <v>317</v>
      </c>
      <c r="D22" s="133" t="s">
        <v>318</v>
      </c>
      <c r="E22" s="145" t="s">
        <v>319</v>
      </c>
      <c r="F22" s="141">
        <v>9863108960</v>
      </c>
      <c r="G22" s="141" t="s">
        <v>320</v>
      </c>
      <c r="H22" s="139" t="s">
        <v>321</v>
      </c>
      <c r="I22" s="133" t="s">
        <v>10</v>
      </c>
      <c r="J22" s="133" t="s">
        <v>185</v>
      </c>
      <c r="K22" s="133" t="s">
        <v>174</v>
      </c>
      <c r="L22" s="138" t="s">
        <v>186</v>
      </c>
      <c r="M22" s="146">
        <v>45640</v>
      </c>
      <c r="N22" s="146">
        <v>45974</v>
      </c>
      <c r="O22" s="139">
        <v>11</v>
      </c>
      <c r="P22" s="139"/>
      <c r="Q22" s="133" t="s">
        <v>176</v>
      </c>
      <c r="R22" s="139" t="s">
        <v>177</v>
      </c>
      <c r="S22" s="133" t="s">
        <v>315</v>
      </c>
      <c r="T22" s="133"/>
      <c r="U22" s="133">
        <v>100</v>
      </c>
      <c r="V22" s="133"/>
      <c r="W22" s="133"/>
      <c r="X22" s="133"/>
    </row>
    <row r="23" spans="1:25" s="161" customFormat="1" ht="60.75">
      <c r="A23" s="139">
        <v>24</v>
      </c>
      <c r="B23" s="139" t="s">
        <v>227</v>
      </c>
      <c r="C23" s="139" t="s">
        <v>322</v>
      </c>
      <c r="D23" s="133" t="s">
        <v>323</v>
      </c>
      <c r="E23" s="145" t="s">
        <v>324</v>
      </c>
      <c r="F23" s="141">
        <v>9902861128</v>
      </c>
      <c r="G23" s="141" t="s">
        <v>325</v>
      </c>
      <c r="H23" s="139" t="s">
        <v>326</v>
      </c>
      <c r="I23" s="133" t="s">
        <v>10</v>
      </c>
      <c r="J23" s="133" t="s">
        <v>233</v>
      </c>
      <c r="K23" s="133" t="s">
        <v>174</v>
      </c>
      <c r="L23" s="180" t="s">
        <v>234</v>
      </c>
      <c r="M23" s="146">
        <v>45642</v>
      </c>
      <c r="N23" s="146">
        <v>45976</v>
      </c>
      <c r="O23" s="139">
        <v>11</v>
      </c>
      <c r="P23" s="139"/>
      <c r="Q23" s="133" t="s">
        <v>195</v>
      </c>
      <c r="R23" s="139" t="s">
        <v>177</v>
      </c>
      <c r="S23" s="133" t="s">
        <v>327</v>
      </c>
      <c r="T23" s="133"/>
      <c r="U23" s="133">
        <v>100</v>
      </c>
      <c r="V23" s="133"/>
      <c r="W23" s="133"/>
      <c r="X23" s="133"/>
    </row>
    <row r="24" spans="1:25" s="161" customFormat="1" ht="76.5">
      <c r="A24" s="133">
        <v>25</v>
      </c>
      <c r="B24" s="139" t="s">
        <v>227</v>
      </c>
      <c r="C24" s="139" t="s">
        <v>328</v>
      </c>
      <c r="D24" s="133" t="s">
        <v>329</v>
      </c>
      <c r="E24" s="145" t="s">
        <v>330</v>
      </c>
      <c r="F24" s="141">
        <v>9847845649</v>
      </c>
      <c r="G24" s="141" t="s">
        <v>331</v>
      </c>
      <c r="H24" s="139" t="s">
        <v>202</v>
      </c>
      <c r="I24" s="133" t="s">
        <v>10</v>
      </c>
      <c r="J24" s="133" t="s">
        <v>173</v>
      </c>
      <c r="K24" s="133" t="s">
        <v>174</v>
      </c>
      <c r="L24" s="180" t="s">
        <v>175</v>
      </c>
      <c r="M24" s="146">
        <v>45645</v>
      </c>
      <c r="N24" s="146">
        <v>45979</v>
      </c>
      <c r="O24" s="139">
        <v>11</v>
      </c>
      <c r="P24" s="139"/>
      <c r="Q24" s="133" t="s">
        <v>176</v>
      </c>
      <c r="R24" s="139" t="s">
        <v>177</v>
      </c>
      <c r="S24" s="133" t="s">
        <v>332</v>
      </c>
      <c r="T24" s="133"/>
      <c r="U24" s="133">
        <v>100</v>
      </c>
      <c r="V24" s="133"/>
      <c r="W24" s="131" t="s">
        <v>188</v>
      </c>
      <c r="X24" s="133"/>
    </row>
    <row r="25" spans="1:25" s="161" customFormat="1" ht="60.75">
      <c r="A25" s="133">
        <v>26</v>
      </c>
      <c r="B25" s="139" t="s">
        <v>227</v>
      </c>
      <c r="C25" s="139" t="s">
        <v>333</v>
      </c>
      <c r="D25" s="133" t="s">
        <v>334</v>
      </c>
      <c r="E25" s="145" t="s">
        <v>335</v>
      </c>
      <c r="F25" s="141" t="s">
        <v>336</v>
      </c>
      <c r="G25" s="141" t="s">
        <v>337</v>
      </c>
      <c r="H25" s="139" t="s">
        <v>202</v>
      </c>
      <c r="I25" s="133" t="s">
        <v>10</v>
      </c>
      <c r="J25" s="133" t="s">
        <v>185</v>
      </c>
      <c r="K25" s="133" t="s">
        <v>174</v>
      </c>
      <c r="L25" s="138" t="s">
        <v>186</v>
      </c>
      <c r="M25" s="146">
        <v>45647</v>
      </c>
      <c r="N25" s="146">
        <v>45981</v>
      </c>
      <c r="O25" s="139">
        <v>11</v>
      </c>
      <c r="P25" s="139"/>
      <c r="Q25" s="133" t="s">
        <v>195</v>
      </c>
      <c r="R25" s="139" t="s">
        <v>177</v>
      </c>
      <c r="S25" s="133" t="s">
        <v>338</v>
      </c>
      <c r="T25" s="133"/>
      <c r="U25" s="133">
        <v>100</v>
      </c>
      <c r="V25" s="133"/>
      <c r="W25" s="131" t="s">
        <v>188</v>
      </c>
      <c r="X25" s="133"/>
    </row>
    <row r="26" spans="1:25" s="161" customFormat="1" ht="60.75">
      <c r="A26" s="139">
        <v>27</v>
      </c>
      <c r="B26" s="139" t="s">
        <v>211</v>
      </c>
      <c r="C26" s="139" t="s">
        <v>339</v>
      </c>
      <c r="D26" s="133" t="s">
        <v>340</v>
      </c>
      <c r="E26" s="145" t="s">
        <v>341</v>
      </c>
      <c r="F26" s="141">
        <v>7988034196</v>
      </c>
      <c r="G26" s="141" t="s">
        <v>342</v>
      </c>
      <c r="H26" s="139" t="s">
        <v>261</v>
      </c>
      <c r="I26" s="133" t="s">
        <v>10</v>
      </c>
      <c r="J26" s="133" t="s">
        <v>233</v>
      </c>
      <c r="K26" s="133" t="s">
        <v>174</v>
      </c>
      <c r="L26" s="180" t="s">
        <v>234</v>
      </c>
      <c r="M26" s="146">
        <v>45650</v>
      </c>
      <c r="N26" s="146">
        <v>46349</v>
      </c>
      <c r="O26" s="139">
        <v>24</v>
      </c>
      <c r="P26" s="139"/>
      <c r="Q26" s="133" t="s">
        <v>176</v>
      </c>
      <c r="R26" s="139" t="s">
        <v>177</v>
      </c>
      <c r="S26" s="133" t="s">
        <v>343</v>
      </c>
      <c r="T26" s="133"/>
      <c r="U26" s="133">
        <v>100</v>
      </c>
      <c r="V26" s="133"/>
      <c r="W26" s="133"/>
      <c r="X26" s="133"/>
    </row>
    <row r="27" spans="1:25" s="161" customFormat="1" ht="91.5">
      <c r="A27" s="139">
        <v>28</v>
      </c>
      <c r="B27" s="139" t="s">
        <v>227</v>
      </c>
      <c r="C27" s="139" t="s">
        <v>344</v>
      </c>
      <c r="D27" s="133" t="s">
        <v>345</v>
      </c>
      <c r="E27" s="145" t="s">
        <v>346</v>
      </c>
      <c r="F27" s="141">
        <v>8438620809</v>
      </c>
      <c r="G27" s="141" t="s">
        <v>347</v>
      </c>
      <c r="H27" s="139" t="s">
        <v>348</v>
      </c>
      <c r="I27" s="133" t="s">
        <v>10</v>
      </c>
      <c r="J27" s="133" t="s">
        <v>233</v>
      </c>
      <c r="K27" s="133" t="s">
        <v>174</v>
      </c>
      <c r="L27" s="180" t="s">
        <v>234</v>
      </c>
      <c r="M27" s="146">
        <v>45654</v>
      </c>
      <c r="N27" s="146">
        <v>45988</v>
      </c>
      <c r="O27" s="139">
        <v>11</v>
      </c>
      <c r="P27" s="139"/>
      <c r="Q27" s="133" t="s">
        <v>195</v>
      </c>
      <c r="R27" s="139" t="s">
        <v>177</v>
      </c>
      <c r="S27" s="133" t="s">
        <v>349</v>
      </c>
      <c r="T27" s="133"/>
      <c r="U27" s="133">
        <v>100</v>
      </c>
      <c r="V27" s="133"/>
      <c r="W27" s="131" t="s">
        <v>188</v>
      </c>
      <c r="X27" s="133"/>
    </row>
    <row r="28" spans="1:25" s="219" customFormat="1" ht="76.5">
      <c r="A28" s="131">
        <v>29</v>
      </c>
      <c r="B28" s="179" t="s">
        <v>227</v>
      </c>
      <c r="C28" s="131" t="s">
        <v>350</v>
      </c>
      <c r="D28" s="131" t="s">
        <v>351</v>
      </c>
      <c r="E28" s="132" t="s">
        <v>352</v>
      </c>
      <c r="F28" s="198">
        <v>8879193272</v>
      </c>
      <c r="G28" s="198" t="s">
        <v>353</v>
      </c>
      <c r="H28" s="179" t="s">
        <v>354</v>
      </c>
      <c r="I28" s="131" t="s">
        <v>10</v>
      </c>
      <c r="J28" s="131" t="s">
        <v>233</v>
      </c>
      <c r="K28" s="131" t="s">
        <v>174</v>
      </c>
      <c r="L28" s="277" t="s">
        <v>234</v>
      </c>
      <c r="M28" s="265">
        <v>45660</v>
      </c>
      <c r="N28" s="265">
        <v>45994</v>
      </c>
      <c r="O28" s="179">
        <v>11</v>
      </c>
      <c r="P28" s="179"/>
      <c r="Q28" s="131" t="s">
        <v>195</v>
      </c>
      <c r="R28" s="179" t="s">
        <v>177</v>
      </c>
      <c r="S28" s="131" t="s">
        <v>355</v>
      </c>
      <c r="T28" s="131"/>
      <c r="U28" s="131">
        <v>100</v>
      </c>
      <c r="V28" s="131"/>
      <c r="W28" s="131" t="s">
        <v>188</v>
      </c>
      <c r="X28" s="131"/>
      <c r="Y28" s="411">
        <v>45658</v>
      </c>
    </row>
    <row r="29" spans="1:25" s="161" customFormat="1" ht="91.5">
      <c r="A29" s="133">
        <v>30</v>
      </c>
      <c r="B29" s="139" t="s">
        <v>227</v>
      </c>
      <c r="C29" s="139" t="s">
        <v>356</v>
      </c>
      <c r="D29" s="133" t="s">
        <v>357</v>
      </c>
      <c r="E29" s="145" t="s">
        <v>358</v>
      </c>
      <c r="F29" s="141">
        <v>9175306845</v>
      </c>
      <c r="G29" s="141" t="s">
        <v>359</v>
      </c>
      <c r="H29" s="139" t="s">
        <v>354</v>
      </c>
      <c r="I29" s="133" t="s">
        <v>10</v>
      </c>
      <c r="J29" s="133" t="s">
        <v>173</v>
      </c>
      <c r="K29" s="133" t="s">
        <v>174</v>
      </c>
      <c r="L29" s="180" t="s">
        <v>175</v>
      </c>
      <c r="M29" s="146">
        <v>45664</v>
      </c>
      <c r="N29" s="146">
        <v>45998</v>
      </c>
      <c r="O29" s="139">
        <v>11</v>
      </c>
      <c r="P29" s="139"/>
      <c r="Q29" s="133" t="s">
        <v>176</v>
      </c>
      <c r="R29" s="139" t="s">
        <v>177</v>
      </c>
      <c r="S29" s="133" t="s">
        <v>360</v>
      </c>
      <c r="T29" s="133"/>
      <c r="U29" s="133">
        <v>100</v>
      </c>
      <c r="V29" s="133"/>
      <c r="W29" s="133"/>
      <c r="X29" s="133"/>
    </row>
    <row r="30" spans="1:25" s="219" customFormat="1" ht="76.5">
      <c r="A30" s="179">
        <v>31</v>
      </c>
      <c r="B30" s="179" t="s">
        <v>227</v>
      </c>
      <c r="C30" s="131" t="s">
        <v>361</v>
      </c>
      <c r="D30" s="131" t="s">
        <v>362</v>
      </c>
      <c r="E30" s="132" t="s">
        <v>363</v>
      </c>
      <c r="F30" s="198">
        <v>9429022499</v>
      </c>
      <c r="G30" s="198" t="s">
        <v>364</v>
      </c>
      <c r="H30" s="179" t="s">
        <v>365</v>
      </c>
      <c r="I30" s="131" t="s">
        <v>10</v>
      </c>
      <c r="J30" s="131" t="s">
        <v>173</v>
      </c>
      <c r="K30" s="131" t="s">
        <v>174</v>
      </c>
      <c r="L30" s="277" t="s">
        <v>175</v>
      </c>
      <c r="M30" s="265">
        <v>45664</v>
      </c>
      <c r="N30" s="265">
        <v>45998</v>
      </c>
      <c r="O30" s="179">
        <v>11</v>
      </c>
      <c r="P30" s="179"/>
      <c r="Q30" s="131" t="s">
        <v>195</v>
      </c>
      <c r="R30" s="179" t="s">
        <v>177</v>
      </c>
      <c r="S30" s="131" t="s">
        <v>366</v>
      </c>
      <c r="T30" s="131"/>
      <c r="U30" s="131">
        <v>100</v>
      </c>
      <c r="V30" s="131"/>
      <c r="W30" s="131" t="s">
        <v>367</v>
      </c>
      <c r="X30" s="131"/>
    </row>
    <row r="31" spans="1:25" s="161" customFormat="1" ht="106.5">
      <c r="A31" s="139">
        <v>32</v>
      </c>
      <c r="B31" s="139" t="s">
        <v>227</v>
      </c>
      <c r="C31" s="133" t="s">
        <v>368</v>
      </c>
      <c r="D31" s="133" t="s">
        <v>369</v>
      </c>
      <c r="E31" s="145" t="s">
        <v>370</v>
      </c>
      <c r="F31" s="141">
        <v>9493802665</v>
      </c>
      <c r="G31" s="141" t="s">
        <v>371</v>
      </c>
      <c r="H31" s="139" t="s">
        <v>372</v>
      </c>
      <c r="I31" s="133" t="s">
        <v>10</v>
      </c>
      <c r="J31" s="133" t="s">
        <v>173</v>
      </c>
      <c r="K31" s="133" t="s">
        <v>174</v>
      </c>
      <c r="L31" s="180" t="s">
        <v>175</v>
      </c>
      <c r="M31" s="146">
        <v>45666</v>
      </c>
      <c r="N31" s="146">
        <v>46000</v>
      </c>
      <c r="O31" s="139">
        <v>11</v>
      </c>
      <c r="P31" s="139"/>
      <c r="Q31" s="133" t="s">
        <v>195</v>
      </c>
      <c r="R31" s="139" t="s">
        <v>177</v>
      </c>
      <c r="S31" s="133" t="s">
        <v>373</v>
      </c>
      <c r="T31" s="133"/>
      <c r="U31" s="133">
        <v>100</v>
      </c>
      <c r="V31" s="133"/>
      <c r="W31" s="131" t="s">
        <v>188</v>
      </c>
      <c r="X31" s="133"/>
    </row>
    <row r="32" spans="1:25" s="161" customFormat="1" ht="76.5">
      <c r="A32" s="133">
        <v>33</v>
      </c>
      <c r="B32" s="139" t="s">
        <v>227</v>
      </c>
      <c r="C32" s="139" t="s">
        <v>374</v>
      </c>
      <c r="D32" s="133" t="s">
        <v>375</v>
      </c>
      <c r="E32" s="145" t="s">
        <v>376</v>
      </c>
      <c r="F32" s="141">
        <v>9769768196</v>
      </c>
      <c r="G32" s="141" t="s">
        <v>377</v>
      </c>
      <c r="H32" s="139" t="s">
        <v>354</v>
      </c>
      <c r="I32" s="133" t="s">
        <v>10</v>
      </c>
      <c r="J32" s="133" t="s">
        <v>173</v>
      </c>
      <c r="K32" s="133" t="s">
        <v>174</v>
      </c>
      <c r="L32" s="180" t="s">
        <v>175</v>
      </c>
      <c r="M32" s="146">
        <v>45667</v>
      </c>
      <c r="N32" s="146">
        <v>46001</v>
      </c>
      <c r="O32" s="139">
        <v>11</v>
      </c>
      <c r="P32" s="139"/>
      <c r="Q32" s="133" t="s">
        <v>195</v>
      </c>
      <c r="R32" s="139" t="s">
        <v>177</v>
      </c>
      <c r="S32" s="133" t="s">
        <v>378</v>
      </c>
      <c r="T32" s="133"/>
      <c r="U32" s="133">
        <v>100</v>
      </c>
      <c r="V32" s="133"/>
      <c r="W32" s="131" t="s">
        <v>188</v>
      </c>
      <c r="X32" s="133"/>
    </row>
    <row r="33" spans="1:25" s="161" customFormat="1" ht="76.5">
      <c r="A33" s="133">
        <v>34</v>
      </c>
      <c r="B33" s="139" t="s">
        <v>227</v>
      </c>
      <c r="C33" s="139" t="s">
        <v>379</v>
      </c>
      <c r="D33" s="133" t="s">
        <v>380</v>
      </c>
      <c r="E33" s="145" t="s">
        <v>381</v>
      </c>
      <c r="F33" s="141">
        <v>7840094903</v>
      </c>
      <c r="G33" s="141" t="s">
        <v>382</v>
      </c>
      <c r="H33" s="139" t="s">
        <v>194</v>
      </c>
      <c r="I33" s="133" t="s">
        <v>10</v>
      </c>
      <c r="J33" s="133" t="s">
        <v>233</v>
      </c>
      <c r="K33" s="133" t="s">
        <v>174</v>
      </c>
      <c r="L33" s="180" t="s">
        <v>234</v>
      </c>
      <c r="M33" s="146">
        <v>45672</v>
      </c>
      <c r="N33" s="146">
        <v>46006</v>
      </c>
      <c r="O33" s="139">
        <v>11</v>
      </c>
      <c r="P33" s="139"/>
      <c r="Q33" s="133" t="s">
        <v>195</v>
      </c>
      <c r="R33" s="139" t="s">
        <v>177</v>
      </c>
      <c r="S33" s="133" t="s">
        <v>383</v>
      </c>
      <c r="T33" s="133"/>
      <c r="U33" s="133"/>
      <c r="V33" s="133"/>
      <c r="W33" s="131" t="s">
        <v>188</v>
      </c>
      <c r="X33" s="133"/>
    </row>
    <row r="34" spans="1:25" s="219" customFormat="1" ht="76.5">
      <c r="A34" s="179">
        <v>35</v>
      </c>
      <c r="B34" s="179"/>
      <c r="C34" s="179" t="s">
        <v>384</v>
      </c>
      <c r="D34" s="131" t="s">
        <v>385</v>
      </c>
      <c r="E34" s="132" t="s">
        <v>386</v>
      </c>
      <c r="F34" s="198">
        <v>9871061224</v>
      </c>
      <c r="G34" s="198" t="s">
        <v>387</v>
      </c>
      <c r="H34" s="179" t="s">
        <v>388</v>
      </c>
      <c r="I34" s="131" t="s">
        <v>10</v>
      </c>
      <c r="J34" s="131" t="s">
        <v>173</v>
      </c>
      <c r="K34" s="131" t="s">
        <v>174</v>
      </c>
      <c r="L34" s="277" t="s">
        <v>175</v>
      </c>
      <c r="M34" s="265">
        <v>45673</v>
      </c>
      <c r="N34" s="265">
        <v>46007</v>
      </c>
      <c r="O34" s="179">
        <v>11</v>
      </c>
      <c r="P34" s="179"/>
      <c r="Q34" s="131" t="s">
        <v>195</v>
      </c>
      <c r="R34" s="179" t="s">
        <v>177</v>
      </c>
      <c r="S34" s="131" t="s">
        <v>389</v>
      </c>
      <c r="T34" s="131"/>
      <c r="U34" s="131">
        <v>100</v>
      </c>
      <c r="V34" s="131"/>
      <c r="W34" s="131" t="s">
        <v>390</v>
      </c>
      <c r="X34" s="131"/>
    </row>
    <row r="35" spans="1:25" s="161" customFormat="1" ht="91.5">
      <c r="A35" s="139">
        <v>36</v>
      </c>
      <c r="B35" s="139"/>
      <c r="C35" s="139" t="s">
        <v>391</v>
      </c>
      <c r="D35" s="133" t="s">
        <v>392</v>
      </c>
      <c r="E35" s="145" t="s">
        <v>393</v>
      </c>
      <c r="F35" s="141">
        <v>7204969009</v>
      </c>
      <c r="G35" s="141" t="s">
        <v>394</v>
      </c>
      <c r="H35" s="139" t="s">
        <v>395</v>
      </c>
      <c r="I35" s="133" t="s">
        <v>10</v>
      </c>
      <c r="J35" s="133" t="s">
        <v>233</v>
      </c>
      <c r="K35" s="133" t="s">
        <v>174</v>
      </c>
      <c r="L35" s="180" t="s">
        <v>234</v>
      </c>
      <c r="M35" s="146">
        <v>45673</v>
      </c>
      <c r="N35" s="146">
        <v>46007</v>
      </c>
      <c r="O35" s="139">
        <v>11</v>
      </c>
      <c r="P35" s="139"/>
      <c r="Q35" s="133" t="s">
        <v>176</v>
      </c>
      <c r="R35" s="139" t="s">
        <v>177</v>
      </c>
      <c r="S35" s="133" t="s">
        <v>396</v>
      </c>
      <c r="T35" s="133"/>
      <c r="U35" s="133">
        <v>100</v>
      </c>
      <c r="V35" s="133"/>
      <c r="W35" s="131" t="s">
        <v>188</v>
      </c>
      <c r="X35" s="133"/>
    </row>
    <row r="36" spans="1:25" s="161" customFormat="1" ht="121.5">
      <c r="A36" s="133">
        <v>37</v>
      </c>
      <c r="B36" s="139"/>
      <c r="C36" s="139" t="s">
        <v>397</v>
      </c>
      <c r="D36" s="133" t="s">
        <v>398</v>
      </c>
      <c r="E36" s="145" t="s">
        <v>399</v>
      </c>
      <c r="F36" s="141">
        <v>9599885047</v>
      </c>
      <c r="G36" s="141" t="s">
        <v>400</v>
      </c>
      <c r="H36" s="139" t="s">
        <v>194</v>
      </c>
      <c r="I36" s="133" t="s">
        <v>10</v>
      </c>
      <c r="J36" s="133" t="s">
        <v>233</v>
      </c>
      <c r="K36" s="133" t="s">
        <v>174</v>
      </c>
      <c r="L36" s="180" t="s">
        <v>234</v>
      </c>
      <c r="M36" s="146">
        <v>45674</v>
      </c>
      <c r="N36" s="146">
        <v>46008</v>
      </c>
      <c r="O36" s="139">
        <v>11</v>
      </c>
      <c r="P36" s="139"/>
      <c r="Q36" s="133" t="s">
        <v>195</v>
      </c>
      <c r="R36" s="139"/>
      <c r="S36" s="133" t="s">
        <v>401</v>
      </c>
      <c r="T36" s="133"/>
      <c r="U36" s="133">
        <v>100</v>
      </c>
      <c r="V36" s="133"/>
      <c r="W36" s="131" t="s">
        <v>188</v>
      </c>
      <c r="X36" s="133"/>
    </row>
    <row r="37" spans="1:25" s="219" customFormat="1" ht="121.5">
      <c r="A37" s="131">
        <v>38</v>
      </c>
      <c r="B37" s="179"/>
      <c r="C37" s="179" t="s">
        <v>402</v>
      </c>
      <c r="D37" s="131" t="s">
        <v>403</v>
      </c>
      <c r="E37" s="132" t="s">
        <v>404</v>
      </c>
      <c r="F37" s="198">
        <v>9820077161</v>
      </c>
      <c r="G37" s="198" t="s">
        <v>405</v>
      </c>
      <c r="H37" s="179" t="s">
        <v>354</v>
      </c>
      <c r="I37" s="131" t="s">
        <v>10</v>
      </c>
      <c r="J37" s="131" t="s">
        <v>173</v>
      </c>
      <c r="K37" s="131" t="s">
        <v>174</v>
      </c>
      <c r="L37" s="277" t="s">
        <v>175</v>
      </c>
      <c r="M37" s="265">
        <v>45674</v>
      </c>
      <c r="N37" s="265">
        <v>46008</v>
      </c>
      <c r="O37" s="179">
        <v>11</v>
      </c>
      <c r="P37" s="179"/>
      <c r="Q37" s="131" t="s">
        <v>195</v>
      </c>
      <c r="R37" s="179" t="s">
        <v>177</v>
      </c>
      <c r="S37" s="131" t="s">
        <v>406</v>
      </c>
      <c r="T37" s="131"/>
      <c r="U37" s="131">
        <v>100</v>
      </c>
      <c r="V37" s="131"/>
      <c r="W37" s="131" t="s">
        <v>188</v>
      </c>
      <c r="X37" s="131" t="s">
        <v>188</v>
      </c>
    </row>
    <row r="38" spans="1:25" s="219" customFormat="1" ht="121.5">
      <c r="A38" s="179">
        <v>39</v>
      </c>
      <c r="B38" s="179"/>
      <c r="C38" s="131" t="s">
        <v>407</v>
      </c>
      <c r="D38" s="131" t="s">
        <v>408</v>
      </c>
      <c r="E38" s="132" t="s">
        <v>409</v>
      </c>
      <c r="F38" s="198">
        <v>8976533970</v>
      </c>
      <c r="G38" s="198" t="s">
        <v>410</v>
      </c>
      <c r="H38" s="179" t="s">
        <v>354</v>
      </c>
      <c r="I38" s="131" t="s">
        <v>10</v>
      </c>
      <c r="J38" s="131" t="s">
        <v>233</v>
      </c>
      <c r="K38" s="131" t="s">
        <v>174</v>
      </c>
      <c r="L38" s="277" t="s">
        <v>234</v>
      </c>
      <c r="M38" s="265">
        <v>45677</v>
      </c>
      <c r="N38" s="265">
        <v>46011</v>
      </c>
      <c r="O38" s="179">
        <v>11</v>
      </c>
      <c r="P38" s="179"/>
      <c r="Q38" s="131" t="s">
        <v>195</v>
      </c>
      <c r="R38" s="179" t="s">
        <v>177</v>
      </c>
      <c r="S38" s="131" t="s">
        <v>411</v>
      </c>
      <c r="T38" s="131"/>
      <c r="U38" s="131">
        <v>100</v>
      </c>
      <c r="V38" s="131"/>
      <c r="W38" s="131" t="s">
        <v>188</v>
      </c>
      <c r="X38" s="131"/>
    </row>
    <row r="39" spans="1:25" s="161" customFormat="1" ht="76.5">
      <c r="A39" s="139">
        <v>40</v>
      </c>
      <c r="B39" s="139"/>
      <c r="C39" s="139" t="s">
        <v>412</v>
      </c>
      <c r="D39" s="133" t="s">
        <v>413</v>
      </c>
      <c r="E39" s="145" t="s">
        <v>414</v>
      </c>
      <c r="F39" s="141">
        <v>8867545326</v>
      </c>
      <c r="G39" s="141" t="s">
        <v>415</v>
      </c>
      <c r="H39" s="139" t="s">
        <v>416</v>
      </c>
      <c r="I39" s="133" t="s">
        <v>10</v>
      </c>
      <c r="J39" s="133" t="s">
        <v>417</v>
      </c>
      <c r="K39" s="133" t="s">
        <v>174</v>
      </c>
      <c r="L39" s="180" t="s">
        <v>418</v>
      </c>
      <c r="M39" s="146">
        <v>45685</v>
      </c>
      <c r="N39" s="146">
        <v>46019</v>
      </c>
      <c r="O39" s="139">
        <v>11</v>
      </c>
      <c r="P39" s="139"/>
      <c r="Q39" s="133" t="s">
        <v>195</v>
      </c>
      <c r="R39" s="139" t="s">
        <v>177</v>
      </c>
      <c r="S39" s="133" t="s">
        <v>419</v>
      </c>
      <c r="T39" s="133"/>
      <c r="U39" s="133">
        <v>100</v>
      </c>
      <c r="V39" s="133"/>
      <c r="W39" s="133"/>
      <c r="X39" s="133"/>
    </row>
    <row r="40" spans="1:25" s="161" customFormat="1" ht="76.5">
      <c r="A40" s="133">
        <v>41</v>
      </c>
      <c r="B40" s="139"/>
      <c r="C40" s="139" t="s">
        <v>420</v>
      </c>
      <c r="D40" s="133" t="s">
        <v>421</v>
      </c>
      <c r="E40" s="145" t="s">
        <v>422</v>
      </c>
      <c r="F40" s="141">
        <v>8883990999</v>
      </c>
      <c r="G40" s="141" t="s">
        <v>423</v>
      </c>
      <c r="H40" s="139" t="s">
        <v>424</v>
      </c>
      <c r="I40" s="133" t="s">
        <v>10</v>
      </c>
      <c r="J40" s="133" t="s">
        <v>425</v>
      </c>
      <c r="K40" s="133" t="s">
        <v>174</v>
      </c>
      <c r="L40" s="180"/>
      <c r="M40" s="146">
        <v>45685</v>
      </c>
      <c r="N40" s="146">
        <v>46019</v>
      </c>
      <c r="O40" s="139">
        <v>11</v>
      </c>
      <c r="P40" s="139"/>
      <c r="Q40" s="133" t="s">
        <v>176</v>
      </c>
      <c r="R40" s="139" t="s">
        <v>177</v>
      </c>
      <c r="S40" s="133" t="s">
        <v>426</v>
      </c>
      <c r="T40" s="133"/>
      <c r="U40" s="133">
        <v>100</v>
      </c>
      <c r="V40" s="133"/>
      <c r="W40" s="131" t="s">
        <v>188</v>
      </c>
      <c r="X40" s="133"/>
    </row>
    <row r="41" spans="1:25" s="161" customFormat="1" ht="76.5">
      <c r="A41" s="133">
        <v>42</v>
      </c>
      <c r="B41" s="139"/>
      <c r="C41" s="139" t="s">
        <v>427</v>
      </c>
      <c r="D41" s="133" t="s">
        <v>428</v>
      </c>
      <c r="E41" s="145" t="s">
        <v>429</v>
      </c>
      <c r="F41" s="141">
        <v>8002850836</v>
      </c>
      <c r="G41" s="141" t="s">
        <v>430</v>
      </c>
      <c r="H41" s="139" t="s">
        <v>431</v>
      </c>
      <c r="I41" s="133" t="s">
        <v>10</v>
      </c>
      <c r="J41" s="133" t="s">
        <v>432</v>
      </c>
      <c r="K41" s="133" t="s">
        <v>174</v>
      </c>
      <c r="L41" s="181" t="s">
        <v>433</v>
      </c>
      <c r="M41" s="146">
        <v>45685</v>
      </c>
      <c r="N41" s="146">
        <v>46019</v>
      </c>
      <c r="O41" s="139">
        <v>11</v>
      </c>
      <c r="P41" s="139"/>
      <c r="Q41" s="133" t="s">
        <v>195</v>
      </c>
      <c r="R41" s="139" t="s">
        <v>177</v>
      </c>
      <c r="S41" s="133" t="s">
        <v>434</v>
      </c>
      <c r="T41" s="133"/>
      <c r="U41" s="133">
        <v>100</v>
      </c>
      <c r="V41" s="133"/>
      <c r="W41" s="131" t="s">
        <v>188</v>
      </c>
      <c r="X41" s="133"/>
    </row>
    <row r="42" spans="1:25" s="161" customFormat="1" ht="91.5">
      <c r="A42" s="139">
        <v>43</v>
      </c>
      <c r="B42" s="139"/>
      <c r="C42" s="139" t="s">
        <v>435</v>
      </c>
      <c r="D42" s="133" t="s">
        <v>436</v>
      </c>
      <c r="E42" s="145" t="s">
        <v>437</v>
      </c>
      <c r="F42" s="141">
        <v>7022084466</v>
      </c>
      <c r="G42" s="141" t="s">
        <v>438</v>
      </c>
      <c r="H42" s="139" t="s">
        <v>348</v>
      </c>
      <c r="I42" s="133" t="s">
        <v>10</v>
      </c>
      <c r="J42" s="133" t="s">
        <v>417</v>
      </c>
      <c r="K42" s="133" t="s">
        <v>174</v>
      </c>
      <c r="L42" s="180" t="s">
        <v>418</v>
      </c>
      <c r="M42" s="146">
        <v>45686</v>
      </c>
      <c r="N42" s="146">
        <v>46020</v>
      </c>
      <c r="O42" s="139">
        <v>11</v>
      </c>
      <c r="P42" s="139"/>
      <c r="Q42" s="133" t="s">
        <v>176</v>
      </c>
      <c r="R42" s="139" t="s">
        <v>177</v>
      </c>
      <c r="S42" s="133" t="s">
        <v>439</v>
      </c>
      <c r="T42" s="133"/>
      <c r="U42" s="133">
        <v>100</v>
      </c>
      <c r="V42" s="133"/>
      <c r="W42" s="133"/>
      <c r="X42" s="133"/>
    </row>
    <row r="43" spans="1:25" s="161" customFormat="1" ht="76.5">
      <c r="A43" s="139">
        <v>44</v>
      </c>
      <c r="B43" s="139" t="s">
        <v>167</v>
      </c>
      <c r="C43" s="133" t="s">
        <v>440</v>
      </c>
      <c r="D43" s="133" t="s">
        <v>441</v>
      </c>
      <c r="E43" s="145" t="s">
        <v>442</v>
      </c>
      <c r="F43" s="141">
        <v>8890988662</v>
      </c>
      <c r="G43" s="141" t="s">
        <v>443</v>
      </c>
      <c r="H43" s="139" t="s">
        <v>444</v>
      </c>
      <c r="I43" s="133" t="s">
        <v>10</v>
      </c>
      <c r="J43" s="133" t="s">
        <v>445</v>
      </c>
      <c r="K43" s="133" t="s">
        <v>174</v>
      </c>
      <c r="L43" s="180" t="s">
        <v>446</v>
      </c>
      <c r="M43" s="146">
        <v>45689</v>
      </c>
      <c r="N43" s="146">
        <v>46053</v>
      </c>
      <c r="O43" s="139">
        <v>11</v>
      </c>
      <c r="P43" s="139"/>
      <c r="Q43" s="133" t="s">
        <v>195</v>
      </c>
      <c r="R43" s="139"/>
      <c r="S43" s="133" t="s">
        <v>447</v>
      </c>
      <c r="T43" s="133"/>
      <c r="U43" s="133">
        <v>100</v>
      </c>
      <c r="V43" s="133"/>
      <c r="W43" s="133"/>
      <c r="X43" s="133"/>
    </row>
    <row r="44" spans="1:25" s="161" customFormat="1" ht="91.5">
      <c r="A44" s="133">
        <v>45</v>
      </c>
      <c r="B44" s="139" t="s">
        <v>167</v>
      </c>
      <c r="C44" s="133" t="s">
        <v>448</v>
      </c>
      <c r="D44" s="159" t="s">
        <v>449</v>
      </c>
      <c r="E44" s="145" t="s">
        <v>450</v>
      </c>
      <c r="F44" s="141">
        <v>9811644619</v>
      </c>
      <c r="G44" s="141" t="s">
        <v>451</v>
      </c>
      <c r="H44" s="139" t="s">
        <v>194</v>
      </c>
      <c r="I44" s="133" t="s">
        <v>10</v>
      </c>
      <c r="J44" s="133" t="s">
        <v>233</v>
      </c>
      <c r="K44" s="133" t="s">
        <v>174</v>
      </c>
      <c r="L44" s="180" t="s">
        <v>234</v>
      </c>
      <c r="M44" s="146">
        <v>45691</v>
      </c>
      <c r="N44" s="146">
        <v>46055</v>
      </c>
      <c r="O44" s="139">
        <v>11</v>
      </c>
      <c r="P44" s="139"/>
      <c r="Q44" s="133" t="s">
        <v>195</v>
      </c>
      <c r="R44" s="139"/>
      <c r="S44" s="133" t="s">
        <v>452</v>
      </c>
      <c r="T44" s="133"/>
      <c r="U44" s="133">
        <v>100</v>
      </c>
      <c r="V44" s="133"/>
      <c r="W44" s="133"/>
      <c r="X44" s="133"/>
      <c r="Y44" s="161" t="s">
        <v>453</v>
      </c>
    </row>
    <row r="45" spans="1:25" s="161" customFormat="1" ht="121.5">
      <c r="A45" s="133">
        <v>46</v>
      </c>
      <c r="B45" s="139" t="s">
        <v>167</v>
      </c>
      <c r="C45" s="133" t="s">
        <v>454</v>
      </c>
      <c r="D45" s="133" t="s">
        <v>455</v>
      </c>
      <c r="E45" s="145" t="s">
        <v>456</v>
      </c>
      <c r="F45" s="141">
        <v>9033409956</v>
      </c>
      <c r="G45" s="141" t="s">
        <v>457</v>
      </c>
      <c r="H45" s="139" t="s">
        <v>365</v>
      </c>
      <c r="I45" s="133" t="s">
        <v>10</v>
      </c>
      <c r="J45" s="133" t="s">
        <v>445</v>
      </c>
      <c r="K45" s="133" t="s">
        <v>174</v>
      </c>
      <c r="L45" s="180" t="s">
        <v>446</v>
      </c>
      <c r="M45" s="146">
        <v>45692</v>
      </c>
      <c r="N45" s="146">
        <v>46056</v>
      </c>
      <c r="O45" s="139">
        <v>11</v>
      </c>
      <c r="P45" s="139"/>
      <c r="Q45" s="133" t="s">
        <v>195</v>
      </c>
      <c r="R45" s="139"/>
      <c r="S45" s="133" t="s">
        <v>458</v>
      </c>
      <c r="T45" s="133"/>
      <c r="U45" s="133">
        <v>100</v>
      </c>
      <c r="V45" s="133"/>
      <c r="W45" s="133"/>
      <c r="X45" s="133"/>
    </row>
    <row r="46" spans="1:25" s="219" customFormat="1" ht="183">
      <c r="A46" s="179">
        <v>47</v>
      </c>
      <c r="B46" s="179" t="s">
        <v>167</v>
      </c>
      <c r="C46" s="179" t="s">
        <v>459</v>
      </c>
      <c r="D46" s="131" t="s">
        <v>460</v>
      </c>
      <c r="E46" s="132" t="s">
        <v>461</v>
      </c>
      <c r="F46" s="198">
        <v>9833686616</v>
      </c>
      <c r="G46" s="298" t="s">
        <v>462</v>
      </c>
      <c r="H46" s="179" t="s">
        <v>354</v>
      </c>
      <c r="I46" s="131" t="s">
        <v>10</v>
      </c>
      <c r="J46" s="131" t="s">
        <v>417</v>
      </c>
      <c r="K46" s="131" t="s">
        <v>174</v>
      </c>
      <c r="L46" s="277" t="s">
        <v>418</v>
      </c>
      <c r="M46" s="265">
        <v>45693</v>
      </c>
      <c r="N46" s="265">
        <v>46026</v>
      </c>
      <c r="O46" s="179">
        <v>11</v>
      </c>
      <c r="P46" s="179"/>
      <c r="Q46" s="131"/>
      <c r="R46" s="179"/>
      <c r="S46" s="131" t="s">
        <v>463</v>
      </c>
      <c r="T46" s="131"/>
      <c r="U46" s="131">
        <v>100</v>
      </c>
      <c r="V46" s="131" t="s">
        <v>188</v>
      </c>
      <c r="W46" s="131" t="s">
        <v>188</v>
      </c>
      <c r="X46" s="131" t="s">
        <v>188</v>
      </c>
    </row>
    <row r="47" spans="1:25" s="161" customFormat="1" ht="45.75">
      <c r="A47" s="139">
        <v>48</v>
      </c>
      <c r="B47" s="139" t="s">
        <v>227</v>
      </c>
      <c r="C47" s="153" t="s">
        <v>464</v>
      </c>
      <c r="D47" s="133" t="s">
        <v>465</v>
      </c>
      <c r="E47" s="140" t="s">
        <v>466</v>
      </c>
      <c r="F47" s="154"/>
      <c r="G47" s="155" t="s">
        <v>467</v>
      </c>
      <c r="H47" s="139" t="s">
        <v>468</v>
      </c>
      <c r="I47" s="133" t="s">
        <v>10</v>
      </c>
      <c r="J47" s="133" t="s">
        <v>233</v>
      </c>
      <c r="K47" s="133" t="s">
        <v>174</v>
      </c>
      <c r="L47" s="180" t="s">
        <v>234</v>
      </c>
      <c r="M47" s="146">
        <v>45693</v>
      </c>
      <c r="N47" s="146">
        <v>46391</v>
      </c>
      <c r="O47" s="139">
        <v>24</v>
      </c>
      <c r="P47" s="139"/>
      <c r="Q47" s="133" t="s">
        <v>195</v>
      </c>
      <c r="R47" s="139"/>
      <c r="S47" s="133" t="s">
        <v>469</v>
      </c>
      <c r="T47" s="133"/>
      <c r="U47" s="133">
        <v>100</v>
      </c>
      <c r="V47" s="133"/>
      <c r="W47" s="133"/>
      <c r="X47" s="133"/>
    </row>
    <row r="48" spans="1:25" s="161" customFormat="1" ht="91.5">
      <c r="A48" s="133">
        <v>49</v>
      </c>
      <c r="B48" s="139" t="s">
        <v>211</v>
      </c>
      <c r="C48" s="139" t="s">
        <v>374</v>
      </c>
      <c r="D48" s="133" t="s">
        <v>470</v>
      </c>
      <c r="E48" s="145" t="s">
        <v>471</v>
      </c>
      <c r="F48" s="154">
        <v>9769768196</v>
      </c>
      <c r="G48" s="154" t="s">
        <v>472</v>
      </c>
      <c r="H48" s="139" t="s">
        <v>354</v>
      </c>
      <c r="I48" s="133" t="s">
        <v>10</v>
      </c>
      <c r="J48" s="133" t="s">
        <v>417</v>
      </c>
      <c r="K48" s="133" t="s">
        <v>174</v>
      </c>
      <c r="L48" s="180" t="s">
        <v>418</v>
      </c>
      <c r="M48" s="146">
        <v>45694</v>
      </c>
      <c r="N48" s="146">
        <v>46027</v>
      </c>
      <c r="O48" s="139">
        <v>11</v>
      </c>
      <c r="P48" s="139"/>
      <c r="Q48" s="133" t="s">
        <v>195</v>
      </c>
      <c r="R48" s="139"/>
      <c r="S48" s="133" t="s">
        <v>473</v>
      </c>
      <c r="T48" s="133"/>
      <c r="U48" s="133">
        <v>100</v>
      </c>
      <c r="V48" s="133"/>
      <c r="W48" s="131" t="s">
        <v>188</v>
      </c>
      <c r="X48" s="133"/>
    </row>
    <row r="49" spans="1:25" s="161" customFormat="1" ht="91.5">
      <c r="A49" s="133">
        <v>50</v>
      </c>
      <c r="B49" s="139" t="s">
        <v>211</v>
      </c>
      <c r="C49" s="139" t="s">
        <v>474</v>
      </c>
      <c r="D49" s="133" t="s">
        <v>475</v>
      </c>
      <c r="E49" s="145" t="s">
        <v>476</v>
      </c>
      <c r="F49" s="135">
        <v>9769768196</v>
      </c>
      <c r="G49" s="135" t="s">
        <v>477</v>
      </c>
      <c r="H49" s="156" t="s">
        <v>354</v>
      </c>
      <c r="I49" s="133" t="s">
        <v>10</v>
      </c>
      <c r="J49" s="133" t="s">
        <v>417</v>
      </c>
      <c r="K49" s="133" t="s">
        <v>174</v>
      </c>
      <c r="L49" s="180" t="s">
        <v>418</v>
      </c>
      <c r="M49" s="146">
        <v>45694</v>
      </c>
      <c r="N49" s="146">
        <v>46027</v>
      </c>
      <c r="O49" s="139">
        <v>11</v>
      </c>
      <c r="P49" s="139"/>
      <c r="Q49" s="133" t="s">
        <v>195</v>
      </c>
      <c r="R49" s="139"/>
      <c r="S49" s="133" t="s">
        <v>478</v>
      </c>
      <c r="T49" s="133"/>
      <c r="U49" s="133">
        <v>100</v>
      </c>
      <c r="V49" s="133"/>
      <c r="W49" s="131" t="s">
        <v>188</v>
      </c>
      <c r="X49" s="133"/>
    </row>
    <row r="50" spans="1:25" s="219" customFormat="1" ht="76.5">
      <c r="A50" s="179">
        <v>51</v>
      </c>
      <c r="B50" s="179" t="s">
        <v>227</v>
      </c>
      <c r="C50" s="179" t="s">
        <v>479</v>
      </c>
      <c r="D50" s="131" t="s">
        <v>480</v>
      </c>
      <c r="E50" s="132" t="s">
        <v>481</v>
      </c>
      <c r="F50" s="298">
        <v>9899074309</v>
      </c>
      <c r="G50" s="298" t="s">
        <v>482</v>
      </c>
      <c r="H50" s="262" t="s">
        <v>365</v>
      </c>
      <c r="I50" s="131" t="s">
        <v>10</v>
      </c>
      <c r="J50" s="131" t="s">
        <v>445</v>
      </c>
      <c r="K50" s="131" t="s">
        <v>174</v>
      </c>
      <c r="L50" s="277" t="s">
        <v>446</v>
      </c>
      <c r="M50" s="265">
        <v>45695</v>
      </c>
      <c r="N50" s="265">
        <v>46028</v>
      </c>
      <c r="O50" s="179">
        <v>11</v>
      </c>
      <c r="P50" s="179"/>
      <c r="Q50" s="131" t="s">
        <v>195</v>
      </c>
      <c r="R50" s="179"/>
      <c r="S50" s="131" t="s">
        <v>483</v>
      </c>
      <c r="T50" s="131"/>
      <c r="U50" s="131">
        <v>100</v>
      </c>
      <c r="V50" s="131"/>
      <c r="W50" s="131" t="s">
        <v>188</v>
      </c>
      <c r="X50" s="131"/>
    </row>
    <row r="51" spans="1:25" s="161" customFormat="1" ht="76.5">
      <c r="A51" s="139">
        <v>52</v>
      </c>
      <c r="B51" s="139" t="s">
        <v>211</v>
      </c>
      <c r="C51" s="139" t="s">
        <v>484</v>
      </c>
      <c r="D51" s="133" t="s">
        <v>485</v>
      </c>
      <c r="E51" s="145" t="s">
        <v>486</v>
      </c>
      <c r="F51" s="135">
        <v>8428000060</v>
      </c>
      <c r="G51" s="135" t="s">
        <v>487</v>
      </c>
      <c r="H51" s="156" t="s">
        <v>348</v>
      </c>
      <c r="I51" s="133" t="s">
        <v>10</v>
      </c>
      <c r="J51" s="133" t="s">
        <v>445</v>
      </c>
      <c r="K51" s="133" t="s">
        <v>174</v>
      </c>
      <c r="L51" s="180" t="s">
        <v>446</v>
      </c>
      <c r="M51" s="146">
        <v>45695</v>
      </c>
      <c r="N51" s="146">
        <v>46028</v>
      </c>
      <c r="O51" s="139">
        <v>11</v>
      </c>
      <c r="P51" s="139"/>
      <c r="Q51" s="133" t="s">
        <v>195</v>
      </c>
      <c r="R51" s="139"/>
      <c r="S51" s="133" t="s">
        <v>483</v>
      </c>
      <c r="T51" s="133"/>
      <c r="U51" s="133">
        <v>100</v>
      </c>
      <c r="V51" s="133"/>
      <c r="W51" s="133"/>
      <c r="X51" s="133"/>
    </row>
    <row r="52" spans="1:25" s="161" customFormat="1" ht="106.5">
      <c r="A52" s="133">
        <v>53</v>
      </c>
      <c r="B52" s="139" t="s">
        <v>227</v>
      </c>
      <c r="C52" s="139" t="s">
        <v>488</v>
      </c>
      <c r="D52" s="133" t="s">
        <v>489</v>
      </c>
      <c r="E52" s="145" t="s">
        <v>490</v>
      </c>
      <c r="F52" s="135">
        <v>9235555858</v>
      </c>
      <c r="G52" s="135" t="s">
        <v>491</v>
      </c>
      <c r="H52" s="139" t="s">
        <v>492</v>
      </c>
      <c r="I52" s="133" t="s">
        <v>10</v>
      </c>
      <c r="J52" s="133" t="s">
        <v>417</v>
      </c>
      <c r="K52" s="133" t="s">
        <v>174</v>
      </c>
      <c r="L52" s="180" t="s">
        <v>418</v>
      </c>
      <c r="M52" s="146">
        <v>45695</v>
      </c>
      <c r="N52" s="146">
        <v>46028</v>
      </c>
      <c r="O52" s="139">
        <v>11</v>
      </c>
      <c r="P52" s="139"/>
      <c r="Q52" s="133" t="s">
        <v>176</v>
      </c>
      <c r="R52" s="139"/>
      <c r="S52" s="133" t="s">
        <v>493</v>
      </c>
      <c r="T52" s="133"/>
      <c r="U52" s="133">
        <v>100</v>
      </c>
      <c r="V52" s="133"/>
      <c r="W52" s="133"/>
      <c r="X52" s="133"/>
    </row>
    <row r="53" spans="1:25" s="161" customFormat="1" ht="91.5">
      <c r="A53" s="133">
        <v>54</v>
      </c>
      <c r="B53" s="139" t="s">
        <v>227</v>
      </c>
      <c r="C53" s="139" t="s">
        <v>494</v>
      </c>
      <c r="D53" s="133" t="s">
        <v>495</v>
      </c>
      <c r="E53" s="145" t="s">
        <v>496</v>
      </c>
      <c r="F53" s="154">
        <v>9810789591</v>
      </c>
      <c r="G53" s="154" t="s">
        <v>497</v>
      </c>
      <c r="H53" s="139" t="s">
        <v>194</v>
      </c>
      <c r="I53" s="133" t="s">
        <v>10</v>
      </c>
      <c r="J53" s="133" t="s">
        <v>417</v>
      </c>
      <c r="K53" s="133" t="s">
        <v>174</v>
      </c>
      <c r="L53" s="180" t="s">
        <v>418</v>
      </c>
      <c r="M53" s="146">
        <v>45695</v>
      </c>
      <c r="N53" s="146">
        <v>46028</v>
      </c>
      <c r="O53" s="139">
        <v>11</v>
      </c>
      <c r="P53" s="139"/>
      <c r="Q53" s="133" t="s">
        <v>195</v>
      </c>
      <c r="R53" s="139"/>
      <c r="S53" s="133" t="s">
        <v>498</v>
      </c>
      <c r="T53" s="133"/>
      <c r="U53" s="133">
        <v>100</v>
      </c>
      <c r="V53" s="133"/>
      <c r="W53" s="131" t="s">
        <v>188</v>
      </c>
      <c r="X53" s="133"/>
    </row>
    <row r="54" spans="1:25" s="219" customFormat="1" ht="45.75">
      <c r="A54" s="179">
        <v>55</v>
      </c>
      <c r="B54" s="179"/>
      <c r="C54" s="131" t="s">
        <v>499</v>
      </c>
      <c r="D54" s="131" t="s">
        <v>500</v>
      </c>
      <c r="E54" s="132"/>
      <c r="F54" s="263"/>
      <c r="G54" s="263"/>
      <c r="H54" s="179"/>
      <c r="I54" s="131"/>
      <c r="J54" s="131"/>
      <c r="K54" s="131"/>
      <c r="L54" s="264"/>
      <c r="M54" s="265">
        <v>45696</v>
      </c>
      <c r="N54" s="265">
        <v>46029</v>
      </c>
      <c r="O54" s="179">
        <v>11</v>
      </c>
      <c r="P54" s="179"/>
      <c r="Q54" s="131" t="s">
        <v>176</v>
      </c>
      <c r="R54" s="179"/>
      <c r="S54" s="131" t="s">
        <v>501</v>
      </c>
      <c r="T54" s="131"/>
      <c r="U54" s="131">
        <v>100</v>
      </c>
      <c r="V54" s="131"/>
      <c r="W54" s="131" t="s">
        <v>188</v>
      </c>
      <c r="X54" s="131"/>
    </row>
    <row r="55" spans="1:25" s="161" customFormat="1" ht="45.75">
      <c r="A55" s="139">
        <v>56</v>
      </c>
      <c r="B55" s="139"/>
      <c r="C55" s="139" t="s">
        <v>502</v>
      </c>
      <c r="D55" s="133" t="s">
        <v>503</v>
      </c>
      <c r="E55" s="145"/>
      <c r="F55" s="154"/>
      <c r="G55" s="154"/>
      <c r="H55" s="139"/>
      <c r="I55" s="133"/>
      <c r="J55" s="133"/>
      <c r="K55" s="133"/>
      <c r="L55" s="138"/>
      <c r="M55" s="146">
        <v>45696</v>
      </c>
      <c r="N55" s="146">
        <v>46029</v>
      </c>
      <c r="O55" s="139">
        <v>11</v>
      </c>
      <c r="P55" s="139"/>
      <c r="Q55" s="133" t="s">
        <v>195</v>
      </c>
      <c r="R55" s="139"/>
      <c r="S55" s="133" t="s">
        <v>504</v>
      </c>
      <c r="T55" s="133"/>
      <c r="U55" s="133">
        <v>100</v>
      </c>
      <c r="V55" s="133"/>
      <c r="W55" s="131" t="s">
        <v>188</v>
      </c>
      <c r="X55" s="131"/>
    </row>
    <row r="56" spans="1:25" s="161" customFormat="1" ht="45.75">
      <c r="A56" s="133">
        <v>57</v>
      </c>
      <c r="B56" s="139"/>
      <c r="C56" s="139" t="s">
        <v>505</v>
      </c>
      <c r="D56" s="133" t="s">
        <v>99</v>
      </c>
      <c r="E56" s="145"/>
      <c r="F56" s="154"/>
      <c r="G56" s="154"/>
      <c r="H56" s="139"/>
      <c r="I56" s="133"/>
      <c r="J56" s="133"/>
      <c r="K56" s="133"/>
      <c r="L56" s="138"/>
      <c r="M56" s="146">
        <v>45696</v>
      </c>
      <c r="N56" s="146">
        <v>46029</v>
      </c>
      <c r="O56" s="139">
        <v>11</v>
      </c>
      <c r="P56" s="139"/>
      <c r="Q56" s="133" t="s">
        <v>195</v>
      </c>
      <c r="R56" s="139"/>
      <c r="S56" s="133" t="s">
        <v>504</v>
      </c>
      <c r="T56" s="133"/>
      <c r="U56" s="133">
        <v>100</v>
      </c>
      <c r="V56" s="133"/>
      <c r="W56" s="131" t="s">
        <v>188</v>
      </c>
      <c r="X56" s="133"/>
    </row>
    <row r="57" spans="1:25" s="161" customFormat="1" ht="45.75">
      <c r="A57" s="133">
        <v>58</v>
      </c>
      <c r="B57" s="139"/>
      <c r="C57" s="139" t="s">
        <v>506</v>
      </c>
      <c r="D57" s="133" t="s">
        <v>507</v>
      </c>
      <c r="E57" s="145"/>
      <c r="F57" s="154"/>
      <c r="G57" s="154"/>
      <c r="H57" s="139"/>
      <c r="I57" s="133"/>
      <c r="J57" s="133"/>
      <c r="K57" s="133"/>
      <c r="L57" s="138"/>
      <c r="M57" s="146">
        <v>45696</v>
      </c>
      <c r="N57" s="146">
        <v>46029</v>
      </c>
      <c r="O57" s="139">
        <v>11</v>
      </c>
      <c r="P57" s="139"/>
      <c r="Q57" s="133" t="s">
        <v>195</v>
      </c>
      <c r="R57" s="139"/>
      <c r="S57" s="133" t="s">
        <v>504</v>
      </c>
      <c r="T57" s="133"/>
      <c r="U57" s="133">
        <v>100</v>
      </c>
      <c r="V57" s="133"/>
      <c r="W57" s="131" t="s">
        <v>188</v>
      </c>
      <c r="X57" s="133"/>
    </row>
    <row r="58" spans="1:25" s="219" customFormat="1" ht="60.75">
      <c r="A58" s="179">
        <v>59</v>
      </c>
      <c r="B58" s="179"/>
      <c r="C58" s="179" t="s">
        <v>508</v>
      </c>
      <c r="D58" s="398" t="s">
        <v>509</v>
      </c>
      <c r="E58" s="132" t="s">
        <v>510</v>
      </c>
      <c r="F58" s="263">
        <v>8638060164</v>
      </c>
      <c r="G58" s="263" t="s">
        <v>511</v>
      </c>
      <c r="H58" s="179" t="s">
        <v>512</v>
      </c>
      <c r="I58" s="131"/>
      <c r="J58" s="131"/>
      <c r="K58" s="131"/>
      <c r="L58" s="264"/>
      <c r="M58" s="265">
        <v>45699</v>
      </c>
      <c r="N58" s="265">
        <v>46032</v>
      </c>
      <c r="O58" s="179">
        <v>11</v>
      </c>
      <c r="P58" s="179"/>
      <c r="Q58" s="131" t="s">
        <v>176</v>
      </c>
      <c r="R58" s="131" t="s">
        <v>513</v>
      </c>
      <c r="S58" s="131" t="s">
        <v>514</v>
      </c>
      <c r="T58" s="131"/>
      <c r="U58" s="131">
        <v>100</v>
      </c>
      <c r="V58" s="131" t="s">
        <v>513</v>
      </c>
      <c r="W58" s="131" t="s">
        <v>513</v>
      </c>
      <c r="X58" s="131"/>
    </row>
    <row r="59" spans="1:25" s="161" customFormat="1" ht="167.25">
      <c r="A59" s="139">
        <v>60</v>
      </c>
      <c r="B59" s="139" t="s">
        <v>227</v>
      </c>
      <c r="C59" s="133" t="s">
        <v>515</v>
      </c>
      <c r="D59" s="133" t="s">
        <v>516</v>
      </c>
      <c r="E59" s="145" t="s">
        <v>517</v>
      </c>
      <c r="F59" s="154">
        <v>7838078627</v>
      </c>
      <c r="G59" s="154" t="s">
        <v>518</v>
      </c>
      <c r="H59" s="139" t="s">
        <v>444</v>
      </c>
      <c r="I59" s="133"/>
      <c r="J59" s="133"/>
      <c r="K59" s="133"/>
      <c r="L59" s="138"/>
      <c r="M59" s="146">
        <v>45699</v>
      </c>
      <c r="N59" s="146">
        <v>46032</v>
      </c>
      <c r="O59" s="139">
        <v>11</v>
      </c>
      <c r="P59" s="139"/>
      <c r="Q59" s="133" t="s">
        <v>195</v>
      </c>
      <c r="R59" s="139"/>
      <c r="S59" s="133" t="s">
        <v>519</v>
      </c>
      <c r="T59" s="133"/>
      <c r="U59" s="133">
        <v>100</v>
      </c>
      <c r="V59" s="133"/>
      <c r="W59" s="131" t="s">
        <v>188</v>
      </c>
      <c r="X59" s="133"/>
    </row>
    <row r="60" spans="1:25" s="219" customFormat="1" ht="91.5">
      <c r="A60" s="131">
        <v>61</v>
      </c>
      <c r="B60" s="179" t="s">
        <v>227</v>
      </c>
      <c r="C60" s="131" t="s">
        <v>520</v>
      </c>
      <c r="D60" s="131" t="s">
        <v>521</v>
      </c>
      <c r="E60" s="132" t="s">
        <v>522</v>
      </c>
      <c r="F60" s="263">
        <v>8826087478</v>
      </c>
      <c r="G60" s="263" t="s">
        <v>523</v>
      </c>
      <c r="H60" s="179" t="s">
        <v>194</v>
      </c>
      <c r="I60" s="131" t="s">
        <v>10</v>
      </c>
      <c r="J60" s="131" t="s">
        <v>417</v>
      </c>
      <c r="K60" s="131" t="s">
        <v>174</v>
      </c>
      <c r="L60" s="277" t="s">
        <v>418</v>
      </c>
      <c r="M60" s="265">
        <v>45707</v>
      </c>
      <c r="N60" s="265">
        <v>46040</v>
      </c>
      <c r="O60" s="179">
        <v>11</v>
      </c>
      <c r="P60" s="179"/>
      <c r="Q60" s="131" t="s">
        <v>195</v>
      </c>
      <c r="R60" s="179"/>
      <c r="S60" s="131" t="s">
        <v>524</v>
      </c>
      <c r="T60" s="131"/>
      <c r="U60" s="131">
        <v>100</v>
      </c>
      <c r="V60" s="131" t="s">
        <v>513</v>
      </c>
      <c r="W60" s="131" t="s">
        <v>513</v>
      </c>
      <c r="X60" s="131" t="s">
        <v>513</v>
      </c>
    </row>
    <row r="61" spans="1:25" s="219" customFormat="1" ht="76.5">
      <c r="A61" s="131">
        <v>62</v>
      </c>
      <c r="B61" s="179" t="s">
        <v>227</v>
      </c>
      <c r="C61" s="131" t="s">
        <v>525</v>
      </c>
      <c r="D61" s="131" t="s">
        <v>526</v>
      </c>
      <c r="E61" s="132" t="s">
        <v>527</v>
      </c>
      <c r="F61" s="263">
        <v>9833908208</v>
      </c>
      <c r="G61" s="263" t="s">
        <v>528</v>
      </c>
      <c r="H61" s="179" t="s">
        <v>529</v>
      </c>
      <c r="I61" s="131" t="s">
        <v>10</v>
      </c>
      <c r="J61" s="131" t="s">
        <v>417</v>
      </c>
      <c r="K61" s="131" t="s">
        <v>174</v>
      </c>
      <c r="L61" s="277" t="s">
        <v>418</v>
      </c>
      <c r="M61" s="265">
        <v>45712</v>
      </c>
      <c r="N61" s="265">
        <v>46045</v>
      </c>
      <c r="O61" s="179">
        <v>11</v>
      </c>
      <c r="P61" s="179"/>
      <c r="Q61" s="131" t="s">
        <v>195</v>
      </c>
      <c r="R61" s="179"/>
      <c r="S61" s="131" t="s">
        <v>530</v>
      </c>
      <c r="T61" s="131"/>
      <c r="U61" s="131">
        <v>100</v>
      </c>
      <c r="V61" s="131"/>
      <c r="W61" s="131" t="s">
        <v>513</v>
      </c>
      <c r="X61" s="131" t="s">
        <v>513</v>
      </c>
    </row>
    <row r="62" spans="1:25" s="161" customFormat="1" ht="137.25">
      <c r="A62" s="139">
        <v>63</v>
      </c>
      <c r="B62" s="139" t="s">
        <v>227</v>
      </c>
      <c r="C62" s="139" t="s">
        <v>531</v>
      </c>
      <c r="D62" s="133" t="s">
        <v>532</v>
      </c>
      <c r="E62" s="145" t="s">
        <v>533</v>
      </c>
      <c r="F62" s="154">
        <v>9321576424</v>
      </c>
      <c r="G62" s="154" t="s">
        <v>534</v>
      </c>
      <c r="H62" s="139" t="s">
        <v>529</v>
      </c>
      <c r="I62" s="133" t="s">
        <v>10</v>
      </c>
      <c r="J62" s="133" t="s">
        <v>445</v>
      </c>
      <c r="K62" s="133" t="s">
        <v>174</v>
      </c>
      <c r="L62" s="180" t="s">
        <v>446</v>
      </c>
      <c r="M62" s="146">
        <v>45714</v>
      </c>
      <c r="N62" s="146">
        <v>46047</v>
      </c>
      <c r="O62" s="139">
        <v>11</v>
      </c>
      <c r="P62" s="139"/>
      <c r="Q62" s="157" t="s">
        <v>535</v>
      </c>
      <c r="R62" s="139"/>
      <c r="S62" s="133" t="s">
        <v>536</v>
      </c>
      <c r="T62" s="133"/>
      <c r="U62" s="133">
        <v>100</v>
      </c>
      <c r="V62" s="133"/>
      <c r="W62" s="131" t="s">
        <v>513</v>
      </c>
      <c r="X62" s="133"/>
    </row>
    <row r="63" spans="1:25" s="219" customFormat="1" ht="106.5">
      <c r="A63" s="179">
        <v>64</v>
      </c>
      <c r="B63" s="179" t="s">
        <v>227</v>
      </c>
      <c r="C63" s="179" t="s">
        <v>537</v>
      </c>
      <c r="D63" s="131" t="s">
        <v>538</v>
      </c>
      <c r="E63" s="132" t="s">
        <v>539</v>
      </c>
      <c r="F63" s="263" t="s">
        <v>540</v>
      </c>
      <c r="G63" s="263" t="s">
        <v>541</v>
      </c>
      <c r="H63" s="179" t="s">
        <v>529</v>
      </c>
      <c r="I63" s="131" t="s">
        <v>10</v>
      </c>
      <c r="J63" s="131" t="s">
        <v>445</v>
      </c>
      <c r="K63" s="131" t="s">
        <v>174</v>
      </c>
      <c r="L63" s="277" t="s">
        <v>446</v>
      </c>
      <c r="M63" s="265">
        <v>45714</v>
      </c>
      <c r="N63" s="265">
        <v>46077</v>
      </c>
      <c r="O63" s="179" t="s">
        <v>542</v>
      </c>
      <c r="P63" s="179"/>
      <c r="Q63" s="131" t="s">
        <v>195</v>
      </c>
      <c r="R63" s="179"/>
      <c r="S63" s="131" t="s">
        <v>543</v>
      </c>
      <c r="T63" s="131"/>
      <c r="U63" s="131">
        <v>100</v>
      </c>
      <c r="V63" s="131"/>
      <c r="W63" s="131" t="s">
        <v>243</v>
      </c>
      <c r="X63" s="131" t="s">
        <v>243</v>
      </c>
    </row>
    <row r="64" spans="1:25" s="161" customFormat="1" ht="60.75">
      <c r="A64" s="133">
        <v>65</v>
      </c>
      <c r="B64" s="139" t="s">
        <v>227</v>
      </c>
      <c r="C64" s="133" t="s">
        <v>544</v>
      </c>
      <c r="D64" s="133" t="s">
        <v>545</v>
      </c>
      <c r="E64" s="145" t="s">
        <v>546</v>
      </c>
      <c r="F64" s="154" t="s">
        <v>547</v>
      </c>
      <c r="G64" s="154" t="s">
        <v>548</v>
      </c>
      <c r="H64" s="139" t="s">
        <v>529</v>
      </c>
      <c r="I64" s="133" t="s">
        <v>10</v>
      </c>
      <c r="J64" s="133" t="s">
        <v>549</v>
      </c>
      <c r="K64" s="133" t="s">
        <v>174</v>
      </c>
      <c r="L64" s="180" t="s">
        <v>550</v>
      </c>
      <c r="M64" s="146">
        <v>45716</v>
      </c>
      <c r="N64" s="146">
        <v>46049</v>
      </c>
      <c r="O64" s="139">
        <v>11</v>
      </c>
      <c r="P64" s="139"/>
      <c r="Q64" s="133" t="s">
        <v>195</v>
      </c>
      <c r="R64" s="139"/>
      <c r="S64" s="133" t="s">
        <v>551</v>
      </c>
      <c r="T64" s="133"/>
      <c r="U64" s="133">
        <v>100</v>
      </c>
      <c r="V64" s="133"/>
      <c r="W64" s="131" t="s">
        <v>243</v>
      </c>
      <c r="X64" s="133"/>
      <c r="Y64" s="161" t="s">
        <v>552</v>
      </c>
    </row>
    <row r="65" spans="1:24" s="161" customFormat="1" ht="76.5">
      <c r="A65" s="133">
        <v>66</v>
      </c>
      <c r="B65" s="139" t="s">
        <v>227</v>
      </c>
      <c r="C65" s="139" t="s">
        <v>553</v>
      </c>
      <c r="D65" s="133" t="s">
        <v>554</v>
      </c>
      <c r="E65" s="145" t="s">
        <v>555</v>
      </c>
      <c r="F65" s="154">
        <v>9038258933</v>
      </c>
      <c r="G65" s="154" t="s">
        <v>556</v>
      </c>
      <c r="H65" s="139" t="s">
        <v>557</v>
      </c>
      <c r="I65" s="133" t="s">
        <v>10</v>
      </c>
      <c r="J65" s="133" t="s">
        <v>417</v>
      </c>
      <c r="K65" s="133" t="s">
        <v>174</v>
      </c>
      <c r="L65" s="180" t="s">
        <v>418</v>
      </c>
      <c r="M65" s="146">
        <v>45716</v>
      </c>
      <c r="N65" s="146">
        <v>46049</v>
      </c>
      <c r="O65" s="139">
        <v>11</v>
      </c>
      <c r="P65" s="139"/>
      <c r="Q65" s="133" t="s">
        <v>195</v>
      </c>
      <c r="R65" s="139"/>
      <c r="S65" s="133" t="s">
        <v>551</v>
      </c>
      <c r="T65" s="133"/>
      <c r="U65" s="133">
        <v>100</v>
      </c>
      <c r="V65" s="133"/>
      <c r="W65" s="133"/>
      <c r="X65" s="133"/>
    </row>
    <row r="66" spans="1:24" s="161" customFormat="1" ht="76.5">
      <c r="A66" s="139">
        <v>67</v>
      </c>
      <c r="B66" s="139" t="s">
        <v>227</v>
      </c>
      <c r="C66" s="139" t="s">
        <v>558</v>
      </c>
      <c r="D66" s="133" t="s">
        <v>559</v>
      </c>
      <c r="E66" s="145" t="s">
        <v>560</v>
      </c>
      <c r="F66" s="154">
        <v>8925309825</v>
      </c>
      <c r="G66" s="154" t="s">
        <v>561</v>
      </c>
      <c r="H66" s="139" t="s">
        <v>492</v>
      </c>
      <c r="I66" s="133" t="s">
        <v>10</v>
      </c>
      <c r="J66" s="133" t="s">
        <v>417</v>
      </c>
      <c r="K66" s="133" t="s">
        <v>174</v>
      </c>
      <c r="L66" s="180" t="s">
        <v>418</v>
      </c>
      <c r="M66" s="146">
        <v>45719</v>
      </c>
      <c r="N66" s="146">
        <v>46055</v>
      </c>
      <c r="O66" s="139">
        <v>11</v>
      </c>
      <c r="P66" s="139"/>
      <c r="Q66" s="133" t="s">
        <v>176</v>
      </c>
      <c r="R66" s="139"/>
      <c r="S66" s="133" t="s">
        <v>562</v>
      </c>
      <c r="T66" s="133"/>
      <c r="U66" s="133">
        <v>100</v>
      </c>
      <c r="V66" s="133"/>
      <c r="W66" s="131" t="s">
        <v>243</v>
      </c>
      <c r="X66" s="133"/>
    </row>
    <row r="67" spans="1:24" s="161" customFormat="1" ht="91.5">
      <c r="A67" s="139">
        <v>68</v>
      </c>
      <c r="B67" s="139" t="s">
        <v>227</v>
      </c>
      <c r="C67" s="139" t="s">
        <v>563</v>
      </c>
      <c r="D67" s="133" t="s">
        <v>564</v>
      </c>
      <c r="E67" s="145" t="s">
        <v>565</v>
      </c>
      <c r="F67" s="154">
        <v>9820615635</v>
      </c>
      <c r="G67" s="154" t="s">
        <v>566</v>
      </c>
      <c r="H67" s="139" t="s">
        <v>354</v>
      </c>
      <c r="I67" s="133" t="s">
        <v>10</v>
      </c>
      <c r="J67" s="133" t="s">
        <v>417</v>
      </c>
      <c r="K67" s="133" t="s">
        <v>174</v>
      </c>
      <c r="L67" s="180" t="s">
        <v>418</v>
      </c>
      <c r="M67" s="146">
        <v>45720</v>
      </c>
      <c r="N67" s="146">
        <v>46056</v>
      </c>
      <c r="O67" s="139">
        <v>11</v>
      </c>
      <c r="P67" s="139"/>
      <c r="Q67" s="133" t="s">
        <v>195</v>
      </c>
      <c r="R67" s="139"/>
      <c r="S67" s="133" t="s">
        <v>567</v>
      </c>
      <c r="T67" s="133"/>
      <c r="U67" s="133">
        <v>100</v>
      </c>
      <c r="V67" s="133"/>
      <c r="W67" s="133"/>
      <c r="X67" s="133"/>
    </row>
    <row r="68" spans="1:24" s="219" customFormat="1" ht="76.5">
      <c r="A68" s="131">
        <v>69</v>
      </c>
      <c r="B68" s="179" t="s">
        <v>227</v>
      </c>
      <c r="C68" s="179" t="s">
        <v>568</v>
      </c>
      <c r="D68" s="131" t="s">
        <v>569</v>
      </c>
      <c r="E68" s="132" t="s">
        <v>570</v>
      </c>
      <c r="F68" s="263">
        <v>9811718239</v>
      </c>
      <c r="G68" s="263" t="s">
        <v>571</v>
      </c>
      <c r="H68" s="179" t="s">
        <v>261</v>
      </c>
      <c r="I68" s="131" t="s">
        <v>10</v>
      </c>
      <c r="J68" s="131" t="s">
        <v>417</v>
      </c>
      <c r="K68" s="131" t="s">
        <v>174</v>
      </c>
      <c r="L68" s="277" t="s">
        <v>418</v>
      </c>
      <c r="M68" s="265">
        <v>45720</v>
      </c>
      <c r="N68" s="265">
        <v>46056</v>
      </c>
      <c r="O68" s="179">
        <v>11</v>
      </c>
      <c r="P68" s="179"/>
      <c r="Q68" s="131" t="s">
        <v>195</v>
      </c>
      <c r="R68" s="179"/>
      <c r="S68" s="131" t="s">
        <v>572</v>
      </c>
      <c r="T68" s="131"/>
      <c r="U68" s="131">
        <v>100</v>
      </c>
      <c r="V68" s="131"/>
      <c r="W68" s="131" t="s">
        <v>513</v>
      </c>
      <c r="X68" s="131"/>
    </row>
    <row r="69" spans="1:24" s="161" customFormat="1" ht="60.75">
      <c r="A69" s="133">
        <v>70</v>
      </c>
      <c r="B69" s="139" t="s">
        <v>227</v>
      </c>
      <c r="C69" s="139" t="s">
        <v>573</v>
      </c>
      <c r="D69" s="133" t="s">
        <v>574</v>
      </c>
      <c r="E69" s="145" t="s">
        <v>575</v>
      </c>
      <c r="F69" s="154">
        <v>9416045944</v>
      </c>
      <c r="G69" s="154" t="s">
        <v>576</v>
      </c>
      <c r="H69" s="139" t="s">
        <v>577</v>
      </c>
      <c r="I69" s="133" t="s">
        <v>10</v>
      </c>
      <c r="J69" s="133" t="s">
        <v>417</v>
      </c>
      <c r="K69" s="133" t="s">
        <v>174</v>
      </c>
      <c r="L69" s="180" t="s">
        <v>418</v>
      </c>
      <c r="M69" s="146">
        <v>45721</v>
      </c>
      <c r="N69" s="146">
        <v>46057</v>
      </c>
      <c r="O69" s="139">
        <v>11</v>
      </c>
      <c r="P69" s="139"/>
      <c r="Q69" s="133" t="s">
        <v>195</v>
      </c>
      <c r="R69" s="139"/>
      <c r="S69" s="133" t="s">
        <v>578</v>
      </c>
      <c r="T69" s="133"/>
      <c r="U69" s="133">
        <v>100</v>
      </c>
      <c r="V69" s="133"/>
      <c r="W69" s="133"/>
      <c r="X69" s="133"/>
    </row>
    <row r="70" spans="1:24" s="161" customFormat="1" ht="76.5">
      <c r="A70" s="139">
        <v>71</v>
      </c>
      <c r="B70" s="139" t="s">
        <v>227</v>
      </c>
      <c r="C70" s="139" t="s">
        <v>579</v>
      </c>
      <c r="D70" s="133" t="s">
        <v>579</v>
      </c>
      <c r="E70" s="145" t="s">
        <v>580</v>
      </c>
      <c r="F70" s="154">
        <v>9831444749</v>
      </c>
      <c r="G70" s="154" t="s">
        <v>581</v>
      </c>
      <c r="H70" s="139" t="s">
        <v>582</v>
      </c>
      <c r="I70" s="133" t="s">
        <v>10</v>
      </c>
      <c r="J70" s="133" t="s">
        <v>445</v>
      </c>
      <c r="K70" s="133" t="s">
        <v>174</v>
      </c>
      <c r="L70" s="180" t="s">
        <v>446</v>
      </c>
      <c r="M70" s="146">
        <v>45722</v>
      </c>
      <c r="N70" s="146">
        <v>46058</v>
      </c>
      <c r="O70" s="139">
        <v>11</v>
      </c>
      <c r="P70" s="139"/>
      <c r="Q70" s="133" t="s">
        <v>195</v>
      </c>
      <c r="R70" s="139"/>
      <c r="S70" s="133" t="s">
        <v>583</v>
      </c>
      <c r="T70" s="133"/>
      <c r="U70" s="133">
        <v>100</v>
      </c>
      <c r="V70" s="133"/>
      <c r="W70" s="133"/>
      <c r="X70" s="133"/>
    </row>
    <row r="71" spans="1:24" s="161" customFormat="1" ht="76.5">
      <c r="A71" s="139">
        <v>72</v>
      </c>
      <c r="B71" s="139" t="s">
        <v>227</v>
      </c>
      <c r="C71" s="133" t="s">
        <v>584</v>
      </c>
      <c r="D71" s="133" t="s">
        <v>585</v>
      </c>
      <c r="E71" s="145" t="s">
        <v>586</v>
      </c>
      <c r="F71" s="154">
        <v>9821278995</v>
      </c>
      <c r="G71" s="154" t="s">
        <v>587</v>
      </c>
      <c r="H71" s="139" t="s">
        <v>529</v>
      </c>
      <c r="I71" s="133" t="s">
        <v>10</v>
      </c>
      <c r="J71" s="133" t="s">
        <v>417</v>
      </c>
      <c r="K71" s="133" t="s">
        <v>174</v>
      </c>
      <c r="L71" s="180" t="s">
        <v>418</v>
      </c>
      <c r="M71" s="146">
        <v>45726</v>
      </c>
      <c r="N71" s="146">
        <v>46062</v>
      </c>
      <c r="O71" s="139">
        <v>11</v>
      </c>
      <c r="P71" s="139"/>
      <c r="Q71" s="133" t="s">
        <v>195</v>
      </c>
      <c r="R71" s="139"/>
      <c r="S71" s="133" t="s">
        <v>588</v>
      </c>
      <c r="T71" s="133"/>
      <c r="U71" s="133">
        <v>100</v>
      </c>
      <c r="V71" s="133"/>
      <c r="W71" s="131" t="s">
        <v>243</v>
      </c>
      <c r="X71" s="133"/>
    </row>
    <row r="72" spans="1:24" s="161" customFormat="1" ht="60.75">
      <c r="A72" s="133">
        <v>73</v>
      </c>
      <c r="B72" s="139" t="s">
        <v>227</v>
      </c>
      <c r="C72" s="139" t="s">
        <v>589</v>
      </c>
      <c r="D72" s="133" t="s">
        <v>590</v>
      </c>
      <c r="E72" s="145" t="s">
        <v>591</v>
      </c>
      <c r="F72" s="154">
        <v>9810660522</v>
      </c>
      <c r="G72" s="154" t="s">
        <v>592</v>
      </c>
      <c r="H72" s="139" t="s">
        <v>241</v>
      </c>
      <c r="I72" s="133" t="s">
        <v>10</v>
      </c>
      <c r="J72" s="133" t="s">
        <v>417</v>
      </c>
      <c r="K72" s="133" t="s">
        <v>174</v>
      </c>
      <c r="L72" s="180" t="s">
        <v>418</v>
      </c>
      <c r="M72" s="146">
        <v>45726</v>
      </c>
      <c r="N72" s="146">
        <v>46062</v>
      </c>
      <c r="O72" s="139">
        <v>11</v>
      </c>
      <c r="P72" s="139"/>
      <c r="Q72" s="133" t="s">
        <v>176</v>
      </c>
      <c r="R72" s="139"/>
      <c r="S72" s="133" t="s">
        <v>593</v>
      </c>
      <c r="T72" s="133"/>
      <c r="U72" s="133">
        <v>100</v>
      </c>
      <c r="V72" s="133"/>
      <c r="W72" s="133"/>
      <c r="X72" s="133"/>
    </row>
    <row r="73" spans="1:24" s="219" customFormat="1" ht="152.25">
      <c r="A73" s="131">
        <v>74</v>
      </c>
      <c r="B73" s="179" t="s">
        <v>227</v>
      </c>
      <c r="C73" s="179" t="s">
        <v>594</v>
      </c>
      <c r="D73" s="131" t="s">
        <v>595</v>
      </c>
      <c r="E73" s="132" t="s">
        <v>596</v>
      </c>
      <c r="F73" s="263">
        <v>9899060766</v>
      </c>
      <c r="G73" s="263" t="s">
        <v>597</v>
      </c>
      <c r="H73" s="179" t="s">
        <v>241</v>
      </c>
      <c r="I73" s="131" t="s">
        <v>10</v>
      </c>
      <c r="J73" s="131" t="s">
        <v>417</v>
      </c>
      <c r="K73" s="131" t="s">
        <v>174</v>
      </c>
      <c r="L73" s="277" t="s">
        <v>418</v>
      </c>
      <c r="M73" s="265">
        <v>45726</v>
      </c>
      <c r="N73" s="265">
        <v>46062</v>
      </c>
      <c r="O73" s="179">
        <v>11</v>
      </c>
      <c r="P73" s="179"/>
      <c r="Q73" s="131" t="s">
        <v>535</v>
      </c>
      <c r="R73" s="179"/>
      <c r="S73" s="131" t="s">
        <v>598</v>
      </c>
      <c r="T73" s="131"/>
      <c r="U73" s="131">
        <v>100</v>
      </c>
      <c r="V73" s="131"/>
      <c r="W73" s="131" t="s">
        <v>513</v>
      </c>
      <c r="X73" s="131"/>
    </row>
    <row r="74" spans="1:24" s="219" customFormat="1" ht="91.5">
      <c r="A74" s="179">
        <v>75</v>
      </c>
      <c r="B74" s="179" t="s">
        <v>227</v>
      </c>
      <c r="C74" s="179" t="s">
        <v>599</v>
      </c>
      <c r="D74" s="131" t="s">
        <v>600</v>
      </c>
      <c r="E74" s="132" t="s">
        <v>601</v>
      </c>
      <c r="F74" s="263">
        <v>7880109346</v>
      </c>
      <c r="G74" s="263" t="s">
        <v>602</v>
      </c>
      <c r="H74" s="179" t="s">
        <v>603</v>
      </c>
      <c r="I74" s="131" t="s">
        <v>10</v>
      </c>
      <c r="J74" s="131" t="s">
        <v>445</v>
      </c>
      <c r="K74" s="131" t="s">
        <v>174</v>
      </c>
      <c r="L74" s="277" t="s">
        <v>446</v>
      </c>
      <c r="M74" s="265">
        <v>45726</v>
      </c>
      <c r="N74" s="265">
        <v>46062</v>
      </c>
      <c r="O74" s="179">
        <v>11</v>
      </c>
      <c r="P74" s="179"/>
      <c r="Q74" s="131" t="s">
        <v>195</v>
      </c>
      <c r="R74" s="179"/>
      <c r="S74" s="131" t="s">
        <v>604</v>
      </c>
      <c r="T74" s="131"/>
      <c r="U74" s="131">
        <v>100</v>
      </c>
      <c r="V74" s="131"/>
      <c r="W74" s="131" t="s">
        <v>243</v>
      </c>
      <c r="X74" s="131"/>
    </row>
    <row r="75" spans="1:24" s="161" customFormat="1" ht="76.5">
      <c r="A75" s="139">
        <v>76</v>
      </c>
      <c r="B75" s="139" t="s">
        <v>227</v>
      </c>
      <c r="C75" s="139" t="s">
        <v>605</v>
      </c>
      <c r="D75" s="133" t="s">
        <v>606</v>
      </c>
      <c r="E75" s="145" t="s">
        <v>607</v>
      </c>
      <c r="F75" s="154">
        <v>9652810097</v>
      </c>
      <c r="G75" s="154" t="s">
        <v>608</v>
      </c>
      <c r="H75" s="139" t="s">
        <v>395</v>
      </c>
      <c r="I75" s="133" t="s">
        <v>10</v>
      </c>
      <c r="J75" s="133" t="s">
        <v>445</v>
      </c>
      <c r="K75" s="133" t="s">
        <v>174</v>
      </c>
      <c r="L75" s="180" t="s">
        <v>446</v>
      </c>
      <c r="M75" s="146">
        <v>45726</v>
      </c>
      <c r="N75" s="146">
        <v>46062</v>
      </c>
      <c r="O75" s="139">
        <v>11</v>
      </c>
      <c r="P75" s="139"/>
      <c r="Q75" s="133" t="s">
        <v>195</v>
      </c>
      <c r="R75" s="139"/>
      <c r="S75" s="133" t="s">
        <v>609</v>
      </c>
      <c r="T75" s="133"/>
      <c r="U75" s="133">
        <v>100</v>
      </c>
      <c r="V75" s="133"/>
      <c r="W75" s="133"/>
      <c r="X75" s="133"/>
    </row>
    <row r="76" spans="1:24" s="161" customFormat="1" ht="91.5">
      <c r="A76" s="133">
        <v>77</v>
      </c>
      <c r="B76" s="139" t="s">
        <v>227</v>
      </c>
      <c r="C76" s="139" t="s">
        <v>610</v>
      </c>
      <c r="D76" s="133" t="s">
        <v>611</v>
      </c>
      <c r="E76" s="145" t="s">
        <v>612</v>
      </c>
      <c r="F76" s="154">
        <v>8743029999</v>
      </c>
      <c r="G76" s="154" t="s">
        <v>613</v>
      </c>
      <c r="H76" s="139" t="s">
        <v>241</v>
      </c>
      <c r="I76" s="133" t="s">
        <v>10</v>
      </c>
      <c r="J76" s="133" t="s">
        <v>445</v>
      </c>
      <c r="K76" s="133" t="s">
        <v>174</v>
      </c>
      <c r="L76" s="180" t="s">
        <v>446</v>
      </c>
      <c r="M76" s="146">
        <v>45728</v>
      </c>
      <c r="N76" s="146">
        <v>46064</v>
      </c>
      <c r="O76" s="139">
        <v>11</v>
      </c>
      <c r="P76" s="139"/>
      <c r="Q76" s="133" t="s">
        <v>195</v>
      </c>
      <c r="R76" s="139"/>
      <c r="S76" s="133" t="s">
        <v>614</v>
      </c>
      <c r="T76" s="133"/>
      <c r="U76" s="133">
        <v>100</v>
      </c>
      <c r="V76" s="133"/>
      <c r="W76" s="133"/>
      <c r="X76" s="133"/>
    </row>
    <row r="77" spans="1:24" s="161" customFormat="1" ht="60.75">
      <c r="A77" s="133">
        <v>78</v>
      </c>
      <c r="B77" s="139" t="s">
        <v>227</v>
      </c>
      <c r="C77" s="139" t="s">
        <v>615</v>
      </c>
      <c r="D77" s="133" t="s">
        <v>615</v>
      </c>
      <c r="E77" s="145" t="s">
        <v>616</v>
      </c>
      <c r="F77" s="154">
        <v>9132886514</v>
      </c>
      <c r="G77" s="154" t="s">
        <v>617</v>
      </c>
      <c r="H77" s="139" t="s">
        <v>618</v>
      </c>
      <c r="I77" s="133" t="s">
        <v>10</v>
      </c>
      <c r="J77" s="133" t="s">
        <v>417</v>
      </c>
      <c r="K77" s="133" t="s">
        <v>174</v>
      </c>
      <c r="L77" s="180" t="s">
        <v>446</v>
      </c>
      <c r="M77" s="146">
        <v>45730</v>
      </c>
      <c r="N77" s="146">
        <v>46066</v>
      </c>
      <c r="O77" s="139">
        <v>11</v>
      </c>
      <c r="P77" s="139"/>
      <c r="Q77" s="133" t="s">
        <v>195</v>
      </c>
      <c r="R77" s="139"/>
      <c r="S77" s="133" t="s">
        <v>619</v>
      </c>
      <c r="T77" s="133"/>
      <c r="U77" s="133">
        <v>100</v>
      </c>
      <c r="V77" s="133"/>
      <c r="W77" s="133"/>
      <c r="X77" s="133"/>
    </row>
    <row r="78" spans="1:24" s="219" customFormat="1" ht="91.5">
      <c r="A78" s="179">
        <v>79</v>
      </c>
      <c r="B78" s="179" t="s">
        <v>227</v>
      </c>
      <c r="C78" s="179" t="s">
        <v>620</v>
      </c>
      <c r="D78" s="131" t="s">
        <v>621</v>
      </c>
      <c r="E78" s="132" t="s">
        <v>622</v>
      </c>
      <c r="F78" s="263">
        <v>9638448447</v>
      </c>
      <c r="G78" s="263" t="s">
        <v>623</v>
      </c>
      <c r="H78" s="179" t="s">
        <v>365</v>
      </c>
      <c r="I78" s="131" t="s">
        <v>10</v>
      </c>
      <c r="J78" s="131" t="s">
        <v>445</v>
      </c>
      <c r="K78" s="131" t="s">
        <v>174</v>
      </c>
      <c r="L78" s="277" t="s">
        <v>446</v>
      </c>
      <c r="M78" s="265">
        <v>45731</v>
      </c>
      <c r="N78" s="265">
        <v>46067</v>
      </c>
      <c r="O78" s="179">
        <v>11</v>
      </c>
      <c r="P78" s="179"/>
      <c r="Q78" s="131" t="s">
        <v>195</v>
      </c>
      <c r="R78" s="179"/>
      <c r="S78" s="131" t="s">
        <v>619</v>
      </c>
      <c r="T78" s="131"/>
      <c r="U78" s="131">
        <v>100</v>
      </c>
      <c r="V78" s="131"/>
      <c r="W78" s="131" t="s">
        <v>513</v>
      </c>
      <c r="X78" s="131"/>
    </row>
    <row r="79" spans="1:24" s="219" customFormat="1" ht="76.5">
      <c r="A79" s="179">
        <v>80</v>
      </c>
      <c r="B79" s="179" t="s">
        <v>227</v>
      </c>
      <c r="C79" s="179" t="s">
        <v>624</v>
      </c>
      <c r="D79" s="131" t="s">
        <v>625</v>
      </c>
      <c r="E79" s="132" t="s">
        <v>626</v>
      </c>
      <c r="F79" s="263">
        <v>9810595436</v>
      </c>
      <c r="G79" s="263" t="s">
        <v>627</v>
      </c>
      <c r="H79" s="179" t="s">
        <v>194</v>
      </c>
      <c r="I79" s="131" t="s">
        <v>10</v>
      </c>
      <c r="J79" s="131" t="s">
        <v>445</v>
      </c>
      <c r="K79" s="131" t="s">
        <v>174</v>
      </c>
      <c r="L79" s="277" t="s">
        <v>446</v>
      </c>
      <c r="M79" s="265">
        <v>45731</v>
      </c>
      <c r="N79" s="265">
        <v>46067</v>
      </c>
      <c r="O79" s="179">
        <v>11</v>
      </c>
      <c r="P79" s="179"/>
      <c r="Q79" s="131" t="s">
        <v>195</v>
      </c>
      <c r="R79" s="179"/>
      <c r="S79" s="131" t="s">
        <v>628</v>
      </c>
      <c r="T79" s="131"/>
      <c r="U79" s="131">
        <v>100</v>
      </c>
      <c r="V79" s="131"/>
      <c r="W79" s="131" t="s">
        <v>243</v>
      </c>
      <c r="X79" s="131"/>
    </row>
    <row r="80" spans="1:24" s="161" customFormat="1" ht="76.5">
      <c r="A80" s="133">
        <v>81</v>
      </c>
      <c r="B80" s="139" t="s">
        <v>227</v>
      </c>
      <c r="C80" s="139" t="s">
        <v>629</v>
      </c>
      <c r="D80" s="133" t="s">
        <v>630</v>
      </c>
      <c r="E80" s="145" t="s">
        <v>631</v>
      </c>
      <c r="F80" s="154">
        <v>9874281251</v>
      </c>
      <c r="G80" s="154" t="s">
        <v>632</v>
      </c>
      <c r="H80" s="139" t="s">
        <v>468</v>
      </c>
      <c r="I80" s="133" t="s">
        <v>10</v>
      </c>
      <c r="J80" s="133" t="s">
        <v>417</v>
      </c>
      <c r="K80" s="133"/>
      <c r="L80" s="180"/>
      <c r="M80" s="146">
        <v>45733</v>
      </c>
      <c r="N80" s="146">
        <v>46069</v>
      </c>
      <c r="O80" s="139">
        <v>11</v>
      </c>
      <c r="P80" s="139"/>
      <c r="Q80" s="133" t="s">
        <v>195</v>
      </c>
      <c r="R80" s="139"/>
      <c r="S80" s="133" t="s">
        <v>633</v>
      </c>
      <c r="T80" s="133"/>
      <c r="U80" s="133">
        <v>100</v>
      </c>
      <c r="V80" s="133"/>
      <c r="W80" s="133"/>
      <c r="X80" s="133"/>
    </row>
    <row r="81" spans="1:24" s="219" customFormat="1" ht="91.5">
      <c r="A81" s="131">
        <v>82</v>
      </c>
      <c r="B81" s="179" t="s">
        <v>211</v>
      </c>
      <c r="C81" s="179" t="s">
        <v>634</v>
      </c>
      <c r="D81" s="131" t="s">
        <v>635</v>
      </c>
      <c r="E81" s="132" t="s">
        <v>636</v>
      </c>
      <c r="F81" s="263">
        <v>9819867031</v>
      </c>
      <c r="G81" s="263" t="s">
        <v>637</v>
      </c>
      <c r="H81" s="179" t="s">
        <v>529</v>
      </c>
      <c r="I81" s="131" t="s">
        <v>10</v>
      </c>
      <c r="J81" s="131" t="s">
        <v>417</v>
      </c>
      <c r="K81" s="131"/>
      <c r="L81" s="277"/>
      <c r="M81" s="265">
        <v>45734</v>
      </c>
      <c r="N81" s="265">
        <v>46070</v>
      </c>
      <c r="O81" s="179">
        <v>11</v>
      </c>
      <c r="P81" s="179"/>
      <c r="Q81" s="131" t="s">
        <v>195</v>
      </c>
      <c r="R81" s="179"/>
      <c r="S81" s="131" t="s">
        <v>638</v>
      </c>
      <c r="T81" s="131"/>
      <c r="U81" s="131">
        <v>100</v>
      </c>
      <c r="V81" s="131"/>
      <c r="W81" s="131" t="s">
        <v>513</v>
      </c>
      <c r="X81" s="131"/>
    </row>
    <row r="82" spans="1:24" s="219" customFormat="1" ht="60.75">
      <c r="A82" s="179">
        <v>83</v>
      </c>
      <c r="B82" s="179" t="s">
        <v>639</v>
      </c>
      <c r="C82" s="179" t="s">
        <v>640</v>
      </c>
      <c r="D82" s="131" t="s">
        <v>641</v>
      </c>
      <c r="E82" s="132" t="s">
        <v>642</v>
      </c>
      <c r="F82" s="263">
        <v>9783777791</v>
      </c>
      <c r="G82" s="158" t="s">
        <v>643</v>
      </c>
      <c r="H82" s="179" t="s">
        <v>644</v>
      </c>
      <c r="I82" s="131" t="s">
        <v>10</v>
      </c>
      <c r="J82" s="131" t="s">
        <v>417</v>
      </c>
      <c r="K82" s="131"/>
      <c r="L82" s="277"/>
      <c r="M82" s="265">
        <v>45735</v>
      </c>
      <c r="N82" s="265">
        <v>46071</v>
      </c>
      <c r="O82" s="179">
        <v>11</v>
      </c>
      <c r="P82" s="179"/>
      <c r="Q82" s="131" t="s">
        <v>195</v>
      </c>
      <c r="R82" s="179"/>
      <c r="S82" s="131" t="s">
        <v>645</v>
      </c>
      <c r="T82" s="131"/>
      <c r="U82" s="131">
        <v>100</v>
      </c>
      <c r="V82" s="131"/>
      <c r="W82" s="131" t="s">
        <v>513</v>
      </c>
      <c r="X82" s="131"/>
    </row>
    <row r="83" spans="1:24" s="161" customFormat="1" ht="91.5">
      <c r="A83" s="139">
        <v>84</v>
      </c>
      <c r="B83" s="139" t="s">
        <v>639</v>
      </c>
      <c r="C83" s="139" t="s">
        <v>646</v>
      </c>
      <c r="D83" s="133" t="s">
        <v>647</v>
      </c>
      <c r="E83" s="145" t="s">
        <v>648</v>
      </c>
      <c r="F83" s="154">
        <v>9720515424</v>
      </c>
      <c r="G83" s="154" t="s">
        <v>649</v>
      </c>
      <c r="H83" s="139" t="s">
        <v>241</v>
      </c>
      <c r="I83" s="133" t="s">
        <v>10</v>
      </c>
      <c r="J83" s="133" t="s">
        <v>445</v>
      </c>
      <c r="K83" s="133"/>
      <c r="L83" s="180"/>
      <c r="M83" s="146">
        <v>45735</v>
      </c>
      <c r="N83" s="146">
        <v>46071</v>
      </c>
      <c r="O83" s="139">
        <v>11</v>
      </c>
      <c r="P83" s="139"/>
      <c r="Q83" s="133" t="s">
        <v>195</v>
      </c>
      <c r="R83" s="139"/>
      <c r="S83" s="133" t="s">
        <v>650</v>
      </c>
      <c r="T83" s="133"/>
      <c r="U83" s="133">
        <v>100</v>
      </c>
      <c r="V83" s="133"/>
      <c r="W83" s="133"/>
      <c r="X83" s="133"/>
    </row>
    <row r="84" spans="1:24" s="161" customFormat="1" ht="76.5">
      <c r="A84" s="133">
        <v>85</v>
      </c>
      <c r="B84" s="139" t="s">
        <v>639</v>
      </c>
      <c r="C84" s="139" t="s">
        <v>651</v>
      </c>
      <c r="D84" s="133" t="s">
        <v>652</v>
      </c>
      <c r="E84" s="145" t="s">
        <v>653</v>
      </c>
      <c r="F84" s="154">
        <v>8974507310</v>
      </c>
      <c r="G84" s="154" t="s">
        <v>654</v>
      </c>
      <c r="H84" s="139" t="s">
        <v>655</v>
      </c>
      <c r="I84" s="133" t="s">
        <v>10</v>
      </c>
      <c r="J84" s="133" t="s">
        <v>445</v>
      </c>
      <c r="K84" s="133"/>
      <c r="L84" s="180"/>
      <c r="M84" s="146">
        <v>45735</v>
      </c>
      <c r="N84" s="146">
        <v>46071</v>
      </c>
      <c r="O84" s="139">
        <v>11</v>
      </c>
      <c r="P84" s="139"/>
      <c r="Q84" s="133" t="s">
        <v>176</v>
      </c>
      <c r="R84" s="139"/>
      <c r="S84" s="133" t="s">
        <v>656</v>
      </c>
      <c r="T84" s="133"/>
      <c r="U84" s="133">
        <v>100</v>
      </c>
      <c r="V84" s="133"/>
      <c r="W84" s="133"/>
      <c r="X84" s="133"/>
    </row>
    <row r="85" spans="1:24" s="161" customFormat="1" ht="106.5">
      <c r="A85" s="133">
        <v>86</v>
      </c>
      <c r="B85" s="139" t="s">
        <v>639</v>
      </c>
      <c r="C85" s="139" t="s">
        <v>657</v>
      </c>
      <c r="D85" s="133" t="s">
        <v>658</v>
      </c>
      <c r="E85" s="145" t="s">
        <v>659</v>
      </c>
      <c r="F85" s="154">
        <v>9717109498</v>
      </c>
      <c r="G85" s="154" t="s">
        <v>660</v>
      </c>
      <c r="H85" s="139" t="s">
        <v>194</v>
      </c>
      <c r="I85" s="133" t="s">
        <v>10</v>
      </c>
      <c r="J85" s="133" t="s">
        <v>445</v>
      </c>
      <c r="K85" s="133"/>
      <c r="L85" s="180"/>
      <c r="M85" s="146">
        <v>45736</v>
      </c>
      <c r="N85" s="146">
        <v>46072</v>
      </c>
      <c r="O85" s="139">
        <v>11</v>
      </c>
      <c r="P85" s="139"/>
      <c r="Q85" s="133" t="s">
        <v>195</v>
      </c>
      <c r="R85" s="139"/>
      <c r="S85" s="133" t="s">
        <v>661</v>
      </c>
      <c r="T85" s="133"/>
      <c r="U85" s="133">
        <v>100</v>
      </c>
      <c r="V85" s="133"/>
      <c r="W85" s="133"/>
      <c r="X85" s="133"/>
    </row>
    <row r="86" spans="1:24" s="161" customFormat="1" ht="121.5">
      <c r="A86" s="139">
        <v>87</v>
      </c>
      <c r="B86" s="139" t="s">
        <v>639</v>
      </c>
      <c r="C86" s="139" t="s">
        <v>662</v>
      </c>
      <c r="D86" s="133" t="s">
        <v>663</v>
      </c>
      <c r="E86" s="145" t="s">
        <v>664</v>
      </c>
      <c r="F86" s="154">
        <v>9845205530</v>
      </c>
      <c r="G86" s="154" t="s">
        <v>665</v>
      </c>
      <c r="H86" s="139" t="s">
        <v>529</v>
      </c>
      <c r="I86" s="133" t="s">
        <v>10</v>
      </c>
      <c r="J86" s="133" t="s">
        <v>445</v>
      </c>
      <c r="K86" s="133"/>
      <c r="L86" s="180"/>
      <c r="M86" s="146">
        <v>45736</v>
      </c>
      <c r="N86" s="146">
        <v>46072</v>
      </c>
      <c r="O86" s="139">
        <v>11</v>
      </c>
      <c r="P86" s="139"/>
      <c r="Q86" s="133" t="s">
        <v>176</v>
      </c>
      <c r="R86" s="139"/>
      <c r="S86" s="133" t="s">
        <v>666</v>
      </c>
      <c r="T86" s="133"/>
      <c r="U86" s="133">
        <v>100</v>
      </c>
      <c r="V86" s="133"/>
      <c r="W86" s="133"/>
      <c r="X86" s="133"/>
    </row>
    <row r="87" spans="1:24" s="161" customFormat="1" ht="60.75">
      <c r="A87" s="139">
        <v>88</v>
      </c>
      <c r="B87" s="139" t="s">
        <v>211</v>
      </c>
      <c r="C87" s="139" t="s">
        <v>667</v>
      </c>
      <c r="D87" s="133" t="s">
        <v>668</v>
      </c>
      <c r="E87" s="145" t="s">
        <v>669</v>
      </c>
      <c r="F87" s="154" t="s">
        <v>670</v>
      </c>
      <c r="G87" s="154" t="s">
        <v>671</v>
      </c>
      <c r="H87" s="139" t="s">
        <v>202</v>
      </c>
      <c r="I87" s="133" t="s">
        <v>10</v>
      </c>
      <c r="J87" s="133" t="s">
        <v>445</v>
      </c>
      <c r="K87" s="133"/>
      <c r="L87" s="180"/>
      <c r="M87" s="146">
        <v>45737</v>
      </c>
      <c r="N87" s="146">
        <v>46073</v>
      </c>
      <c r="O87" s="139">
        <v>11</v>
      </c>
      <c r="P87" s="139"/>
      <c r="Q87" s="133" t="s">
        <v>195</v>
      </c>
      <c r="R87" s="139"/>
      <c r="S87" s="133" t="s">
        <v>672</v>
      </c>
      <c r="T87" s="133"/>
      <c r="U87" s="133">
        <v>100</v>
      </c>
      <c r="V87" s="133"/>
      <c r="W87" s="133"/>
      <c r="X87" s="133"/>
    </row>
    <row r="88" spans="1:24" s="219" customFormat="1" ht="45.75">
      <c r="A88" s="131">
        <v>89</v>
      </c>
      <c r="B88" s="179" t="s">
        <v>227</v>
      </c>
      <c r="C88" s="179" t="s">
        <v>673</v>
      </c>
      <c r="D88" s="131" t="s">
        <v>674</v>
      </c>
      <c r="E88" s="132" t="s">
        <v>675</v>
      </c>
      <c r="F88" s="263">
        <v>9810554892</v>
      </c>
      <c r="G88" s="263" t="s">
        <v>676</v>
      </c>
      <c r="H88" s="179" t="s">
        <v>677</v>
      </c>
      <c r="I88" s="131" t="s">
        <v>10</v>
      </c>
      <c r="J88" s="131" t="s">
        <v>445</v>
      </c>
      <c r="K88" s="131"/>
      <c r="L88" s="277"/>
      <c r="M88" s="265">
        <v>45737</v>
      </c>
      <c r="N88" s="265">
        <v>46073</v>
      </c>
      <c r="O88" s="179">
        <v>11</v>
      </c>
      <c r="P88" s="179"/>
      <c r="Q88" s="131" t="s">
        <v>195</v>
      </c>
      <c r="R88" s="179"/>
      <c r="S88" s="131" t="s">
        <v>678</v>
      </c>
      <c r="T88" s="131"/>
      <c r="U88" s="131">
        <v>100</v>
      </c>
      <c r="V88" s="131" t="s">
        <v>243</v>
      </c>
      <c r="W88" s="131" t="s">
        <v>243</v>
      </c>
      <c r="X88" s="131" t="s">
        <v>243</v>
      </c>
    </row>
    <row r="89" spans="1:24" s="161" customFormat="1" ht="60.75">
      <c r="A89" s="133">
        <v>90</v>
      </c>
      <c r="B89" s="139" t="s">
        <v>227</v>
      </c>
      <c r="C89" s="139" t="s">
        <v>679</v>
      </c>
      <c r="D89" s="133" t="s">
        <v>680</v>
      </c>
      <c r="E89" s="145" t="s">
        <v>681</v>
      </c>
      <c r="F89" s="154" t="s">
        <v>682</v>
      </c>
      <c r="G89" s="154" t="s">
        <v>683</v>
      </c>
      <c r="H89" s="139" t="s">
        <v>684</v>
      </c>
      <c r="I89" s="133" t="s">
        <v>10</v>
      </c>
      <c r="J89" s="133" t="s">
        <v>445</v>
      </c>
      <c r="K89" s="133"/>
      <c r="L89" s="180"/>
      <c r="M89" s="146">
        <v>45737</v>
      </c>
      <c r="N89" s="146">
        <v>46073</v>
      </c>
      <c r="O89" s="139">
        <v>11</v>
      </c>
      <c r="P89" s="139"/>
      <c r="Q89" s="133" t="s">
        <v>195</v>
      </c>
      <c r="R89" s="139"/>
      <c r="S89" s="133" t="s">
        <v>685</v>
      </c>
      <c r="T89" s="133"/>
      <c r="U89" s="133">
        <v>100</v>
      </c>
      <c r="V89" s="133"/>
      <c r="W89" s="133"/>
      <c r="X89" s="133"/>
    </row>
    <row r="90" spans="1:24" s="161" customFormat="1" ht="91.5">
      <c r="A90" s="139">
        <v>91</v>
      </c>
      <c r="B90" s="139" t="s">
        <v>227</v>
      </c>
      <c r="C90" s="139" t="s">
        <v>686</v>
      </c>
      <c r="D90" s="133" t="s">
        <v>687</v>
      </c>
      <c r="E90" s="145" t="s">
        <v>688</v>
      </c>
      <c r="F90" s="154">
        <v>9848036000</v>
      </c>
      <c r="G90" s="154" t="s">
        <v>689</v>
      </c>
      <c r="H90" s="139" t="s">
        <v>690</v>
      </c>
      <c r="I90" s="133" t="s">
        <v>10</v>
      </c>
      <c r="J90" s="133" t="s">
        <v>417</v>
      </c>
      <c r="K90" s="133"/>
      <c r="L90" s="180"/>
      <c r="M90" s="146">
        <v>45740</v>
      </c>
      <c r="N90" s="146">
        <v>46076</v>
      </c>
      <c r="O90" s="139">
        <v>11</v>
      </c>
      <c r="P90" s="139"/>
      <c r="Q90" s="133" t="s">
        <v>195</v>
      </c>
      <c r="R90" s="139"/>
      <c r="S90" s="133" t="s">
        <v>691</v>
      </c>
      <c r="T90" s="133"/>
      <c r="U90" s="133">
        <v>100</v>
      </c>
      <c r="V90" s="133"/>
      <c r="W90" s="133"/>
      <c r="X90" s="133"/>
    </row>
    <row r="91" spans="1:24" s="219" customFormat="1" ht="106.5">
      <c r="A91" s="179">
        <v>92</v>
      </c>
      <c r="B91" s="179" t="s">
        <v>227</v>
      </c>
      <c r="C91" s="179" t="s">
        <v>692</v>
      </c>
      <c r="D91" s="131" t="s">
        <v>693</v>
      </c>
      <c r="E91" s="132" t="s">
        <v>694</v>
      </c>
      <c r="F91" s="263">
        <v>9321618824</v>
      </c>
      <c r="G91" s="263" t="s">
        <v>695</v>
      </c>
      <c r="H91" s="179" t="s">
        <v>696</v>
      </c>
      <c r="I91" s="131" t="s">
        <v>10</v>
      </c>
      <c r="J91" s="131" t="s">
        <v>417</v>
      </c>
      <c r="K91" s="131"/>
      <c r="L91" s="277"/>
      <c r="M91" s="265">
        <v>45740</v>
      </c>
      <c r="N91" s="265">
        <v>46076</v>
      </c>
      <c r="O91" s="179">
        <v>11</v>
      </c>
      <c r="P91" s="179"/>
      <c r="Q91" s="131" t="s">
        <v>195</v>
      </c>
      <c r="R91" s="179"/>
      <c r="S91" s="131" t="s">
        <v>697</v>
      </c>
      <c r="T91" s="131"/>
      <c r="U91" s="131">
        <v>100</v>
      </c>
      <c r="V91" s="131" t="s">
        <v>513</v>
      </c>
      <c r="W91" s="131" t="s">
        <v>513</v>
      </c>
      <c r="X91" s="131"/>
    </row>
    <row r="92" spans="1:24" s="161" customFormat="1" ht="76.5">
      <c r="A92" s="133">
        <v>93</v>
      </c>
      <c r="B92" s="139" t="s">
        <v>211</v>
      </c>
      <c r="C92" s="139" t="s">
        <v>698</v>
      </c>
      <c r="D92" s="133" t="s">
        <v>699</v>
      </c>
      <c r="E92" s="145" t="s">
        <v>700</v>
      </c>
      <c r="F92" s="154">
        <v>9999811365</v>
      </c>
      <c r="G92" s="154" t="s">
        <v>701</v>
      </c>
      <c r="H92" s="139" t="s">
        <v>677</v>
      </c>
      <c r="I92" s="133" t="s">
        <v>10</v>
      </c>
      <c r="J92" s="133" t="s">
        <v>417</v>
      </c>
      <c r="K92" s="133"/>
      <c r="L92" s="180"/>
      <c r="M92" s="146">
        <v>45741</v>
      </c>
      <c r="N92" s="146">
        <v>46077</v>
      </c>
      <c r="O92" s="139">
        <v>11</v>
      </c>
      <c r="P92" s="139"/>
      <c r="Q92" s="133" t="s">
        <v>195</v>
      </c>
      <c r="R92" s="139"/>
      <c r="S92" s="133" t="s">
        <v>702</v>
      </c>
      <c r="T92" s="133"/>
      <c r="U92" s="133">
        <v>100</v>
      </c>
      <c r="V92" s="133"/>
      <c r="W92" s="133"/>
      <c r="X92" s="133"/>
    </row>
    <row r="93" spans="1:24" s="161" customFormat="1" ht="91.5">
      <c r="A93" s="133">
        <v>94</v>
      </c>
      <c r="B93" s="139" t="s">
        <v>227</v>
      </c>
      <c r="C93" s="139" t="s">
        <v>703</v>
      </c>
      <c r="D93" s="133" t="s">
        <v>704</v>
      </c>
      <c r="E93" s="145" t="s">
        <v>705</v>
      </c>
      <c r="F93" s="154">
        <v>8197245357</v>
      </c>
      <c r="G93" s="154" t="s">
        <v>706</v>
      </c>
      <c r="H93" s="139" t="s">
        <v>492</v>
      </c>
      <c r="I93" s="133" t="s">
        <v>10</v>
      </c>
      <c r="J93" s="133" t="s">
        <v>445</v>
      </c>
      <c r="K93" s="133"/>
      <c r="L93" s="180"/>
      <c r="M93" s="146">
        <v>45741</v>
      </c>
      <c r="N93" s="146">
        <v>46077</v>
      </c>
      <c r="O93" s="139">
        <v>11</v>
      </c>
      <c r="P93" s="139"/>
      <c r="Q93" s="133" t="s">
        <v>195</v>
      </c>
      <c r="R93" s="139"/>
      <c r="S93" s="133" t="s">
        <v>707</v>
      </c>
      <c r="T93" s="133"/>
      <c r="U93" s="133">
        <v>100</v>
      </c>
      <c r="V93" s="133"/>
      <c r="W93" s="133"/>
      <c r="X93" s="133"/>
    </row>
    <row r="94" spans="1:24" s="161" customFormat="1" ht="121.5">
      <c r="A94" s="139">
        <v>95</v>
      </c>
      <c r="B94" s="139" t="s">
        <v>227</v>
      </c>
      <c r="C94" s="139" t="s">
        <v>374</v>
      </c>
      <c r="D94" s="133" t="s">
        <v>708</v>
      </c>
      <c r="E94" s="145" t="s">
        <v>709</v>
      </c>
      <c r="F94" s="154">
        <v>9769768196</v>
      </c>
      <c r="G94" s="154" t="s">
        <v>710</v>
      </c>
      <c r="H94" s="139" t="s">
        <v>696</v>
      </c>
      <c r="I94" s="133" t="s">
        <v>10</v>
      </c>
      <c r="J94" s="133" t="s">
        <v>445</v>
      </c>
      <c r="K94" s="133"/>
      <c r="L94" s="180"/>
      <c r="M94" s="146">
        <v>45742</v>
      </c>
      <c r="N94" s="146">
        <v>46078</v>
      </c>
      <c r="O94" s="139">
        <v>11</v>
      </c>
      <c r="P94" s="139"/>
      <c r="Q94" s="133" t="s">
        <v>195</v>
      </c>
      <c r="R94" s="139"/>
      <c r="S94" s="133" t="s">
        <v>711</v>
      </c>
      <c r="T94" s="133"/>
      <c r="U94" s="133">
        <v>100</v>
      </c>
      <c r="V94" s="133"/>
      <c r="W94" s="131" t="s">
        <v>243</v>
      </c>
      <c r="X94" s="133"/>
    </row>
    <row r="95" spans="1:24" s="219" customFormat="1" ht="76.5">
      <c r="A95" s="179">
        <v>96</v>
      </c>
      <c r="B95" s="179" t="s">
        <v>227</v>
      </c>
      <c r="C95" s="353" t="s">
        <v>712</v>
      </c>
      <c r="D95" s="131" t="s">
        <v>713</v>
      </c>
      <c r="E95" s="132" t="s">
        <v>714</v>
      </c>
      <c r="F95" s="263">
        <v>9404434273</v>
      </c>
      <c r="G95" s="263" t="s">
        <v>715</v>
      </c>
      <c r="H95" s="179" t="s">
        <v>354</v>
      </c>
      <c r="I95" s="131" t="s">
        <v>10</v>
      </c>
      <c r="J95" s="131" t="s">
        <v>716</v>
      </c>
      <c r="K95" s="131"/>
      <c r="L95" s="277"/>
      <c r="M95" s="265">
        <v>45742</v>
      </c>
      <c r="N95" s="265">
        <v>46078</v>
      </c>
      <c r="O95" s="179">
        <v>11</v>
      </c>
      <c r="P95" s="179"/>
      <c r="Q95" s="131" t="s">
        <v>176</v>
      </c>
      <c r="R95" s="179"/>
      <c r="S95" s="131" t="s">
        <v>717</v>
      </c>
      <c r="T95" s="131"/>
      <c r="U95" s="131"/>
      <c r="V95" s="131"/>
      <c r="W95" s="131" t="s">
        <v>513</v>
      </c>
      <c r="X95" s="131"/>
    </row>
    <row r="96" spans="1:24" s="198" customFormat="1" ht="106.5">
      <c r="A96" s="131">
        <v>97</v>
      </c>
      <c r="B96" s="179" t="s">
        <v>227</v>
      </c>
      <c r="C96" s="179" t="s">
        <v>718</v>
      </c>
      <c r="D96" s="131" t="s">
        <v>719</v>
      </c>
      <c r="E96" s="132" t="s">
        <v>720</v>
      </c>
      <c r="F96" s="263">
        <v>9150168306</v>
      </c>
      <c r="G96" s="263" t="s">
        <v>721</v>
      </c>
      <c r="H96" s="179" t="s">
        <v>416</v>
      </c>
      <c r="I96" s="131" t="s">
        <v>10</v>
      </c>
      <c r="J96" s="131" t="s">
        <v>445</v>
      </c>
      <c r="K96" s="131"/>
      <c r="L96" s="277"/>
      <c r="M96" s="265">
        <v>45743</v>
      </c>
      <c r="N96" s="265">
        <v>46079</v>
      </c>
      <c r="O96" s="179">
        <v>11</v>
      </c>
      <c r="P96" s="179"/>
      <c r="Q96" s="131" t="s">
        <v>176</v>
      </c>
      <c r="R96" s="179"/>
      <c r="S96" s="131" t="s">
        <v>722</v>
      </c>
      <c r="T96" s="131"/>
      <c r="U96" s="131">
        <v>100</v>
      </c>
      <c r="V96" s="131"/>
      <c r="W96" s="131" t="s">
        <v>513</v>
      </c>
      <c r="X96" s="131"/>
    </row>
    <row r="97" spans="1:24" s="161" customFormat="1" ht="91.5">
      <c r="A97" s="133">
        <v>98</v>
      </c>
      <c r="B97" s="139" t="s">
        <v>227</v>
      </c>
      <c r="C97" s="139" t="s">
        <v>723</v>
      </c>
      <c r="D97" s="133" t="s">
        <v>724</v>
      </c>
      <c r="E97" s="145" t="s">
        <v>725</v>
      </c>
      <c r="F97" s="154">
        <v>9849849000</v>
      </c>
      <c r="G97" s="154" t="s">
        <v>726</v>
      </c>
      <c r="H97" s="139" t="s">
        <v>727</v>
      </c>
      <c r="I97" s="133" t="s">
        <v>10</v>
      </c>
      <c r="J97" s="133" t="s">
        <v>445</v>
      </c>
      <c r="K97" s="133"/>
      <c r="L97" s="180"/>
      <c r="M97" s="146">
        <v>45743</v>
      </c>
      <c r="N97" s="146">
        <v>46079</v>
      </c>
      <c r="O97" s="139">
        <v>11</v>
      </c>
      <c r="P97" s="139"/>
      <c r="Q97" s="133" t="s">
        <v>195</v>
      </c>
      <c r="R97" s="139"/>
      <c r="S97" s="133" t="s">
        <v>728</v>
      </c>
      <c r="T97" s="133"/>
      <c r="U97" s="133">
        <v>100</v>
      </c>
      <c r="V97" s="133"/>
      <c r="W97" s="133"/>
      <c r="X97" s="133"/>
    </row>
    <row r="98" spans="1:24" s="161" customFormat="1" ht="76.5">
      <c r="A98" s="139">
        <v>99</v>
      </c>
      <c r="B98" s="139" t="s">
        <v>227</v>
      </c>
      <c r="C98" s="139" t="s">
        <v>729</v>
      </c>
      <c r="D98" s="133" t="s">
        <v>730</v>
      </c>
      <c r="E98" s="145" t="s">
        <v>731</v>
      </c>
      <c r="F98" s="154">
        <v>8077740839</v>
      </c>
      <c r="G98" s="154" t="s">
        <v>732</v>
      </c>
      <c r="H98" s="139" t="s">
        <v>241</v>
      </c>
      <c r="I98" s="133" t="s">
        <v>10</v>
      </c>
      <c r="J98" s="133" t="s">
        <v>445</v>
      </c>
      <c r="K98" s="133"/>
      <c r="L98" s="180"/>
      <c r="M98" s="146">
        <v>45744</v>
      </c>
      <c r="N98" s="146">
        <v>46080</v>
      </c>
      <c r="O98" s="139">
        <v>11</v>
      </c>
      <c r="P98" s="139"/>
      <c r="Q98" s="133" t="s">
        <v>176</v>
      </c>
      <c r="R98" s="139"/>
      <c r="S98" s="133" t="s">
        <v>733</v>
      </c>
      <c r="T98" s="133"/>
      <c r="U98" s="133">
        <v>100</v>
      </c>
      <c r="V98" s="133" t="s">
        <v>734</v>
      </c>
      <c r="W98" s="133"/>
      <c r="X98" s="133"/>
    </row>
    <row r="99" spans="1:24" s="161" customFormat="1" ht="76.5">
      <c r="A99" s="139">
        <v>100</v>
      </c>
      <c r="B99" s="139" t="s">
        <v>227</v>
      </c>
      <c r="C99" s="139" t="s">
        <v>735</v>
      </c>
      <c r="D99" s="133" t="s">
        <v>736</v>
      </c>
      <c r="E99" s="145" t="s">
        <v>737</v>
      </c>
      <c r="F99" s="154">
        <v>8123265229</v>
      </c>
      <c r="G99" s="154" t="s">
        <v>738</v>
      </c>
      <c r="H99" s="139" t="s">
        <v>416</v>
      </c>
      <c r="I99" s="133" t="s">
        <v>10</v>
      </c>
      <c r="J99" s="133" t="s">
        <v>445</v>
      </c>
      <c r="K99" s="133"/>
      <c r="L99" s="180"/>
      <c r="M99" s="146">
        <v>45747</v>
      </c>
      <c r="N99" s="146" t="s">
        <v>739</v>
      </c>
      <c r="O99" s="139">
        <v>11</v>
      </c>
      <c r="P99" s="139"/>
      <c r="Q99" s="133" t="s">
        <v>176</v>
      </c>
      <c r="R99" s="139"/>
      <c r="S99" s="133" t="s">
        <v>740</v>
      </c>
      <c r="T99" s="133"/>
      <c r="U99" s="133"/>
      <c r="V99" s="133"/>
      <c r="W99" s="133"/>
      <c r="X99" s="133"/>
    </row>
    <row r="100" spans="1:24" s="161" customFormat="1" ht="91.5">
      <c r="A100" s="133">
        <v>101</v>
      </c>
      <c r="B100" s="139" t="s">
        <v>227</v>
      </c>
      <c r="C100" s="139" t="s">
        <v>741</v>
      </c>
      <c r="D100" s="133" t="s">
        <v>742</v>
      </c>
      <c r="E100" s="145" t="s">
        <v>743</v>
      </c>
      <c r="F100" s="154">
        <v>9446300200</v>
      </c>
      <c r="G100" s="154" t="s">
        <v>744</v>
      </c>
      <c r="H100" s="139" t="s">
        <v>202</v>
      </c>
      <c r="I100" s="133" t="s">
        <v>10</v>
      </c>
      <c r="J100" s="133" t="s">
        <v>445</v>
      </c>
      <c r="K100" s="133"/>
      <c r="L100" s="180"/>
      <c r="M100" s="146">
        <v>45748</v>
      </c>
      <c r="N100" s="146">
        <v>46112</v>
      </c>
      <c r="O100" s="139">
        <v>11</v>
      </c>
      <c r="P100" s="139"/>
      <c r="Q100" s="133" t="s">
        <v>195</v>
      </c>
      <c r="R100" s="139"/>
      <c r="S100" s="133" t="s">
        <v>745</v>
      </c>
      <c r="T100" s="133"/>
      <c r="U100" s="133"/>
      <c r="V100" s="133"/>
      <c r="W100" s="133"/>
      <c r="X100" s="133"/>
    </row>
    <row r="101" spans="1:24" s="219" customFormat="1" ht="137.25">
      <c r="A101" s="131">
        <v>102</v>
      </c>
      <c r="B101" s="179" t="s">
        <v>227</v>
      </c>
      <c r="C101" s="179" t="s">
        <v>746</v>
      </c>
      <c r="D101" s="131" t="s">
        <v>747</v>
      </c>
      <c r="E101" s="132" t="s">
        <v>748</v>
      </c>
      <c r="F101" s="263" t="s">
        <v>749</v>
      </c>
      <c r="G101" s="263" t="s">
        <v>750</v>
      </c>
      <c r="H101" s="179" t="s">
        <v>677</v>
      </c>
      <c r="I101" s="131" t="s">
        <v>10</v>
      </c>
      <c r="J101" s="131" t="s">
        <v>432</v>
      </c>
      <c r="K101" s="131"/>
      <c r="L101" s="277"/>
      <c r="M101" s="265">
        <v>45748</v>
      </c>
      <c r="N101" s="265">
        <v>46112</v>
      </c>
      <c r="O101" s="179">
        <v>11</v>
      </c>
      <c r="P101" s="179"/>
      <c r="Q101" s="131" t="s">
        <v>195</v>
      </c>
      <c r="R101" s="179"/>
      <c r="S101" s="131" t="s">
        <v>751</v>
      </c>
      <c r="T101" s="131"/>
      <c r="U101" s="131"/>
      <c r="V101" s="131"/>
      <c r="W101" s="131" t="s">
        <v>513</v>
      </c>
      <c r="X101" s="131"/>
    </row>
    <row r="102" spans="1:24" s="161" customFormat="1" ht="60.75">
      <c r="A102" s="139">
        <v>103</v>
      </c>
      <c r="B102" s="139" t="s">
        <v>211</v>
      </c>
      <c r="C102" s="139" t="s">
        <v>752</v>
      </c>
      <c r="D102" s="133" t="s">
        <v>753</v>
      </c>
      <c r="E102" s="145" t="s">
        <v>754</v>
      </c>
      <c r="F102" s="154" t="s">
        <v>755</v>
      </c>
      <c r="G102" s="154" t="s">
        <v>756</v>
      </c>
      <c r="H102" s="139" t="s">
        <v>416</v>
      </c>
      <c r="I102" s="133" t="s">
        <v>10</v>
      </c>
      <c r="J102" s="133" t="s">
        <v>445</v>
      </c>
      <c r="K102" s="133"/>
      <c r="L102" s="180"/>
      <c r="M102" s="146">
        <v>45749</v>
      </c>
      <c r="N102" s="146">
        <v>46113</v>
      </c>
      <c r="O102" s="139">
        <v>11</v>
      </c>
      <c r="P102" s="139"/>
      <c r="Q102" s="133" t="s">
        <v>176</v>
      </c>
      <c r="R102" s="139"/>
      <c r="S102" s="133" t="s">
        <v>757</v>
      </c>
      <c r="T102" s="133"/>
      <c r="U102" s="133"/>
      <c r="V102" s="133"/>
      <c r="W102" s="133"/>
      <c r="X102" s="133"/>
    </row>
    <row r="103" spans="1:24" s="161" customFormat="1" ht="91.5">
      <c r="A103" s="139">
        <v>104</v>
      </c>
      <c r="B103" s="139" t="s">
        <v>227</v>
      </c>
      <c r="C103" s="139" t="s">
        <v>758</v>
      </c>
      <c r="D103" s="133" t="s">
        <v>759</v>
      </c>
      <c r="E103" s="145" t="s">
        <v>760</v>
      </c>
      <c r="F103" s="154">
        <v>8800010584</v>
      </c>
      <c r="G103" s="154" t="s">
        <v>761</v>
      </c>
      <c r="H103" s="139" t="s">
        <v>241</v>
      </c>
      <c r="I103" s="133" t="s">
        <v>10</v>
      </c>
      <c r="J103" s="133" t="s">
        <v>445</v>
      </c>
      <c r="K103" s="133"/>
      <c r="L103" s="180"/>
      <c r="M103" s="146">
        <v>45749</v>
      </c>
      <c r="N103" s="146">
        <v>46113</v>
      </c>
      <c r="O103" s="139">
        <v>11</v>
      </c>
      <c r="P103" s="139"/>
      <c r="Q103" s="133" t="s">
        <v>195</v>
      </c>
      <c r="R103" s="139"/>
      <c r="S103" s="133" t="s">
        <v>762</v>
      </c>
      <c r="T103" s="133"/>
      <c r="U103" s="133"/>
      <c r="V103" s="133"/>
      <c r="W103" s="133"/>
      <c r="X103" s="133"/>
    </row>
    <row r="104" spans="1:24" s="161" customFormat="1" ht="76.5">
      <c r="A104" s="133">
        <v>105</v>
      </c>
      <c r="B104" s="139" t="s">
        <v>227</v>
      </c>
      <c r="C104" s="139" t="s">
        <v>763</v>
      </c>
      <c r="D104" s="133" t="s">
        <v>764</v>
      </c>
      <c r="E104" s="145" t="s">
        <v>765</v>
      </c>
      <c r="F104" s="154">
        <v>8010778073</v>
      </c>
      <c r="G104" s="154" t="s">
        <v>766</v>
      </c>
      <c r="H104" s="139" t="s">
        <v>416</v>
      </c>
      <c r="I104" s="133" t="s">
        <v>10</v>
      </c>
      <c r="J104" s="133" t="s">
        <v>445</v>
      </c>
      <c r="K104" s="133"/>
      <c r="L104" s="180"/>
      <c r="M104" s="146">
        <v>45749</v>
      </c>
      <c r="N104" s="146">
        <v>46113</v>
      </c>
      <c r="O104" s="139">
        <v>11</v>
      </c>
      <c r="P104" s="139"/>
      <c r="Q104" s="133" t="s">
        <v>176</v>
      </c>
      <c r="R104" s="139"/>
      <c r="S104" s="133" t="s">
        <v>767</v>
      </c>
      <c r="T104" s="133"/>
      <c r="U104" s="133"/>
      <c r="V104" s="133"/>
      <c r="W104" s="133"/>
      <c r="X104" s="133"/>
    </row>
    <row r="105" spans="1:24" s="161" customFormat="1" ht="60.75">
      <c r="A105" s="133">
        <v>106</v>
      </c>
      <c r="B105" s="139"/>
      <c r="C105" s="139" t="s">
        <v>768</v>
      </c>
      <c r="D105" s="133" t="s">
        <v>769</v>
      </c>
      <c r="E105" s="145" t="s">
        <v>770</v>
      </c>
      <c r="F105" s="154" t="s">
        <v>771</v>
      </c>
      <c r="G105" s="154" t="s">
        <v>772</v>
      </c>
      <c r="H105" s="139" t="s">
        <v>603</v>
      </c>
      <c r="I105" s="133" t="s">
        <v>10</v>
      </c>
      <c r="J105" s="133" t="s">
        <v>417</v>
      </c>
      <c r="K105" s="133"/>
      <c r="L105" s="180"/>
      <c r="M105" s="146">
        <v>45750</v>
      </c>
      <c r="N105" s="146">
        <v>46083</v>
      </c>
      <c r="O105" s="139">
        <v>11</v>
      </c>
      <c r="P105" s="139"/>
      <c r="Q105" s="133" t="s">
        <v>195</v>
      </c>
      <c r="R105" s="139"/>
      <c r="S105" s="133" t="s">
        <v>773</v>
      </c>
      <c r="T105" s="133"/>
      <c r="U105" s="133"/>
      <c r="V105" s="133"/>
      <c r="W105" s="133"/>
      <c r="X105" s="133"/>
    </row>
    <row r="106" spans="1:24" s="219" customFormat="1" ht="91.5">
      <c r="A106" s="179">
        <v>107</v>
      </c>
      <c r="B106" s="179"/>
      <c r="C106" s="131" t="s">
        <v>774</v>
      </c>
      <c r="D106" s="131" t="s">
        <v>775</v>
      </c>
      <c r="E106" s="132" t="s">
        <v>776</v>
      </c>
      <c r="F106" s="263">
        <v>9879520886</v>
      </c>
      <c r="G106" s="263" t="s">
        <v>777</v>
      </c>
      <c r="H106" s="179" t="s">
        <v>365</v>
      </c>
      <c r="I106" s="131" t="s">
        <v>10</v>
      </c>
      <c r="J106" s="131" t="s">
        <v>445</v>
      </c>
      <c r="K106" s="131"/>
      <c r="L106" s="277"/>
      <c r="M106" s="265">
        <v>45752</v>
      </c>
      <c r="N106" s="265">
        <v>46085</v>
      </c>
      <c r="O106" s="179">
        <v>11</v>
      </c>
      <c r="P106" s="179"/>
      <c r="Q106" s="131" t="s">
        <v>195</v>
      </c>
      <c r="R106" s="179"/>
      <c r="S106" s="131" t="s">
        <v>778</v>
      </c>
      <c r="T106" s="131"/>
      <c r="U106" s="131"/>
      <c r="V106" s="131"/>
      <c r="W106" s="131" t="s">
        <v>513</v>
      </c>
      <c r="X106" s="131"/>
    </row>
    <row r="107" spans="1:24" s="161" customFormat="1" ht="91.5">
      <c r="A107" s="139">
        <v>108</v>
      </c>
      <c r="B107" s="139"/>
      <c r="C107" s="139" t="s">
        <v>779</v>
      </c>
      <c r="D107" s="133" t="s">
        <v>780</v>
      </c>
      <c r="E107" s="145" t="s">
        <v>781</v>
      </c>
      <c r="F107" s="154"/>
      <c r="G107" s="154" t="s">
        <v>782</v>
      </c>
      <c r="H107" s="139" t="s">
        <v>492</v>
      </c>
      <c r="I107" s="133" t="s">
        <v>10</v>
      </c>
      <c r="J107" s="133" t="s">
        <v>445</v>
      </c>
      <c r="K107" s="133"/>
      <c r="L107" s="180"/>
      <c r="M107" s="146">
        <v>45752</v>
      </c>
      <c r="N107" s="146">
        <v>46085</v>
      </c>
      <c r="O107" s="139">
        <v>11</v>
      </c>
      <c r="P107" s="139"/>
      <c r="Q107" s="133" t="s">
        <v>195</v>
      </c>
      <c r="R107" s="139"/>
      <c r="S107" s="133" t="s">
        <v>783</v>
      </c>
      <c r="T107" s="133"/>
      <c r="U107" s="133"/>
      <c r="V107" s="133"/>
      <c r="W107" s="133"/>
      <c r="X107" s="133"/>
    </row>
    <row r="108" spans="1:24" s="161" customFormat="1" ht="121.5">
      <c r="A108" s="133">
        <v>109</v>
      </c>
      <c r="B108" s="139"/>
      <c r="C108" s="139" t="s">
        <v>784</v>
      </c>
      <c r="D108" s="133" t="s">
        <v>785</v>
      </c>
      <c r="E108" s="145" t="s">
        <v>786</v>
      </c>
      <c r="F108" s="154">
        <v>9663420672</v>
      </c>
      <c r="G108" s="154" t="s">
        <v>787</v>
      </c>
      <c r="H108" s="139" t="s">
        <v>416</v>
      </c>
      <c r="I108" s="133" t="s">
        <v>10</v>
      </c>
      <c r="J108" s="133" t="s">
        <v>445</v>
      </c>
      <c r="K108" s="133"/>
      <c r="L108" s="180"/>
      <c r="M108" s="146">
        <v>45755</v>
      </c>
      <c r="N108" s="146">
        <v>46088</v>
      </c>
      <c r="O108" s="139">
        <v>11</v>
      </c>
      <c r="P108" s="139"/>
      <c r="Q108" s="133" t="s">
        <v>176</v>
      </c>
      <c r="R108" s="139"/>
      <c r="S108" s="133" t="s">
        <v>788</v>
      </c>
      <c r="T108" s="133"/>
      <c r="U108" s="133"/>
      <c r="V108" s="133"/>
      <c r="W108" s="133"/>
      <c r="X108" s="133"/>
    </row>
    <row r="109" spans="1:24" s="161" customFormat="1" ht="91.5">
      <c r="A109" s="133">
        <v>110</v>
      </c>
      <c r="B109" s="139"/>
      <c r="C109" s="139" t="s">
        <v>789</v>
      </c>
      <c r="D109" s="133" t="s">
        <v>790</v>
      </c>
      <c r="E109" s="145" t="s">
        <v>791</v>
      </c>
      <c r="F109" s="154" t="s">
        <v>792</v>
      </c>
      <c r="G109" s="154" t="s">
        <v>793</v>
      </c>
      <c r="H109" s="139" t="s">
        <v>416</v>
      </c>
      <c r="I109" s="133" t="s">
        <v>10</v>
      </c>
      <c r="J109" s="133" t="s">
        <v>794</v>
      </c>
      <c r="K109" s="133"/>
      <c r="L109" s="180"/>
      <c r="M109" s="146">
        <v>45755</v>
      </c>
      <c r="N109" s="146">
        <v>46088</v>
      </c>
      <c r="O109" s="139">
        <v>11</v>
      </c>
      <c r="P109" s="139"/>
      <c r="Q109" s="133" t="s">
        <v>195</v>
      </c>
      <c r="R109" s="139"/>
      <c r="S109" s="133" t="s">
        <v>795</v>
      </c>
      <c r="T109" s="133"/>
      <c r="U109" s="133"/>
      <c r="V109" s="133"/>
      <c r="W109" s="133"/>
      <c r="X109" s="133"/>
    </row>
    <row r="110" spans="1:24" s="219" customFormat="1" ht="91.5">
      <c r="A110" s="179">
        <v>111</v>
      </c>
      <c r="B110" s="179"/>
      <c r="C110" s="179" t="s">
        <v>796</v>
      </c>
      <c r="D110" s="131" t="s">
        <v>797</v>
      </c>
      <c r="E110" s="132" t="s">
        <v>798</v>
      </c>
      <c r="F110" s="263">
        <v>8051336531</v>
      </c>
      <c r="G110" s="263" t="s">
        <v>799</v>
      </c>
      <c r="H110" s="179" t="s">
        <v>194</v>
      </c>
      <c r="I110" s="131" t="s">
        <v>10</v>
      </c>
      <c r="J110" s="131" t="s">
        <v>445</v>
      </c>
      <c r="K110" s="131"/>
      <c r="L110" s="277"/>
      <c r="M110" s="265">
        <v>45755</v>
      </c>
      <c r="N110" s="265">
        <v>46088</v>
      </c>
      <c r="O110" s="179">
        <v>11</v>
      </c>
      <c r="P110" s="179"/>
      <c r="Q110" s="131" t="s">
        <v>195</v>
      </c>
      <c r="R110" s="179"/>
      <c r="S110" s="131" t="s">
        <v>800</v>
      </c>
      <c r="T110" s="131"/>
      <c r="U110" s="131"/>
      <c r="V110" s="131"/>
      <c r="W110" s="131" t="s">
        <v>513</v>
      </c>
      <c r="X110" s="131"/>
    </row>
    <row r="111" spans="1:24" s="219" customFormat="1" ht="76.5">
      <c r="A111" s="179">
        <v>112</v>
      </c>
      <c r="B111" s="179"/>
      <c r="C111" s="179" t="s">
        <v>801</v>
      </c>
      <c r="D111" s="131" t="s">
        <v>802</v>
      </c>
      <c r="E111" s="132" t="s">
        <v>803</v>
      </c>
      <c r="F111" s="263">
        <v>9716780048</v>
      </c>
      <c r="G111" s="263" t="s">
        <v>804</v>
      </c>
      <c r="H111" s="179" t="s">
        <v>241</v>
      </c>
      <c r="I111" s="131" t="s">
        <v>10</v>
      </c>
      <c r="J111" s="131" t="s">
        <v>445</v>
      </c>
      <c r="K111" s="131"/>
      <c r="L111" s="277"/>
      <c r="M111" s="265">
        <v>45755</v>
      </c>
      <c r="N111" s="265">
        <v>46088</v>
      </c>
      <c r="O111" s="179">
        <v>11</v>
      </c>
      <c r="P111" s="179"/>
      <c r="Q111" s="131" t="s">
        <v>195</v>
      </c>
      <c r="R111" s="179"/>
      <c r="S111" s="131" t="s">
        <v>805</v>
      </c>
      <c r="T111" s="131"/>
      <c r="U111" s="131"/>
      <c r="V111" s="131"/>
      <c r="W111" s="131" t="s">
        <v>513</v>
      </c>
      <c r="X111" s="131"/>
    </row>
    <row r="112" spans="1:24" s="219" customFormat="1" ht="91.5">
      <c r="A112" s="131">
        <v>113</v>
      </c>
      <c r="B112" s="179"/>
      <c r="C112" s="131" t="s">
        <v>806</v>
      </c>
      <c r="D112" s="131" t="s">
        <v>807</v>
      </c>
      <c r="E112" s="132" t="s">
        <v>808</v>
      </c>
      <c r="F112" s="263">
        <v>9360710699</v>
      </c>
      <c r="G112" s="263" t="s">
        <v>809</v>
      </c>
      <c r="H112" s="179" t="s">
        <v>395</v>
      </c>
      <c r="I112" s="131" t="s">
        <v>10</v>
      </c>
      <c r="J112" s="131" t="s">
        <v>445</v>
      </c>
      <c r="K112" s="131"/>
      <c r="L112" s="277"/>
      <c r="M112" s="265">
        <v>45758</v>
      </c>
      <c r="N112" s="265">
        <v>46091</v>
      </c>
      <c r="O112" s="179">
        <v>11</v>
      </c>
      <c r="P112" s="179"/>
      <c r="Q112" s="131" t="s">
        <v>176</v>
      </c>
      <c r="R112" s="179"/>
      <c r="S112" s="131" t="s">
        <v>810</v>
      </c>
      <c r="T112" s="131"/>
      <c r="U112" s="131"/>
      <c r="V112" s="131"/>
      <c r="W112" s="131" t="s">
        <v>513</v>
      </c>
      <c r="X112" s="131"/>
    </row>
    <row r="113" spans="1:24" s="219" customFormat="1" ht="76.5">
      <c r="A113" s="131">
        <v>114</v>
      </c>
      <c r="B113" s="179"/>
      <c r="C113" s="179"/>
      <c r="D113" s="131" t="s">
        <v>811</v>
      </c>
      <c r="E113" s="132" t="s">
        <v>812</v>
      </c>
      <c r="F113" s="263">
        <v>9066224456</v>
      </c>
      <c r="G113" s="263" t="s">
        <v>813</v>
      </c>
      <c r="H113" s="179" t="s">
        <v>416</v>
      </c>
      <c r="I113" s="131" t="s">
        <v>10</v>
      </c>
      <c r="J113" s="131" t="s">
        <v>716</v>
      </c>
      <c r="K113" s="131"/>
      <c r="L113" s="277"/>
      <c r="M113" s="265">
        <v>45758</v>
      </c>
      <c r="N113" s="265">
        <v>46091</v>
      </c>
      <c r="O113" s="179">
        <v>11</v>
      </c>
      <c r="P113" s="179"/>
      <c r="Q113" s="131" t="s">
        <v>176</v>
      </c>
      <c r="R113" s="179"/>
      <c r="S113" s="131" t="s">
        <v>814</v>
      </c>
      <c r="T113" s="131"/>
      <c r="U113" s="131"/>
      <c r="V113" s="131"/>
      <c r="W113" s="131" t="s">
        <v>513</v>
      </c>
      <c r="X113" s="131"/>
    </row>
    <row r="114" spans="1:24" s="161" customFormat="1" ht="60.75">
      <c r="A114" s="139">
        <v>115</v>
      </c>
      <c r="B114" s="139"/>
      <c r="C114" s="139" t="s">
        <v>815</v>
      </c>
      <c r="D114" s="133" t="s">
        <v>816</v>
      </c>
      <c r="E114" s="145" t="s">
        <v>817</v>
      </c>
      <c r="F114" s="154">
        <v>9611896629</v>
      </c>
      <c r="G114" s="154" t="s">
        <v>818</v>
      </c>
      <c r="H114" s="139" t="s">
        <v>416</v>
      </c>
      <c r="I114" s="133" t="s">
        <v>10</v>
      </c>
      <c r="J114" s="133" t="s">
        <v>417</v>
      </c>
      <c r="K114" s="133"/>
      <c r="L114" s="180"/>
      <c r="M114" s="146">
        <v>45758</v>
      </c>
      <c r="N114" s="146">
        <v>46091</v>
      </c>
      <c r="O114" s="139">
        <v>11</v>
      </c>
      <c r="P114" s="139"/>
      <c r="Q114" s="133" t="s">
        <v>176</v>
      </c>
      <c r="R114" s="139"/>
      <c r="S114" s="133" t="s">
        <v>819</v>
      </c>
      <c r="T114" s="133"/>
      <c r="U114" s="133"/>
      <c r="V114" s="133"/>
      <c r="W114" s="133"/>
      <c r="X114" s="133"/>
    </row>
    <row r="115" spans="1:24" s="219" customFormat="1" ht="45.75">
      <c r="A115" s="179">
        <v>116</v>
      </c>
      <c r="B115" s="179"/>
      <c r="C115" s="179" t="s">
        <v>820</v>
      </c>
      <c r="D115" s="131" t="s">
        <v>821</v>
      </c>
      <c r="E115" s="132" t="s">
        <v>822</v>
      </c>
      <c r="F115" s="263">
        <v>8920919763</v>
      </c>
      <c r="G115" s="263" t="s">
        <v>823</v>
      </c>
      <c r="H115" s="179" t="s">
        <v>194</v>
      </c>
      <c r="I115" s="131" t="s">
        <v>10</v>
      </c>
      <c r="J115" s="131" t="s">
        <v>417</v>
      </c>
      <c r="K115" s="131"/>
      <c r="L115" s="277"/>
      <c r="M115" s="265">
        <v>45759</v>
      </c>
      <c r="N115" s="265">
        <v>46092</v>
      </c>
      <c r="O115" s="179">
        <v>11</v>
      </c>
      <c r="P115" s="179"/>
      <c r="Q115" s="131" t="s">
        <v>195</v>
      </c>
      <c r="R115" s="179"/>
      <c r="S115" s="131" t="s">
        <v>824</v>
      </c>
      <c r="T115" s="131"/>
      <c r="U115" s="131"/>
      <c r="V115" s="131"/>
      <c r="W115" s="131" t="s">
        <v>513</v>
      </c>
      <c r="X115" s="131" t="s">
        <v>513</v>
      </c>
    </row>
    <row r="116" spans="1:24" s="219" customFormat="1" ht="91.5">
      <c r="A116" s="131">
        <v>117</v>
      </c>
      <c r="B116" s="179"/>
      <c r="C116" s="179" t="s">
        <v>825</v>
      </c>
      <c r="D116" s="131" t="s">
        <v>826</v>
      </c>
      <c r="E116" s="132" t="s">
        <v>827</v>
      </c>
      <c r="F116" s="263">
        <v>9844551425</v>
      </c>
      <c r="G116" s="263" t="s">
        <v>828</v>
      </c>
      <c r="H116" s="179" t="s">
        <v>416</v>
      </c>
      <c r="I116" s="131" t="s">
        <v>10</v>
      </c>
      <c r="J116" s="131" t="s">
        <v>445</v>
      </c>
      <c r="K116" s="131"/>
      <c r="L116" s="277"/>
      <c r="M116" s="265">
        <v>45759</v>
      </c>
      <c r="N116" s="265">
        <v>46092</v>
      </c>
      <c r="O116" s="179">
        <v>11</v>
      </c>
      <c r="P116" s="179"/>
      <c r="Q116" s="131" t="s">
        <v>195</v>
      </c>
      <c r="R116" s="179"/>
      <c r="S116" s="131" t="s">
        <v>829</v>
      </c>
      <c r="T116" s="131"/>
      <c r="U116" s="131"/>
      <c r="V116" s="131"/>
      <c r="W116" s="131" t="s">
        <v>513</v>
      </c>
      <c r="X116" s="131" t="s">
        <v>513</v>
      </c>
    </row>
    <row r="117" spans="1:24" s="219" customFormat="1" ht="91.5">
      <c r="A117" s="131">
        <v>118</v>
      </c>
      <c r="B117" s="179"/>
      <c r="C117" s="179" t="s">
        <v>830</v>
      </c>
      <c r="D117" s="131" t="s">
        <v>831</v>
      </c>
      <c r="E117" s="132" t="s">
        <v>832</v>
      </c>
      <c r="F117" s="263">
        <v>9930108826</v>
      </c>
      <c r="G117" s="263" t="s">
        <v>833</v>
      </c>
      <c r="H117" s="179" t="s">
        <v>529</v>
      </c>
      <c r="I117" s="131" t="s">
        <v>10</v>
      </c>
      <c r="J117" s="131" t="s">
        <v>445</v>
      </c>
      <c r="K117" s="131"/>
      <c r="L117" s="277"/>
      <c r="M117" s="265">
        <v>45759</v>
      </c>
      <c r="N117" s="265">
        <v>46092</v>
      </c>
      <c r="O117" s="179">
        <v>11</v>
      </c>
      <c r="P117" s="179"/>
      <c r="Q117" s="131" t="s">
        <v>195</v>
      </c>
      <c r="R117" s="179"/>
      <c r="S117" s="131" t="s">
        <v>834</v>
      </c>
      <c r="T117" s="131"/>
      <c r="U117" s="131"/>
      <c r="V117" s="131" t="s">
        <v>243</v>
      </c>
      <c r="W117" s="131" t="s">
        <v>243</v>
      </c>
      <c r="X117" s="131" t="s">
        <v>243</v>
      </c>
    </row>
    <row r="118" spans="1:24" s="219" customFormat="1" ht="76.5">
      <c r="A118" s="179">
        <v>119</v>
      </c>
      <c r="B118" s="179"/>
      <c r="C118" s="179" t="s">
        <v>835</v>
      </c>
      <c r="D118" s="131" t="s">
        <v>836</v>
      </c>
      <c r="E118" s="132" t="s">
        <v>837</v>
      </c>
      <c r="F118" s="263">
        <v>9810772925</v>
      </c>
      <c r="G118" s="263" t="s">
        <v>838</v>
      </c>
      <c r="H118" s="179" t="s">
        <v>529</v>
      </c>
      <c r="I118" s="131" t="s">
        <v>10</v>
      </c>
      <c r="J118" s="131" t="s">
        <v>417</v>
      </c>
      <c r="K118" s="131"/>
      <c r="L118" s="277"/>
      <c r="M118" s="265">
        <v>45759</v>
      </c>
      <c r="N118" s="265">
        <v>46092</v>
      </c>
      <c r="O118" s="179">
        <v>11</v>
      </c>
      <c r="P118" s="179"/>
      <c r="Q118" s="131" t="s">
        <v>195</v>
      </c>
      <c r="R118" s="179"/>
      <c r="S118" s="131" t="s">
        <v>839</v>
      </c>
      <c r="T118" s="131"/>
      <c r="U118" s="131"/>
      <c r="V118" s="131" t="s">
        <v>513</v>
      </c>
      <c r="W118" s="131" t="s">
        <v>513</v>
      </c>
      <c r="X118" s="131"/>
    </row>
    <row r="119" spans="1:24" s="161" customFormat="1" ht="91.5">
      <c r="A119" s="139">
        <v>120</v>
      </c>
      <c r="B119" s="139"/>
      <c r="C119" s="139" t="s">
        <v>840</v>
      </c>
      <c r="D119" s="133" t="s">
        <v>841</v>
      </c>
      <c r="E119" s="145" t="s">
        <v>842</v>
      </c>
      <c r="F119" s="154">
        <v>9168980555</v>
      </c>
      <c r="G119" s="154" t="s">
        <v>843</v>
      </c>
      <c r="H119" s="139" t="s">
        <v>844</v>
      </c>
      <c r="I119" s="133" t="s">
        <v>10</v>
      </c>
      <c r="J119" s="133" t="s">
        <v>716</v>
      </c>
      <c r="K119" s="133"/>
      <c r="L119" s="180"/>
      <c r="M119" s="146">
        <v>45759</v>
      </c>
      <c r="N119" s="146">
        <v>46092</v>
      </c>
      <c r="O119" s="139">
        <v>11</v>
      </c>
      <c r="P119" s="139"/>
      <c r="Q119" s="133" t="s">
        <v>195</v>
      </c>
      <c r="R119" s="139"/>
      <c r="S119" s="133" t="s">
        <v>845</v>
      </c>
      <c r="T119" s="133"/>
      <c r="U119" s="133"/>
      <c r="V119" s="133"/>
      <c r="W119" s="133"/>
      <c r="X119" s="133"/>
    </row>
    <row r="120" spans="1:24" s="161" customFormat="1" ht="76.5">
      <c r="A120" s="133">
        <v>121</v>
      </c>
      <c r="B120" s="139"/>
      <c r="C120" s="139" t="s">
        <v>846</v>
      </c>
      <c r="D120" s="133" t="s">
        <v>847</v>
      </c>
      <c r="E120" s="145" t="s">
        <v>848</v>
      </c>
      <c r="F120" s="154">
        <v>9080648908</v>
      </c>
      <c r="G120" s="154" t="s">
        <v>849</v>
      </c>
      <c r="H120" s="139" t="s">
        <v>348</v>
      </c>
      <c r="I120" s="133" t="s">
        <v>10</v>
      </c>
      <c r="J120" s="133" t="s">
        <v>417</v>
      </c>
      <c r="K120" s="133"/>
      <c r="L120" s="180"/>
      <c r="M120" s="146">
        <v>45761</v>
      </c>
      <c r="N120" s="146">
        <v>46094</v>
      </c>
      <c r="O120" s="139">
        <v>11</v>
      </c>
      <c r="P120" s="139"/>
      <c r="Q120" s="133" t="s">
        <v>176</v>
      </c>
      <c r="R120" s="139"/>
      <c r="S120" s="133" t="s">
        <v>850</v>
      </c>
      <c r="T120" s="133"/>
      <c r="U120" s="133"/>
      <c r="V120" s="133"/>
      <c r="W120" s="133"/>
      <c r="X120" s="133"/>
    </row>
    <row r="121" spans="1:24" s="219" customFormat="1" ht="76.5">
      <c r="A121" s="131">
        <v>122</v>
      </c>
      <c r="B121" s="179"/>
      <c r="C121" s="179" t="s">
        <v>851</v>
      </c>
      <c r="D121" s="131" t="s">
        <v>852</v>
      </c>
      <c r="E121" s="132" t="s">
        <v>853</v>
      </c>
      <c r="F121" s="263">
        <v>9873408330</v>
      </c>
      <c r="G121" s="263" t="s">
        <v>854</v>
      </c>
      <c r="H121" s="179" t="s">
        <v>194</v>
      </c>
      <c r="I121" s="131" t="s">
        <v>10</v>
      </c>
      <c r="J121" s="131"/>
      <c r="K121" s="131"/>
      <c r="L121" s="277"/>
      <c r="M121" s="265">
        <v>45761</v>
      </c>
      <c r="N121" s="265">
        <v>46094</v>
      </c>
      <c r="O121" s="179">
        <v>11</v>
      </c>
      <c r="P121" s="179"/>
      <c r="Q121" s="131" t="s">
        <v>195</v>
      </c>
      <c r="R121" s="179"/>
      <c r="S121" s="131" t="s">
        <v>855</v>
      </c>
      <c r="T121" s="131"/>
      <c r="U121" s="131"/>
      <c r="V121" s="131"/>
      <c r="W121" s="131" t="s">
        <v>513</v>
      </c>
      <c r="X121" s="131"/>
    </row>
    <row r="122" spans="1:24" s="161" customFormat="1" ht="91.5">
      <c r="A122" s="139">
        <v>123</v>
      </c>
      <c r="B122" s="139"/>
      <c r="C122" s="139" t="s">
        <v>856</v>
      </c>
      <c r="D122" s="133" t="s">
        <v>857</v>
      </c>
      <c r="E122" s="145" t="s">
        <v>858</v>
      </c>
      <c r="F122" s="154">
        <v>9840599263</v>
      </c>
      <c r="G122" s="154" t="s">
        <v>859</v>
      </c>
      <c r="H122" s="139" t="s">
        <v>690</v>
      </c>
      <c r="I122" s="133" t="s">
        <v>10</v>
      </c>
      <c r="J122" s="133" t="s">
        <v>417</v>
      </c>
      <c r="K122" s="133"/>
      <c r="L122" s="180"/>
      <c r="M122" s="146">
        <v>45761</v>
      </c>
      <c r="N122" s="146">
        <v>46094</v>
      </c>
      <c r="O122" s="139">
        <v>11</v>
      </c>
      <c r="P122" s="139"/>
      <c r="Q122" s="133" t="s">
        <v>176</v>
      </c>
      <c r="R122" s="139"/>
      <c r="S122" s="133" t="s">
        <v>860</v>
      </c>
      <c r="T122" s="133"/>
      <c r="U122" s="133"/>
      <c r="V122" s="133"/>
      <c r="W122" s="133"/>
      <c r="X122" s="133"/>
    </row>
    <row r="123" spans="1:24" s="219" customFormat="1" ht="91.5">
      <c r="A123" s="179">
        <v>124</v>
      </c>
      <c r="B123" s="179"/>
      <c r="C123" s="179" t="s">
        <v>861</v>
      </c>
      <c r="D123" s="131" t="s">
        <v>862</v>
      </c>
      <c r="E123" s="132" t="s">
        <v>863</v>
      </c>
      <c r="F123" s="263" t="s">
        <v>864</v>
      </c>
      <c r="G123" s="263" t="s">
        <v>865</v>
      </c>
      <c r="H123" s="179" t="s">
        <v>194</v>
      </c>
      <c r="I123" s="131" t="s">
        <v>10</v>
      </c>
      <c r="J123" s="131" t="s">
        <v>549</v>
      </c>
      <c r="K123" s="131"/>
      <c r="L123" s="277"/>
      <c r="M123" s="265">
        <v>45762</v>
      </c>
      <c r="N123" s="265">
        <v>46095</v>
      </c>
      <c r="O123" s="179">
        <v>11</v>
      </c>
      <c r="P123" s="179"/>
      <c r="Q123" s="131" t="s">
        <v>195</v>
      </c>
      <c r="R123" s="179"/>
      <c r="S123" s="131" t="s">
        <v>866</v>
      </c>
      <c r="T123" s="131"/>
      <c r="U123" s="131"/>
      <c r="V123" s="131"/>
      <c r="W123" s="131" t="s">
        <v>513</v>
      </c>
      <c r="X123" s="131"/>
    </row>
    <row r="124" spans="1:24" s="161" customFormat="1" ht="91.5">
      <c r="A124" s="133">
        <v>125</v>
      </c>
      <c r="B124" s="139"/>
      <c r="C124" s="139" t="s">
        <v>867</v>
      </c>
      <c r="D124" s="133" t="s">
        <v>868</v>
      </c>
      <c r="E124" s="145" t="s">
        <v>869</v>
      </c>
      <c r="F124" s="154">
        <v>9845271737</v>
      </c>
      <c r="G124" s="154" t="s">
        <v>870</v>
      </c>
      <c r="H124" s="139" t="s">
        <v>416</v>
      </c>
      <c r="I124" s="133"/>
      <c r="J124" s="133" t="s">
        <v>716</v>
      </c>
      <c r="K124" s="133"/>
      <c r="L124" s="180"/>
      <c r="M124" s="146">
        <v>45762</v>
      </c>
      <c r="N124" s="146">
        <v>46095</v>
      </c>
      <c r="O124" s="139">
        <v>11</v>
      </c>
      <c r="P124" s="139"/>
      <c r="Q124" s="133" t="s">
        <v>195</v>
      </c>
      <c r="R124" s="139"/>
      <c r="S124" s="133" t="s">
        <v>871</v>
      </c>
      <c r="T124" s="133"/>
      <c r="U124" s="133"/>
      <c r="V124" s="133"/>
      <c r="W124" s="133"/>
      <c r="X124" s="133"/>
    </row>
    <row r="125" spans="1:24" s="219" customFormat="1" ht="91.5">
      <c r="A125" s="131">
        <v>126</v>
      </c>
      <c r="B125" s="179"/>
      <c r="C125" s="179" t="s">
        <v>872</v>
      </c>
      <c r="D125" s="131" t="s">
        <v>873</v>
      </c>
      <c r="E125" s="132" t="s">
        <v>874</v>
      </c>
      <c r="F125" s="263">
        <v>9990906723</v>
      </c>
      <c r="G125" s="263" t="s">
        <v>875</v>
      </c>
      <c r="H125" s="179" t="s">
        <v>261</v>
      </c>
      <c r="I125" s="131"/>
      <c r="J125" s="131" t="s">
        <v>445</v>
      </c>
      <c r="K125" s="131"/>
      <c r="L125" s="277"/>
      <c r="M125" s="265">
        <v>45763</v>
      </c>
      <c r="N125" s="265">
        <v>46096</v>
      </c>
      <c r="O125" s="179">
        <v>11</v>
      </c>
      <c r="P125" s="179"/>
      <c r="Q125" s="131" t="s">
        <v>195</v>
      </c>
      <c r="R125" s="179"/>
      <c r="S125" s="131" t="s">
        <v>876</v>
      </c>
      <c r="T125" s="131"/>
      <c r="U125" s="131"/>
      <c r="V125" s="131"/>
      <c r="W125" s="131" t="s">
        <v>513</v>
      </c>
      <c r="X125" s="131"/>
    </row>
    <row r="126" spans="1:24" s="219" customFormat="1" ht="106.5">
      <c r="A126" s="179">
        <v>127</v>
      </c>
      <c r="B126" s="179"/>
      <c r="C126" s="179" t="s">
        <v>877</v>
      </c>
      <c r="D126" s="131" t="s">
        <v>878</v>
      </c>
      <c r="E126" s="132" t="s">
        <v>879</v>
      </c>
      <c r="F126" s="263" t="s">
        <v>880</v>
      </c>
      <c r="G126" s="263" t="s">
        <v>881</v>
      </c>
      <c r="H126" s="179" t="s">
        <v>354</v>
      </c>
      <c r="I126" s="131"/>
      <c r="J126" s="131" t="s">
        <v>445</v>
      </c>
      <c r="K126" s="131"/>
      <c r="L126" s="277"/>
      <c r="M126" s="265">
        <v>45763</v>
      </c>
      <c r="N126" s="265">
        <v>46096</v>
      </c>
      <c r="O126" s="179">
        <v>11</v>
      </c>
      <c r="P126" s="179"/>
      <c r="Q126" s="131" t="s">
        <v>195</v>
      </c>
      <c r="R126" s="179"/>
      <c r="S126" s="131" t="s">
        <v>882</v>
      </c>
      <c r="T126" s="131"/>
      <c r="U126" s="131"/>
      <c r="V126" s="131"/>
      <c r="W126" s="131" t="s">
        <v>513</v>
      </c>
      <c r="X126" s="131"/>
    </row>
    <row r="127" spans="1:24" s="161" customFormat="1" ht="152.25">
      <c r="A127" s="139">
        <v>128</v>
      </c>
      <c r="B127" s="139"/>
      <c r="C127" s="133" t="s">
        <v>883</v>
      </c>
      <c r="D127" s="133" t="s">
        <v>884</v>
      </c>
      <c r="E127" s="145" t="s">
        <v>885</v>
      </c>
      <c r="F127" s="154" t="s">
        <v>886</v>
      </c>
      <c r="G127" s="154" t="s">
        <v>887</v>
      </c>
      <c r="H127" s="139" t="s">
        <v>348</v>
      </c>
      <c r="I127" s="133"/>
      <c r="J127" s="133" t="s">
        <v>445</v>
      </c>
      <c r="K127" s="133"/>
      <c r="L127" s="180"/>
      <c r="M127" s="146">
        <v>45764</v>
      </c>
      <c r="N127" s="146">
        <v>46097</v>
      </c>
      <c r="O127" s="139">
        <v>11</v>
      </c>
      <c r="P127" s="139"/>
      <c r="Q127" s="133" t="s">
        <v>195</v>
      </c>
      <c r="R127" s="139"/>
      <c r="S127" s="133" t="s">
        <v>888</v>
      </c>
      <c r="T127" s="133"/>
      <c r="U127" s="133"/>
      <c r="V127" s="133"/>
      <c r="W127" s="133"/>
      <c r="X127" s="133"/>
    </row>
    <row r="128" spans="1:24" s="161" customFormat="1" ht="60.75">
      <c r="A128" s="133">
        <v>129</v>
      </c>
      <c r="B128" s="139"/>
      <c r="C128" s="139" t="s">
        <v>889</v>
      </c>
      <c r="D128" s="167" t="s">
        <v>890</v>
      </c>
      <c r="E128" s="145" t="s">
        <v>891</v>
      </c>
      <c r="F128" s="154">
        <v>8827479999</v>
      </c>
      <c r="G128" s="154" t="s">
        <v>892</v>
      </c>
      <c r="H128" s="139" t="s">
        <v>603</v>
      </c>
      <c r="I128" s="133"/>
      <c r="J128" s="133" t="s">
        <v>417</v>
      </c>
      <c r="K128" s="133"/>
      <c r="L128" s="180"/>
      <c r="M128" s="146">
        <v>45764</v>
      </c>
      <c r="N128" s="146">
        <v>46097</v>
      </c>
      <c r="O128" s="139">
        <v>11</v>
      </c>
      <c r="P128" s="139"/>
      <c r="Q128" s="133" t="s">
        <v>195</v>
      </c>
      <c r="R128" s="139"/>
      <c r="S128" s="133" t="s">
        <v>893</v>
      </c>
      <c r="T128" s="133"/>
      <c r="U128" s="133"/>
      <c r="V128" s="133"/>
      <c r="W128" s="133"/>
      <c r="X128" s="133"/>
    </row>
    <row r="129" spans="1:24" s="161" customFormat="1" ht="121.5">
      <c r="A129" s="133">
        <v>130</v>
      </c>
      <c r="B129" s="139"/>
      <c r="C129" s="133" t="s">
        <v>894</v>
      </c>
      <c r="D129" s="133" t="s">
        <v>895</v>
      </c>
      <c r="E129" s="145" t="s">
        <v>896</v>
      </c>
      <c r="F129" s="154">
        <v>8074456940</v>
      </c>
      <c r="G129" s="154" t="s">
        <v>897</v>
      </c>
      <c r="H129" s="139" t="s">
        <v>416</v>
      </c>
      <c r="I129" s="133"/>
      <c r="J129" s="133" t="s">
        <v>445</v>
      </c>
      <c r="K129" s="133"/>
      <c r="L129" s="180"/>
      <c r="M129" s="146">
        <v>45764</v>
      </c>
      <c r="N129" s="146">
        <v>46097</v>
      </c>
      <c r="O129" s="139">
        <v>11</v>
      </c>
      <c r="P129" s="139"/>
      <c r="Q129" s="133" t="s">
        <v>176</v>
      </c>
      <c r="R129" s="139"/>
      <c r="S129" s="133" t="s">
        <v>898</v>
      </c>
      <c r="T129" s="133"/>
      <c r="U129" s="133"/>
      <c r="V129" s="133"/>
      <c r="W129" s="133"/>
      <c r="X129" s="133"/>
    </row>
    <row r="130" spans="1:24" s="161" customFormat="1" ht="76.5">
      <c r="A130" s="139">
        <v>131</v>
      </c>
      <c r="B130" s="139"/>
      <c r="C130" s="139" t="s">
        <v>899</v>
      </c>
      <c r="D130" s="133" t="s">
        <v>900</v>
      </c>
      <c r="E130" s="145" t="s">
        <v>901</v>
      </c>
      <c r="F130" s="154">
        <v>8008344330</v>
      </c>
      <c r="G130" s="154" t="s">
        <v>902</v>
      </c>
      <c r="H130" s="139" t="s">
        <v>416</v>
      </c>
      <c r="I130" s="133"/>
      <c r="J130" s="133" t="s">
        <v>417</v>
      </c>
      <c r="K130" s="133"/>
      <c r="L130" s="180"/>
      <c r="M130" s="146">
        <v>45765</v>
      </c>
      <c r="N130" s="146">
        <v>46098</v>
      </c>
      <c r="O130" s="139">
        <v>11</v>
      </c>
      <c r="P130" s="139"/>
      <c r="Q130" s="133" t="s">
        <v>176</v>
      </c>
      <c r="R130" s="139"/>
      <c r="S130" s="133" t="s">
        <v>903</v>
      </c>
      <c r="T130" s="133"/>
      <c r="U130" s="133"/>
      <c r="V130" s="133"/>
      <c r="W130" s="133"/>
      <c r="X130" s="133"/>
    </row>
    <row r="131" spans="1:24" s="219" customFormat="1" ht="76.5">
      <c r="A131" s="179">
        <v>132</v>
      </c>
      <c r="B131" s="179"/>
      <c r="C131" s="179" t="s">
        <v>904</v>
      </c>
      <c r="D131" s="131" t="s">
        <v>905</v>
      </c>
      <c r="E131" s="132" t="s">
        <v>906</v>
      </c>
      <c r="F131" s="263" t="s">
        <v>907</v>
      </c>
      <c r="G131" s="263" t="s">
        <v>908</v>
      </c>
      <c r="H131" s="179" t="s">
        <v>444</v>
      </c>
      <c r="I131" s="131"/>
      <c r="J131" s="131" t="s">
        <v>716</v>
      </c>
      <c r="K131" s="131"/>
      <c r="L131" s="277"/>
      <c r="M131" s="265">
        <v>45765</v>
      </c>
      <c r="N131" s="265">
        <v>46098</v>
      </c>
      <c r="O131" s="179">
        <v>11</v>
      </c>
      <c r="P131" s="179"/>
      <c r="Q131" s="131" t="s">
        <v>195</v>
      </c>
      <c r="R131" s="179"/>
      <c r="S131" s="131" t="s">
        <v>909</v>
      </c>
      <c r="T131" s="131"/>
      <c r="U131" s="131"/>
      <c r="V131" s="131"/>
      <c r="W131" s="131" t="s">
        <v>513</v>
      </c>
      <c r="X131" s="131"/>
    </row>
    <row r="132" spans="1:24" s="161" customFormat="1" ht="76.5">
      <c r="A132" s="133">
        <v>133</v>
      </c>
      <c r="B132" s="139"/>
      <c r="C132" s="139" t="s">
        <v>910</v>
      </c>
      <c r="D132" s="133" t="s">
        <v>911</v>
      </c>
      <c r="E132" s="145" t="s">
        <v>912</v>
      </c>
      <c r="F132" s="154" t="s">
        <v>913</v>
      </c>
      <c r="G132" s="154" t="s">
        <v>914</v>
      </c>
      <c r="H132" s="139" t="s">
        <v>194</v>
      </c>
      <c r="I132" s="133"/>
      <c r="J132" s="133" t="s">
        <v>716</v>
      </c>
      <c r="K132" s="133"/>
      <c r="L132" s="180"/>
      <c r="M132" s="146">
        <v>45766</v>
      </c>
      <c r="N132" s="146">
        <v>45734</v>
      </c>
      <c r="O132" s="139">
        <v>11</v>
      </c>
      <c r="P132" s="139"/>
      <c r="Q132" s="133" t="s">
        <v>195</v>
      </c>
      <c r="R132" s="139"/>
      <c r="S132" s="133" t="s">
        <v>915</v>
      </c>
      <c r="T132" s="133"/>
      <c r="U132" s="133"/>
      <c r="V132" s="133"/>
      <c r="W132" s="133"/>
      <c r="X132" s="133"/>
    </row>
    <row r="133" spans="1:24" s="161" customFormat="1" ht="76.5">
      <c r="A133" s="133">
        <v>134</v>
      </c>
      <c r="B133" s="139"/>
      <c r="C133" s="139" t="s">
        <v>916</v>
      </c>
      <c r="D133" s="133" t="s">
        <v>917</v>
      </c>
      <c r="E133" s="145" t="s">
        <v>918</v>
      </c>
      <c r="F133" s="154"/>
      <c r="G133" s="154"/>
      <c r="H133" s="139" t="s">
        <v>492</v>
      </c>
      <c r="I133" s="133"/>
      <c r="J133" s="133" t="s">
        <v>716</v>
      </c>
      <c r="K133" s="133"/>
      <c r="L133" s="180"/>
      <c r="M133" s="146">
        <v>45768</v>
      </c>
      <c r="N133" s="146">
        <v>45736</v>
      </c>
      <c r="O133" s="139">
        <v>11</v>
      </c>
      <c r="P133" s="139"/>
      <c r="Q133" s="133" t="s">
        <v>176</v>
      </c>
      <c r="R133" s="139"/>
      <c r="S133" s="133" t="s">
        <v>919</v>
      </c>
      <c r="T133" s="133"/>
      <c r="U133" s="133"/>
      <c r="V133" s="133"/>
      <c r="W133" s="133"/>
      <c r="X133" s="133"/>
    </row>
    <row r="134" spans="1:24" s="219" customFormat="1" ht="76.5">
      <c r="A134" s="179">
        <v>135</v>
      </c>
      <c r="B134" s="179"/>
      <c r="C134" s="179" t="s">
        <v>920</v>
      </c>
      <c r="D134" s="131" t="s">
        <v>921</v>
      </c>
      <c r="E134" s="132" t="s">
        <v>922</v>
      </c>
      <c r="F134" s="263">
        <v>9739804773</v>
      </c>
      <c r="G134" s="263" t="s">
        <v>923</v>
      </c>
      <c r="H134" s="179" t="s">
        <v>492</v>
      </c>
      <c r="I134" s="131"/>
      <c r="J134" s="131" t="s">
        <v>924</v>
      </c>
      <c r="K134" s="131"/>
      <c r="L134" s="277"/>
      <c r="M134" s="265">
        <v>45768</v>
      </c>
      <c r="N134" s="265">
        <v>45736</v>
      </c>
      <c r="O134" s="179">
        <v>11</v>
      </c>
      <c r="P134" s="179"/>
      <c r="Q134" s="131" t="s">
        <v>195</v>
      </c>
      <c r="R134" s="179"/>
      <c r="S134" s="131" t="s">
        <v>925</v>
      </c>
      <c r="T134" s="131"/>
      <c r="U134" s="131"/>
      <c r="V134" s="131"/>
      <c r="W134" s="131" t="s">
        <v>513</v>
      </c>
      <c r="X134" s="131"/>
    </row>
    <row r="135" spans="1:24" s="161" customFormat="1" ht="91.5">
      <c r="A135" s="139">
        <v>136</v>
      </c>
      <c r="B135" s="139"/>
      <c r="C135" s="139" t="s">
        <v>926</v>
      </c>
      <c r="D135" s="133" t="s">
        <v>927</v>
      </c>
      <c r="E135" s="145" t="s">
        <v>928</v>
      </c>
      <c r="F135" s="154">
        <v>9594913646</v>
      </c>
      <c r="G135" s="154" t="s">
        <v>929</v>
      </c>
      <c r="H135" s="139" t="s">
        <v>354</v>
      </c>
      <c r="I135" s="133"/>
      <c r="J135" s="133" t="s">
        <v>445</v>
      </c>
      <c r="K135" s="133"/>
      <c r="L135" s="180"/>
      <c r="M135" s="146">
        <v>45769</v>
      </c>
      <c r="N135" s="146">
        <v>45737</v>
      </c>
      <c r="O135" s="139">
        <v>11</v>
      </c>
      <c r="P135" s="139"/>
      <c r="Q135" s="133" t="s">
        <v>176</v>
      </c>
      <c r="R135" s="139"/>
      <c r="S135" s="133" t="s">
        <v>930</v>
      </c>
      <c r="T135" s="133"/>
      <c r="U135" s="133"/>
      <c r="V135" s="133"/>
      <c r="W135" s="133"/>
      <c r="X135" s="133"/>
    </row>
    <row r="136" spans="1:24" s="219" customFormat="1" ht="91.5">
      <c r="A136" s="131">
        <v>137</v>
      </c>
      <c r="B136" s="179"/>
      <c r="C136" s="179" t="s">
        <v>931</v>
      </c>
      <c r="D136" s="131" t="s">
        <v>932</v>
      </c>
      <c r="E136" s="132" t="s">
        <v>933</v>
      </c>
      <c r="F136" s="263" t="s">
        <v>934</v>
      </c>
      <c r="G136" s="263" t="s">
        <v>935</v>
      </c>
      <c r="H136" s="179" t="s">
        <v>241</v>
      </c>
      <c r="I136" s="131"/>
      <c r="J136" s="131" t="s">
        <v>716</v>
      </c>
      <c r="K136" s="131"/>
      <c r="L136" s="277"/>
      <c r="M136" s="265">
        <v>45769</v>
      </c>
      <c r="N136" s="265">
        <v>45737</v>
      </c>
      <c r="O136" s="179">
        <v>11</v>
      </c>
      <c r="P136" s="179"/>
      <c r="Q136" s="131" t="s">
        <v>195</v>
      </c>
      <c r="R136" s="179"/>
      <c r="S136" s="131" t="s">
        <v>936</v>
      </c>
      <c r="T136" s="131"/>
      <c r="U136" s="131"/>
      <c r="V136" s="131"/>
      <c r="W136" s="131" t="s">
        <v>513</v>
      </c>
      <c r="X136" s="131"/>
    </row>
    <row r="137" spans="1:24" s="219" customFormat="1" ht="76.5">
      <c r="A137" s="131">
        <v>138</v>
      </c>
      <c r="B137" s="179"/>
      <c r="C137" s="179" t="s">
        <v>937</v>
      </c>
      <c r="D137" s="131" t="s">
        <v>938</v>
      </c>
      <c r="E137" s="132" t="s">
        <v>939</v>
      </c>
      <c r="F137" s="263">
        <v>9871378811</v>
      </c>
      <c r="G137" s="263" t="s">
        <v>940</v>
      </c>
      <c r="H137" s="179" t="s">
        <v>194</v>
      </c>
      <c r="I137" s="131"/>
      <c r="J137" s="131" t="s">
        <v>445</v>
      </c>
      <c r="K137" s="131"/>
      <c r="L137" s="277"/>
      <c r="M137" s="265">
        <v>45770</v>
      </c>
      <c r="N137" s="265">
        <v>45738</v>
      </c>
      <c r="O137" s="179">
        <v>11</v>
      </c>
      <c r="P137" s="179"/>
      <c r="Q137" s="131" t="s">
        <v>195</v>
      </c>
      <c r="R137" s="179"/>
      <c r="S137" s="131" t="s">
        <v>941</v>
      </c>
      <c r="T137" s="131"/>
      <c r="U137" s="131"/>
      <c r="V137" s="131"/>
      <c r="W137" s="131" t="s">
        <v>513</v>
      </c>
      <c r="X137" s="131"/>
    </row>
    <row r="138" spans="1:24" s="161" customFormat="1" ht="91.5">
      <c r="A138" s="139">
        <v>139</v>
      </c>
      <c r="B138" s="139"/>
      <c r="C138" s="139" t="s">
        <v>942</v>
      </c>
      <c r="D138" s="133" t="s">
        <v>943</v>
      </c>
      <c r="E138" s="145" t="s">
        <v>944</v>
      </c>
      <c r="F138" s="154">
        <v>9930888999</v>
      </c>
      <c r="G138" s="154" t="s">
        <v>945</v>
      </c>
      <c r="H138" s="139" t="s">
        <v>354</v>
      </c>
      <c r="I138" s="133"/>
      <c r="J138" s="133" t="s">
        <v>417</v>
      </c>
      <c r="K138" s="133"/>
      <c r="L138" s="180"/>
      <c r="M138" s="146">
        <v>45770</v>
      </c>
      <c r="N138" s="146">
        <v>45738</v>
      </c>
      <c r="O138" s="139">
        <v>11</v>
      </c>
      <c r="P138" s="139"/>
      <c r="Q138" s="133" t="s">
        <v>195</v>
      </c>
      <c r="R138" s="139"/>
      <c r="S138" s="133" t="s">
        <v>946</v>
      </c>
      <c r="T138" s="133"/>
      <c r="U138" s="133"/>
      <c r="V138" s="133"/>
      <c r="W138" s="133"/>
      <c r="X138" s="133"/>
    </row>
    <row r="139" spans="1:24" s="219" customFormat="1" ht="91.5">
      <c r="A139" s="179">
        <v>140</v>
      </c>
      <c r="B139" s="179"/>
      <c r="C139" s="179" t="s">
        <v>947</v>
      </c>
      <c r="D139" s="131" t="s">
        <v>948</v>
      </c>
      <c r="E139" s="132" t="s">
        <v>949</v>
      </c>
      <c r="F139" s="263">
        <v>7405484441</v>
      </c>
      <c r="G139" s="263" t="s">
        <v>950</v>
      </c>
      <c r="H139" s="179" t="s">
        <v>951</v>
      </c>
      <c r="I139" s="131"/>
      <c r="J139" s="131" t="s">
        <v>716</v>
      </c>
      <c r="K139" s="131"/>
      <c r="L139" s="277"/>
      <c r="M139" s="265">
        <v>45770</v>
      </c>
      <c r="N139" s="265">
        <v>45738</v>
      </c>
      <c r="O139" s="179">
        <v>11</v>
      </c>
      <c r="P139" s="179"/>
      <c r="Q139" s="131" t="s">
        <v>195</v>
      </c>
      <c r="R139" s="179"/>
      <c r="S139" s="131" t="s">
        <v>952</v>
      </c>
      <c r="T139" s="131"/>
      <c r="U139" s="131"/>
      <c r="V139" s="131"/>
      <c r="W139" s="131" t="s">
        <v>513</v>
      </c>
      <c r="X139" s="131"/>
    </row>
    <row r="140" spans="1:24" s="219" customFormat="1" ht="76.5">
      <c r="A140" s="131">
        <v>141</v>
      </c>
      <c r="B140" s="179"/>
      <c r="C140" s="179" t="s">
        <v>953</v>
      </c>
      <c r="D140" s="131" t="s">
        <v>954</v>
      </c>
      <c r="E140" s="132" t="s">
        <v>955</v>
      </c>
      <c r="F140" s="263">
        <v>8383064106</v>
      </c>
      <c r="G140" s="263" t="s">
        <v>956</v>
      </c>
      <c r="H140" s="179" t="s">
        <v>416</v>
      </c>
      <c r="I140" s="131"/>
      <c r="J140" s="131" t="s">
        <v>716</v>
      </c>
      <c r="K140" s="131"/>
      <c r="L140" s="277"/>
      <c r="M140" s="265">
        <v>45770</v>
      </c>
      <c r="N140" s="265">
        <v>45738</v>
      </c>
      <c r="O140" s="179">
        <v>11</v>
      </c>
      <c r="P140" s="179"/>
      <c r="Q140" s="131" t="s">
        <v>176</v>
      </c>
      <c r="R140" s="179"/>
      <c r="S140" s="131" t="s">
        <v>957</v>
      </c>
      <c r="T140" s="131"/>
      <c r="U140" s="131"/>
      <c r="V140" s="131"/>
      <c r="W140" s="131" t="s">
        <v>513</v>
      </c>
      <c r="X140" s="131"/>
    </row>
    <row r="141" spans="1:24" s="161" customFormat="1" ht="91.5">
      <c r="A141" s="133">
        <v>142</v>
      </c>
      <c r="B141" s="139"/>
      <c r="C141" s="139" t="s">
        <v>958</v>
      </c>
      <c r="D141" s="133" t="s">
        <v>959</v>
      </c>
      <c r="E141" s="145" t="s">
        <v>960</v>
      </c>
      <c r="F141" s="154">
        <v>7099002511</v>
      </c>
      <c r="G141" s="154" t="s">
        <v>961</v>
      </c>
      <c r="H141" s="139" t="s">
        <v>512</v>
      </c>
      <c r="I141" s="133"/>
      <c r="J141" s="133" t="s">
        <v>716</v>
      </c>
      <c r="K141" s="133"/>
      <c r="L141" s="180"/>
      <c r="M141" s="146">
        <v>45770</v>
      </c>
      <c r="N141" s="146">
        <v>45738</v>
      </c>
      <c r="O141" s="139">
        <v>11</v>
      </c>
      <c r="P141" s="139"/>
      <c r="Q141" s="133" t="s">
        <v>195</v>
      </c>
      <c r="R141" s="139"/>
      <c r="S141" s="133" t="s">
        <v>962</v>
      </c>
      <c r="T141" s="133"/>
      <c r="U141" s="133"/>
      <c r="V141" s="133"/>
      <c r="W141" s="133"/>
      <c r="X141" s="133"/>
    </row>
    <row r="142" spans="1:24" s="219" customFormat="1" ht="106.5">
      <c r="A142" s="179">
        <v>143</v>
      </c>
      <c r="B142" s="179"/>
      <c r="C142" s="179" t="s">
        <v>963</v>
      </c>
      <c r="D142" s="131" t="s">
        <v>964</v>
      </c>
      <c r="E142" s="132" t="s">
        <v>965</v>
      </c>
      <c r="F142" s="263">
        <v>6359289957</v>
      </c>
      <c r="G142" s="263" t="s">
        <v>966</v>
      </c>
      <c r="H142" s="179" t="s">
        <v>365</v>
      </c>
      <c r="I142" s="131"/>
      <c r="J142" s="131" t="s">
        <v>445</v>
      </c>
      <c r="K142" s="131"/>
      <c r="L142" s="277"/>
      <c r="M142" s="265">
        <v>45773</v>
      </c>
      <c r="N142" s="265">
        <v>45741</v>
      </c>
      <c r="O142" s="179">
        <v>11</v>
      </c>
      <c r="P142" s="179"/>
      <c r="Q142" s="131" t="s">
        <v>195</v>
      </c>
      <c r="R142" s="179"/>
      <c r="S142" s="131" t="s">
        <v>967</v>
      </c>
      <c r="T142" s="131"/>
      <c r="U142" s="131"/>
      <c r="V142" s="131"/>
      <c r="W142" s="131" t="s">
        <v>513</v>
      </c>
      <c r="X142" s="131"/>
    </row>
    <row r="143" spans="1:24" s="219" customFormat="1" ht="106.5">
      <c r="A143" s="179">
        <v>144</v>
      </c>
      <c r="B143" s="179"/>
      <c r="C143" s="179" t="s">
        <v>968</v>
      </c>
      <c r="D143" s="131" t="s">
        <v>969</v>
      </c>
      <c r="E143" s="132" t="s">
        <v>970</v>
      </c>
      <c r="F143" s="263">
        <v>9870799975</v>
      </c>
      <c r="G143" s="263" t="s">
        <v>971</v>
      </c>
      <c r="H143" s="179" t="s">
        <v>354</v>
      </c>
      <c r="I143" s="131"/>
      <c r="J143" s="131" t="s">
        <v>716</v>
      </c>
      <c r="K143" s="131"/>
      <c r="L143" s="277"/>
      <c r="M143" s="265">
        <v>45772</v>
      </c>
      <c r="N143" s="265">
        <v>45740</v>
      </c>
      <c r="O143" s="179">
        <v>11</v>
      </c>
      <c r="P143" s="179"/>
      <c r="Q143" s="131" t="s">
        <v>195</v>
      </c>
      <c r="R143" s="179"/>
      <c r="S143" s="131" t="s">
        <v>972</v>
      </c>
      <c r="T143" s="131"/>
      <c r="U143" s="131"/>
      <c r="V143" s="131" t="s">
        <v>513</v>
      </c>
      <c r="W143" s="131" t="s">
        <v>513</v>
      </c>
      <c r="X143" s="131"/>
    </row>
    <row r="144" spans="1:24" s="161" customFormat="1" ht="91.5">
      <c r="A144" s="133">
        <v>145</v>
      </c>
      <c r="B144" s="139"/>
      <c r="C144" s="139" t="s">
        <v>973</v>
      </c>
      <c r="D144" s="133" t="s">
        <v>974</v>
      </c>
      <c r="E144" s="145" t="s">
        <v>975</v>
      </c>
      <c r="F144" s="154">
        <v>9686392069</v>
      </c>
      <c r="G144" s="154" t="s">
        <v>976</v>
      </c>
      <c r="H144" s="139" t="s">
        <v>977</v>
      </c>
      <c r="I144" s="133"/>
      <c r="J144" s="133" t="s">
        <v>716</v>
      </c>
      <c r="K144" s="133"/>
      <c r="L144" s="180"/>
      <c r="M144" s="146">
        <v>45775</v>
      </c>
      <c r="N144" s="146">
        <v>45743</v>
      </c>
      <c r="O144" s="139">
        <v>11</v>
      </c>
      <c r="P144" s="139"/>
      <c r="Q144" s="133" t="s">
        <v>176</v>
      </c>
      <c r="R144" s="139"/>
      <c r="S144" s="133" t="s">
        <v>978</v>
      </c>
      <c r="T144" s="133"/>
      <c r="U144" s="133"/>
      <c r="V144" s="133"/>
      <c r="W144" s="133"/>
      <c r="X144" s="133"/>
    </row>
    <row r="145" spans="1:24" s="161" customFormat="1" ht="106.5">
      <c r="A145" s="133">
        <v>146</v>
      </c>
      <c r="B145" s="139"/>
      <c r="C145" s="133" t="s">
        <v>979</v>
      </c>
      <c r="D145" s="133" t="s">
        <v>980</v>
      </c>
      <c r="E145" s="145" t="s">
        <v>981</v>
      </c>
      <c r="F145" s="154">
        <v>7989017213</v>
      </c>
      <c r="G145" s="154" t="s">
        <v>982</v>
      </c>
      <c r="H145" s="139" t="s">
        <v>395</v>
      </c>
      <c r="I145" s="133"/>
      <c r="J145" s="133" t="s">
        <v>716</v>
      </c>
      <c r="K145" s="133"/>
      <c r="L145" s="180"/>
      <c r="M145" s="146">
        <v>45775</v>
      </c>
      <c r="N145" s="146">
        <v>45743</v>
      </c>
      <c r="O145" s="139">
        <v>11</v>
      </c>
      <c r="P145" s="139"/>
      <c r="Q145" s="133" t="s">
        <v>195</v>
      </c>
      <c r="R145" s="139"/>
      <c r="S145" s="133" t="s">
        <v>983</v>
      </c>
      <c r="T145" s="133"/>
      <c r="U145" s="133"/>
      <c r="V145" s="133"/>
      <c r="W145" s="133"/>
      <c r="X145" s="133"/>
    </row>
    <row r="146" spans="1:24" s="219" customFormat="1" ht="60.75">
      <c r="A146" s="179">
        <v>147</v>
      </c>
      <c r="B146" s="179"/>
      <c r="C146" s="179" t="s">
        <v>984</v>
      </c>
      <c r="D146" s="131" t="s">
        <v>985</v>
      </c>
      <c r="E146" s="132" t="s">
        <v>986</v>
      </c>
      <c r="F146" s="263" t="s">
        <v>987</v>
      </c>
      <c r="G146" s="263" t="s">
        <v>988</v>
      </c>
      <c r="H146" s="179" t="s">
        <v>388</v>
      </c>
      <c r="I146" s="131"/>
      <c r="J146" s="131" t="s">
        <v>794</v>
      </c>
      <c r="K146" s="131"/>
      <c r="L146" s="277"/>
      <c r="M146" s="265">
        <v>45776</v>
      </c>
      <c r="N146" s="265">
        <v>45744</v>
      </c>
      <c r="O146" s="179">
        <v>11</v>
      </c>
      <c r="P146" s="179"/>
      <c r="Q146" s="131" t="s">
        <v>176</v>
      </c>
      <c r="R146" s="179"/>
      <c r="S146" s="131" t="s">
        <v>989</v>
      </c>
      <c r="T146" s="131"/>
      <c r="U146" s="131"/>
      <c r="V146" s="131"/>
      <c r="W146" s="131" t="s">
        <v>513</v>
      </c>
      <c r="X146" s="131"/>
    </row>
    <row r="147" spans="1:24" s="161" customFormat="1" ht="121.5">
      <c r="A147" s="139">
        <v>148</v>
      </c>
      <c r="B147" s="139"/>
      <c r="C147" s="139" t="s">
        <v>990</v>
      </c>
      <c r="D147" s="133" t="s">
        <v>991</v>
      </c>
      <c r="E147" s="145" t="s">
        <v>992</v>
      </c>
      <c r="F147" s="154">
        <v>9903309412</v>
      </c>
      <c r="G147" s="154" t="s">
        <v>993</v>
      </c>
      <c r="H147" s="139" t="s">
        <v>290</v>
      </c>
      <c r="I147" s="133"/>
      <c r="J147" s="133" t="s">
        <v>417</v>
      </c>
      <c r="K147" s="133"/>
      <c r="L147" s="180"/>
      <c r="M147" s="146">
        <v>45776</v>
      </c>
      <c r="N147" s="146">
        <v>45744</v>
      </c>
      <c r="O147" s="139">
        <v>11</v>
      </c>
      <c r="P147" s="139"/>
      <c r="Q147" s="133" t="s">
        <v>195</v>
      </c>
      <c r="R147" s="139"/>
      <c r="S147" s="133" t="s">
        <v>994</v>
      </c>
      <c r="T147" s="133"/>
      <c r="U147" s="133"/>
      <c r="V147" s="133"/>
      <c r="W147" s="133"/>
      <c r="X147" s="133"/>
    </row>
    <row r="148" spans="1:24" s="219" customFormat="1" ht="76.5">
      <c r="A148" s="131">
        <v>149</v>
      </c>
      <c r="B148" s="179"/>
      <c r="C148" s="179" t="s">
        <v>995</v>
      </c>
      <c r="D148" s="131" t="s">
        <v>996</v>
      </c>
      <c r="E148" s="132" t="s">
        <v>997</v>
      </c>
      <c r="F148" s="263">
        <v>9748417529</v>
      </c>
      <c r="G148" s="263" t="s">
        <v>998</v>
      </c>
      <c r="H148" s="179" t="s">
        <v>290</v>
      </c>
      <c r="I148" s="131"/>
      <c r="J148" s="131" t="s">
        <v>417</v>
      </c>
      <c r="K148" s="131"/>
      <c r="L148" s="277"/>
      <c r="M148" s="265">
        <v>45777</v>
      </c>
      <c r="N148" s="265">
        <v>45776</v>
      </c>
      <c r="O148" s="179">
        <v>11</v>
      </c>
      <c r="P148" s="179"/>
      <c r="Q148" s="131" t="s">
        <v>195</v>
      </c>
      <c r="R148" s="179"/>
      <c r="S148" s="131" t="s">
        <v>999</v>
      </c>
      <c r="T148" s="131"/>
      <c r="U148" s="131"/>
      <c r="V148" s="131"/>
      <c r="W148" s="131" t="s">
        <v>513</v>
      </c>
      <c r="X148" s="131"/>
    </row>
    <row r="149" spans="1:24" s="198" customFormat="1" ht="76.5">
      <c r="A149" s="131">
        <v>150</v>
      </c>
      <c r="B149" s="179"/>
      <c r="C149" s="179" t="s">
        <v>1000</v>
      </c>
      <c r="D149" s="131" t="s">
        <v>1001</v>
      </c>
      <c r="E149" s="132" t="s">
        <v>1002</v>
      </c>
      <c r="F149" s="263">
        <v>9916971817</v>
      </c>
      <c r="G149" s="263" t="s">
        <v>1003</v>
      </c>
      <c r="H149" s="179" t="s">
        <v>492</v>
      </c>
      <c r="I149" s="131"/>
      <c r="J149" s="131" t="s">
        <v>417</v>
      </c>
      <c r="K149" s="131"/>
      <c r="L149" s="277"/>
      <c r="M149" s="265">
        <v>45777</v>
      </c>
      <c r="N149" s="265">
        <v>46141</v>
      </c>
      <c r="O149" s="179">
        <v>11</v>
      </c>
      <c r="P149" s="179"/>
      <c r="Q149" s="131" t="s">
        <v>195</v>
      </c>
      <c r="R149" s="179"/>
      <c r="S149" s="422" t="s">
        <v>1004</v>
      </c>
      <c r="T149" s="422"/>
      <c r="U149" s="131"/>
      <c r="V149" s="131" t="s">
        <v>1005</v>
      </c>
      <c r="W149" s="131" t="s">
        <v>279</v>
      </c>
      <c r="X149" s="131"/>
    </row>
    <row r="150" spans="1:24" s="219" customFormat="1" ht="91.5">
      <c r="A150" s="179">
        <v>151</v>
      </c>
      <c r="B150" s="346"/>
      <c r="C150" s="179" t="s">
        <v>1006</v>
      </c>
      <c r="D150" s="131" t="s">
        <v>1007</v>
      </c>
      <c r="E150" s="132" t="s">
        <v>1008</v>
      </c>
      <c r="F150" s="263">
        <v>9874648005</v>
      </c>
      <c r="G150" s="263" t="s">
        <v>1009</v>
      </c>
      <c r="H150" s="179" t="s">
        <v>290</v>
      </c>
      <c r="I150" s="131"/>
      <c r="J150" s="131" t="s">
        <v>417</v>
      </c>
      <c r="K150" s="131"/>
      <c r="L150" s="277"/>
      <c r="M150" s="265">
        <v>45779</v>
      </c>
      <c r="N150" s="265">
        <v>46113</v>
      </c>
      <c r="O150" s="179">
        <v>11</v>
      </c>
      <c r="P150" s="179"/>
      <c r="Q150" s="131" t="s">
        <v>195</v>
      </c>
      <c r="R150" s="179"/>
      <c r="S150" s="131" t="s">
        <v>1010</v>
      </c>
      <c r="T150" s="131"/>
      <c r="U150" s="131"/>
      <c r="V150" s="131" t="s">
        <v>513</v>
      </c>
      <c r="W150" s="131" t="s">
        <v>513</v>
      </c>
      <c r="X150" s="131"/>
    </row>
    <row r="151" spans="1:24" s="219" customFormat="1" ht="76.5">
      <c r="A151" s="179">
        <v>152</v>
      </c>
      <c r="B151" s="346"/>
      <c r="C151" s="179" t="s">
        <v>1011</v>
      </c>
      <c r="D151" s="131" t="s">
        <v>1012</v>
      </c>
      <c r="E151" s="132" t="s">
        <v>1013</v>
      </c>
      <c r="F151" s="263">
        <v>9870502504</v>
      </c>
      <c r="G151" s="263" t="s">
        <v>1014</v>
      </c>
      <c r="H151" s="179" t="s">
        <v>194</v>
      </c>
      <c r="I151" s="131"/>
      <c r="J151" s="131" t="s">
        <v>716</v>
      </c>
      <c r="K151" s="131"/>
      <c r="L151" s="277"/>
      <c r="M151" s="265">
        <v>45779</v>
      </c>
      <c r="N151" s="265">
        <v>46113</v>
      </c>
      <c r="O151" s="179">
        <v>11</v>
      </c>
      <c r="P151" s="179"/>
      <c r="Q151" s="131" t="s">
        <v>195</v>
      </c>
      <c r="R151" s="179"/>
      <c r="S151" s="131" t="s">
        <v>1015</v>
      </c>
      <c r="T151" s="131"/>
      <c r="U151" s="131"/>
      <c r="V151" s="131"/>
      <c r="W151" s="131" t="s">
        <v>513</v>
      </c>
      <c r="X151" s="131"/>
    </row>
    <row r="152" spans="1:24" s="219" customFormat="1" ht="91.5">
      <c r="A152" s="131">
        <v>153</v>
      </c>
      <c r="B152" s="346"/>
      <c r="C152" s="179" t="s">
        <v>1016</v>
      </c>
      <c r="D152" s="131" t="s">
        <v>1017</v>
      </c>
      <c r="E152" s="132" t="s">
        <v>1018</v>
      </c>
      <c r="F152" s="263">
        <v>9810208007</v>
      </c>
      <c r="G152" s="263" t="s">
        <v>1019</v>
      </c>
      <c r="H152" s="179" t="s">
        <v>194</v>
      </c>
      <c r="I152" s="131"/>
      <c r="J152" s="131" t="s">
        <v>445</v>
      </c>
      <c r="K152" s="131"/>
      <c r="L152" s="277"/>
      <c r="M152" s="265">
        <v>45779</v>
      </c>
      <c r="N152" s="265">
        <v>46113</v>
      </c>
      <c r="O152" s="179">
        <v>11</v>
      </c>
      <c r="P152" s="179"/>
      <c r="Q152" s="131" t="s">
        <v>195</v>
      </c>
      <c r="R152" s="179"/>
      <c r="S152" s="131" t="s">
        <v>1020</v>
      </c>
      <c r="T152" s="131"/>
      <c r="U152" s="131"/>
      <c r="V152" s="131"/>
      <c r="W152" s="131" t="s">
        <v>513</v>
      </c>
      <c r="X152" s="131"/>
    </row>
    <row r="153" spans="1:24" s="161" customFormat="1" ht="76.5">
      <c r="A153" s="133">
        <v>154</v>
      </c>
      <c r="B153" s="143"/>
      <c r="C153" s="139" t="s">
        <v>1021</v>
      </c>
      <c r="D153" s="133" t="s">
        <v>1022</v>
      </c>
      <c r="E153" s="145" t="s">
        <v>1023</v>
      </c>
      <c r="F153" s="154">
        <v>8800839548</v>
      </c>
      <c r="G153" s="154" t="s">
        <v>1024</v>
      </c>
      <c r="H153" s="139" t="s">
        <v>416</v>
      </c>
      <c r="I153" s="133"/>
      <c r="J153" s="133" t="s">
        <v>417</v>
      </c>
      <c r="K153" s="133"/>
      <c r="L153" s="180"/>
      <c r="M153" s="146">
        <v>45779</v>
      </c>
      <c r="N153" s="146">
        <v>46113</v>
      </c>
      <c r="O153" s="139">
        <v>11</v>
      </c>
      <c r="P153" s="139"/>
      <c r="Q153" s="133" t="s">
        <v>176</v>
      </c>
      <c r="R153" s="139"/>
      <c r="S153" s="133" t="s">
        <v>1025</v>
      </c>
      <c r="T153" s="133"/>
      <c r="U153" s="133"/>
      <c r="V153" s="133"/>
      <c r="W153" s="133"/>
      <c r="X153" s="133"/>
    </row>
    <row r="154" spans="1:24" s="161" customFormat="1" ht="91.5">
      <c r="A154" s="139">
        <v>155</v>
      </c>
      <c r="B154" s="143"/>
      <c r="C154" s="139" t="s">
        <v>1026</v>
      </c>
      <c r="D154" s="133" t="s">
        <v>1027</v>
      </c>
      <c r="E154" s="145" t="s">
        <v>1028</v>
      </c>
      <c r="F154" s="154">
        <v>9653475766</v>
      </c>
      <c r="G154" s="154" t="s">
        <v>1029</v>
      </c>
      <c r="H154" s="139" t="s">
        <v>529</v>
      </c>
      <c r="I154" s="133"/>
      <c r="J154" s="133" t="s">
        <v>445</v>
      </c>
      <c r="K154" s="133"/>
      <c r="L154" s="180"/>
      <c r="M154" s="146">
        <v>45779</v>
      </c>
      <c r="N154" s="146">
        <v>46113</v>
      </c>
      <c r="O154" s="139">
        <v>11</v>
      </c>
      <c r="P154" s="139"/>
      <c r="Q154" s="133" t="s">
        <v>195</v>
      </c>
      <c r="R154" s="139"/>
      <c r="S154" s="133" t="s">
        <v>1030</v>
      </c>
      <c r="T154" s="133"/>
      <c r="U154" s="133"/>
      <c r="V154" s="133"/>
      <c r="W154" s="133"/>
      <c r="X154" s="133"/>
    </row>
    <row r="155" spans="1:24" s="219" customFormat="1" ht="76.5">
      <c r="A155" s="179">
        <v>156</v>
      </c>
      <c r="B155" s="346"/>
      <c r="C155" s="179" t="s">
        <v>1031</v>
      </c>
      <c r="D155" s="131" t="s">
        <v>1032</v>
      </c>
      <c r="E155" s="132" t="s">
        <v>1033</v>
      </c>
      <c r="F155" s="263">
        <v>7042941651</v>
      </c>
      <c r="G155" s="263" t="s">
        <v>1034</v>
      </c>
      <c r="H155" s="179" t="s">
        <v>416</v>
      </c>
      <c r="I155" s="131"/>
      <c r="J155" s="131" t="s">
        <v>716</v>
      </c>
      <c r="K155" s="131"/>
      <c r="L155" s="277"/>
      <c r="M155" s="265">
        <v>45779</v>
      </c>
      <c r="N155" s="265">
        <v>46113</v>
      </c>
      <c r="O155" s="179">
        <v>11</v>
      </c>
      <c r="P155" s="179"/>
      <c r="Q155" s="131" t="s">
        <v>195</v>
      </c>
      <c r="R155" s="179"/>
      <c r="S155" s="131" t="s">
        <v>1035</v>
      </c>
      <c r="T155" s="131"/>
      <c r="U155" s="131"/>
      <c r="V155" s="131"/>
      <c r="W155" s="131" t="s">
        <v>243</v>
      </c>
      <c r="X155" s="131"/>
    </row>
    <row r="156" spans="1:24" s="219" customFormat="1" ht="76.5">
      <c r="A156" s="131">
        <v>157</v>
      </c>
      <c r="B156" s="346"/>
      <c r="C156" s="179" t="s">
        <v>1036</v>
      </c>
      <c r="D156" s="131" t="s">
        <v>1037</v>
      </c>
      <c r="E156" s="132" t="s">
        <v>1038</v>
      </c>
      <c r="F156" s="263">
        <v>9035611551</v>
      </c>
      <c r="G156" s="263" t="s">
        <v>1039</v>
      </c>
      <c r="H156" s="179" t="s">
        <v>416</v>
      </c>
      <c r="I156" s="131"/>
      <c r="J156" s="131" t="s">
        <v>417</v>
      </c>
      <c r="K156" s="131"/>
      <c r="L156" s="277"/>
      <c r="M156" s="265">
        <v>45779</v>
      </c>
      <c r="N156" s="265">
        <v>46113</v>
      </c>
      <c r="O156" s="179">
        <v>11</v>
      </c>
      <c r="P156" s="179"/>
      <c r="Q156" s="131" t="s">
        <v>195</v>
      </c>
      <c r="R156" s="179"/>
      <c r="S156" s="131" t="s">
        <v>1040</v>
      </c>
      <c r="T156" s="131"/>
      <c r="U156" s="131"/>
      <c r="V156" s="131"/>
      <c r="W156" s="131" t="s">
        <v>243</v>
      </c>
      <c r="X156" s="131" t="s">
        <v>243</v>
      </c>
    </row>
    <row r="157" spans="1:24" s="219" customFormat="1" ht="91.5">
      <c r="A157" s="131">
        <v>158</v>
      </c>
      <c r="B157" s="346"/>
      <c r="C157" s="131" t="s">
        <v>1041</v>
      </c>
      <c r="D157" s="131" t="s">
        <v>1042</v>
      </c>
      <c r="E157" s="132" t="s">
        <v>1043</v>
      </c>
      <c r="F157" s="263">
        <v>9899596666</v>
      </c>
      <c r="G157" s="263" t="s">
        <v>1044</v>
      </c>
      <c r="H157" s="179" t="s">
        <v>194</v>
      </c>
      <c r="I157" s="131"/>
      <c r="J157" s="131" t="s">
        <v>417</v>
      </c>
      <c r="K157" s="131"/>
      <c r="L157" s="277"/>
      <c r="M157" s="265">
        <v>45779</v>
      </c>
      <c r="N157" s="265">
        <v>46113</v>
      </c>
      <c r="O157" s="179">
        <v>11</v>
      </c>
      <c r="P157" s="179"/>
      <c r="Q157" s="131" t="s">
        <v>195</v>
      </c>
      <c r="R157" s="179"/>
      <c r="S157" s="131" t="s">
        <v>1045</v>
      </c>
      <c r="T157" s="131"/>
      <c r="U157" s="131"/>
      <c r="V157" s="131"/>
      <c r="W157" s="131" t="s">
        <v>513</v>
      </c>
      <c r="X157" s="131" t="s">
        <v>513</v>
      </c>
    </row>
    <row r="158" spans="1:24" s="219" customFormat="1" ht="60.75">
      <c r="A158" s="179">
        <v>159</v>
      </c>
      <c r="B158" s="346"/>
      <c r="C158" s="179"/>
      <c r="D158" s="131" t="s">
        <v>1046</v>
      </c>
      <c r="E158" s="132" t="s">
        <v>1047</v>
      </c>
      <c r="F158" s="263">
        <v>9101202657</v>
      </c>
      <c r="G158" s="263" t="s">
        <v>1048</v>
      </c>
      <c r="H158" s="179" t="s">
        <v>512</v>
      </c>
      <c r="I158" s="131"/>
      <c r="J158" s="131"/>
      <c r="K158" s="131"/>
      <c r="L158" s="277"/>
      <c r="M158" s="265">
        <v>45782</v>
      </c>
      <c r="N158" s="265">
        <v>46116</v>
      </c>
      <c r="O158" s="179">
        <v>11</v>
      </c>
      <c r="P158" s="179"/>
      <c r="Q158" s="131" t="s">
        <v>195</v>
      </c>
      <c r="R158" s="179"/>
      <c r="S158" s="131" t="s">
        <v>1049</v>
      </c>
      <c r="T158" s="131"/>
      <c r="U158" s="131"/>
      <c r="V158" s="131"/>
      <c r="W158" s="131" t="s">
        <v>513</v>
      </c>
      <c r="X158" s="131"/>
    </row>
    <row r="159" spans="1:24" s="219" customFormat="1" ht="76.5">
      <c r="A159" s="179">
        <v>160</v>
      </c>
      <c r="B159" s="346"/>
      <c r="C159" s="179" t="s">
        <v>1050</v>
      </c>
      <c r="D159" s="131" t="s">
        <v>1051</v>
      </c>
      <c r="E159" s="132" t="s">
        <v>1052</v>
      </c>
      <c r="F159" s="263">
        <v>9916160356</v>
      </c>
      <c r="G159" s="263" t="s">
        <v>1053</v>
      </c>
      <c r="H159" s="179" t="s">
        <v>416</v>
      </c>
      <c r="I159" s="131"/>
      <c r="J159" s="131"/>
      <c r="K159" s="131"/>
      <c r="L159" s="277"/>
      <c r="M159" s="265">
        <v>45783</v>
      </c>
      <c r="N159" s="265">
        <v>46117</v>
      </c>
      <c r="O159" s="179">
        <v>11</v>
      </c>
      <c r="P159" s="179"/>
      <c r="Q159" s="131" t="s">
        <v>176</v>
      </c>
      <c r="R159" s="179"/>
      <c r="S159" s="131" t="s">
        <v>1054</v>
      </c>
      <c r="T159" s="131"/>
      <c r="U159" s="131"/>
      <c r="V159" s="131"/>
      <c r="W159" s="131" t="s">
        <v>513</v>
      </c>
      <c r="X159" s="131" t="s">
        <v>513</v>
      </c>
    </row>
    <row r="160" spans="1:24" s="161" customFormat="1" ht="91.5">
      <c r="A160" s="133">
        <v>161</v>
      </c>
      <c r="B160" s="143"/>
      <c r="C160" s="139" t="s">
        <v>1055</v>
      </c>
      <c r="D160" s="133" t="s">
        <v>1056</v>
      </c>
      <c r="E160" s="145" t="s">
        <v>1057</v>
      </c>
      <c r="F160" s="154">
        <v>8951730292</v>
      </c>
      <c r="G160" s="154" t="s">
        <v>1058</v>
      </c>
      <c r="H160" s="139" t="s">
        <v>202</v>
      </c>
      <c r="I160" s="133"/>
      <c r="J160" s="133"/>
      <c r="K160" s="133"/>
      <c r="L160" s="180"/>
      <c r="M160" s="146">
        <v>45783</v>
      </c>
      <c r="N160" s="146">
        <v>46117</v>
      </c>
      <c r="O160" s="139">
        <v>11</v>
      </c>
      <c r="P160" s="139"/>
      <c r="Q160" s="133" t="s">
        <v>176</v>
      </c>
      <c r="R160" s="139"/>
      <c r="S160" s="133" t="s">
        <v>1059</v>
      </c>
      <c r="T160" s="133"/>
      <c r="U160" s="133"/>
      <c r="V160" s="133"/>
      <c r="W160" s="133"/>
      <c r="X160" s="133"/>
    </row>
    <row r="161" spans="1:24" s="161" customFormat="1" ht="76.5">
      <c r="A161" s="133">
        <v>162</v>
      </c>
      <c r="B161" s="143"/>
      <c r="C161" s="139" t="s">
        <v>1060</v>
      </c>
      <c r="D161" s="133" t="s">
        <v>1061</v>
      </c>
      <c r="E161" s="145" t="s">
        <v>1062</v>
      </c>
      <c r="F161" s="154">
        <v>9999789576</v>
      </c>
      <c r="G161" s="154" t="s">
        <v>1063</v>
      </c>
      <c r="H161" s="139" t="s">
        <v>248</v>
      </c>
      <c r="I161" s="133"/>
      <c r="J161" s="133" t="s">
        <v>1064</v>
      </c>
      <c r="K161" s="133"/>
      <c r="L161" s="180"/>
      <c r="M161" s="146">
        <v>45783</v>
      </c>
      <c r="N161" s="146">
        <v>46117</v>
      </c>
      <c r="O161" s="139">
        <v>11</v>
      </c>
      <c r="P161" s="139"/>
      <c r="Q161" s="133" t="s">
        <v>176</v>
      </c>
      <c r="R161" s="139"/>
      <c r="S161" s="133" t="s">
        <v>1065</v>
      </c>
      <c r="T161" s="133"/>
      <c r="U161" s="133"/>
      <c r="V161" s="133"/>
      <c r="W161" s="133"/>
      <c r="X161" s="133"/>
    </row>
    <row r="162" spans="1:24" s="161" customFormat="1" ht="60.75">
      <c r="A162" s="139">
        <v>163</v>
      </c>
      <c r="B162" s="143"/>
      <c r="C162" s="139"/>
      <c r="D162" s="133" t="s">
        <v>1066</v>
      </c>
      <c r="E162" s="145" t="s">
        <v>1067</v>
      </c>
      <c r="F162" s="154">
        <v>9322522722</v>
      </c>
      <c r="G162" s="154"/>
      <c r="H162" s="139" t="s">
        <v>1068</v>
      </c>
      <c r="I162" s="133"/>
      <c r="J162" s="133" t="s">
        <v>1064</v>
      </c>
      <c r="K162" s="133"/>
      <c r="L162" s="180"/>
      <c r="M162" s="146">
        <v>45783</v>
      </c>
      <c r="N162" s="146">
        <v>46117</v>
      </c>
      <c r="O162" s="139">
        <v>11</v>
      </c>
      <c r="P162" s="139"/>
      <c r="Q162" s="133" t="s">
        <v>203</v>
      </c>
      <c r="R162" s="139"/>
      <c r="S162" s="133" t="s">
        <v>1069</v>
      </c>
      <c r="T162" s="133"/>
      <c r="U162" s="133"/>
      <c r="V162" s="133"/>
      <c r="W162" s="133"/>
      <c r="X162" s="133"/>
    </row>
    <row r="163" spans="1:24" s="198" customFormat="1" ht="60.75">
      <c r="A163" s="179">
        <v>164</v>
      </c>
      <c r="B163" s="179"/>
      <c r="C163" s="179" t="s">
        <v>1070</v>
      </c>
      <c r="D163" s="131" t="s">
        <v>1071</v>
      </c>
      <c r="E163" s="132" t="s">
        <v>1072</v>
      </c>
      <c r="F163" s="263">
        <v>7568273455</v>
      </c>
      <c r="G163" s="263" t="s">
        <v>1073</v>
      </c>
      <c r="H163" s="179" t="s">
        <v>444</v>
      </c>
      <c r="I163" s="131"/>
      <c r="J163" s="131" t="s">
        <v>1064</v>
      </c>
      <c r="K163" s="131"/>
      <c r="L163" s="277"/>
      <c r="M163" s="265">
        <v>45783</v>
      </c>
      <c r="N163" s="265">
        <v>46117</v>
      </c>
      <c r="O163" s="179">
        <v>11</v>
      </c>
      <c r="P163" s="179"/>
      <c r="Q163" s="131" t="s">
        <v>195</v>
      </c>
      <c r="R163" s="179"/>
      <c r="S163" s="131" t="s">
        <v>1074</v>
      </c>
      <c r="T163" s="131"/>
      <c r="U163" s="131"/>
      <c r="V163" s="131" t="s">
        <v>243</v>
      </c>
      <c r="W163" s="131" t="s">
        <v>243</v>
      </c>
      <c r="X163" s="131"/>
    </row>
    <row r="164" spans="1:24" s="219" customFormat="1" ht="106.5">
      <c r="A164" s="131">
        <v>165</v>
      </c>
      <c r="B164" s="346"/>
      <c r="C164" s="179" t="s">
        <v>1075</v>
      </c>
      <c r="D164" s="131" t="s">
        <v>1076</v>
      </c>
      <c r="E164" s="132" t="s">
        <v>1077</v>
      </c>
      <c r="F164" s="263">
        <v>9109909815</v>
      </c>
      <c r="G164" s="263" t="s">
        <v>1078</v>
      </c>
      <c r="H164" s="179" t="s">
        <v>354</v>
      </c>
      <c r="I164" s="131"/>
      <c r="J164" s="131" t="s">
        <v>716</v>
      </c>
      <c r="K164" s="131"/>
      <c r="L164" s="277"/>
      <c r="M164" s="265">
        <v>45786</v>
      </c>
      <c r="N164" s="265">
        <v>46117</v>
      </c>
      <c r="O164" s="179">
        <v>11</v>
      </c>
      <c r="P164" s="179"/>
      <c r="Q164" s="131" t="s">
        <v>195</v>
      </c>
      <c r="R164" s="179"/>
      <c r="S164" s="131" t="s">
        <v>1079</v>
      </c>
      <c r="T164" s="131"/>
      <c r="U164" s="131"/>
      <c r="V164" s="131"/>
      <c r="W164" s="131" t="s">
        <v>243</v>
      </c>
      <c r="X164" s="131"/>
    </row>
    <row r="165" spans="1:24" s="219" customFormat="1" ht="91.5">
      <c r="A165" s="131">
        <v>166</v>
      </c>
      <c r="B165" s="346"/>
      <c r="C165" s="131" t="s">
        <v>1080</v>
      </c>
      <c r="D165" s="131" t="s">
        <v>1081</v>
      </c>
      <c r="E165" s="132" t="s">
        <v>1082</v>
      </c>
      <c r="F165" s="263">
        <v>9368002158</v>
      </c>
      <c r="G165" s="263" t="s">
        <v>1083</v>
      </c>
      <c r="H165" s="179" t="s">
        <v>690</v>
      </c>
      <c r="I165" s="131"/>
      <c r="J165" s="131" t="s">
        <v>445</v>
      </c>
      <c r="K165" s="131"/>
      <c r="L165" s="277"/>
      <c r="M165" s="265">
        <v>45786</v>
      </c>
      <c r="N165" s="265">
        <v>46117</v>
      </c>
      <c r="O165" s="179">
        <v>11</v>
      </c>
      <c r="P165" s="179"/>
      <c r="Q165" s="131" t="s">
        <v>195</v>
      </c>
      <c r="R165" s="179"/>
      <c r="S165" s="131" t="s">
        <v>1084</v>
      </c>
      <c r="T165" s="131"/>
      <c r="U165" s="131"/>
      <c r="V165" s="131" t="s">
        <v>243</v>
      </c>
      <c r="W165" s="131" t="s">
        <v>243</v>
      </c>
      <c r="X165" s="131"/>
    </row>
    <row r="166" spans="1:24" s="161" customFormat="1" ht="30.75">
      <c r="A166" s="139">
        <v>167</v>
      </c>
      <c r="B166" s="143"/>
      <c r="C166" s="139"/>
      <c r="D166" s="133" t="s">
        <v>1085</v>
      </c>
      <c r="E166" s="145" t="s">
        <v>1086</v>
      </c>
      <c r="F166" s="154"/>
      <c r="G166" s="154"/>
      <c r="H166" s="139"/>
      <c r="I166" s="133"/>
      <c r="J166" s="133"/>
      <c r="K166" s="133"/>
      <c r="L166" s="180"/>
      <c r="M166" s="146"/>
      <c r="N166" s="146"/>
      <c r="O166" s="139"/>
      <c r="P166" s="139"/>
      <c r="Q166" s="133"/>
      <c r="R166" s="139"/>
      <c r="S166" s="133"/>
      <c r="T166" s="133"/>
      <c r="U166" s="133"/>
      <c r="V166" s="133"/>
      <c r="W166" s="133"/>
      <c r="X166" s="133"/>
    </row>
    <row r="167" spans="1:24" s="161" customFormat="1" ht="76.5">
      <c r="A167" s="139">
        <v>168</v>
      </c>
      <c r="B167" s="143"/>
      <c r="C167" s="139" t="s">
        <v>1087</v>
      </c>
      <c r="D167" s="133" t="s">
        <v>1088</v>
      </c>
      <c r="E167" s="145" t="s">
        <v>1089</v>
      </c>
      <c r="F167" s="154">
        <v>8143383116</v>
      </c>
      <c r="G167" s="154" t="s">
        <v>1090</v>
      </c>
      <c r="H167" s="139" t="s">
        <v>1091</v>
      </c>
      <c r="I167" s="133"/>
      <c r="J167" s="133" t="s">
        <v>1064</v>
      </c>
      <c r="K167" s="133"/>
      <c r="L167" s="180"/>
      <c r="M167" s="146">
        <v>45789</v>
      </c>
      <c r="N167" s="146">
        <v>46123</v>
      </c>
      <c r="O167" s="139">
        <v>11</v>
      </c>
      <c r="P167" s="139"/>
      <c r="Q167" s="133" t="s">
        <v>195</v>
      </c>
      <c r="R167" s="139"/>
      <c r="S167" s="133" t="s">
        <v>1092</v>
      </c>
      <c r="T167" s="133"/>
      <c r="U167" s="133"/>
      <c r="V167" s="133"/>
      <c r="W167" s="133"/>
      <c r="X167" s="133"/>
    </row>
    <row r="168" spans="1:24" s="219" customFormat="1" ht="76.5">
      <c r="A168" s="131">
        <v>169</v>
      </c>
      <c r="B168" s="346"/>
      <c r="C168" s="179" t="s">
        <v>1093</v>
      </c>
      <c r="D168" s="131" t="s">
        <v>1094</v>
      </c>
      <c r="E168" s="132" t="s">
        <v>1095</v>
      </c>
      <c r="F168" s="263">
        <v>9979972714</v>
      </c>
      <c r="G168" s="263" t="s">
        <v>1096</v>
      </c>
      <c r="H168" s="179" t="s">
        <v>248</v>
      </c>
      <c r="I168" s="131"/>
      <c r="J168" s="131" t="s">
        <v>1064</v>
      </c>
      <c r="K168" s="131"/>
      <c r="L168" s="277"/>
      <c r="M168" s="265">
        <v>45789</v>
      </c>
      <c r="N168" s="265">
        <v>46123</v>
      </c>
      <c r="O168" s="179">
        <v>11</v>
      </c>
      <c r="P168" s="179"/>
      <c r="Q168" s="131" t="s">
        <v>195</v>
      </c>
      <c r="R168" s="179"/>
      <c r="S168" s="131" t="s">
        <v>1097</v>
      </c>
      <c r="T168" s="131"/>
      <c r="U168" s="131"/>
      <c r="V168" s="131"/>
      <c r="W168" s="131" t="s">
        <v>243</v>
      </c>
      <c r="X168" s="131"/>
    </row>
    <row r="169" spans="1:24" s="219" customFormat="1" ht="91.5">
      <c r="A169" s="131">
        <v>170</v>
      </c>
      <c r="B169" s="346"/>
      <c r="C169" s="131" t="s">
        <v>1098</v>
      </c>
      <c r="D169" s="131" t="s">
        <v>1099</v>
      </c>
      <c r="E169" s="132" t="s">
        <v>1100</v>
      </c>
      <c r="F169" s="263">
        <v>9115659591</v>
      </c>
      <c r="G169" s="263" t="s">
        <v>1101</v>
      </c>
      <c r="H169" s="179" t="s">
        <v>1102</v>
      </c>
      <c r="I169" s="131"/>
      <c r="J169" s="131" t="s">
        <v>1064</v>
      </c>
      <c r="K169" s="131"/>
      <c r="L169" s="277"/>
      <c r="M169" s="265">
        <v>45791</v>
      </c>
      <c r="N169" s="265">
        <v>46125</v>
      </c>
      <c r="O169" s="179">
        <v>11</v>
      </c>
      <c r="P169" s="179"/>
      <c r="Q169" s="131" t="s">
        <v>195</v>
      </c>
      <c r="R169" s="179"/>
      <c r="S169" s="131" t="s">
        <v>1103</v>
      </c>
      <c r="T169" s="131"/>
      <c r="U169" s="131"/>
      <c r="V169" s="131"/>
      <c r="W169" s="131" t="s">
        <v>243</v>
      </c>
      <c r="X169" s="131"/>
    </row>
    <row r="170" spans="1:24" s="161" customFormat="1" ht="91.5">
      <c r="A170" s="139">
        <v>171</v>
      </c>
      <c r="B170" s="139"/>
      <c r="C170" s="139" t="s">
        <v>1104</v>
      </c>
      <c r="D170" s="133" t="s">
        <v>1105</v>
      </c>
      <c r="E170" s="145" t="s">
        <v>1106</v>
      </c>
      <c r="F170" s="154">
        <v>9662501316</v>
      </c>
      <c r="G170" s="154" t="s">
        <v>1107</v>
      </c>
      <c r="H170" s="139" t="s">
        <v>194</v>
      </c>
      <c r="I170" s="133"/>
      <c r="J170" s="133" t="s">
        <v>1108</v>
      </c>
      <c r="K170" s="133"/>
      <c r="L170" s="180"/>
      <c r="M170" s="146">
        <v>45791</v>
      </c>
      <c r="N170" s="146">
        <v>46125</v>
      </c>
      <c r="O170" s="139">
        <v>11</v>
      </c>
      <c r="P170" s="139"/>
      <c r="Q170" s="133" t="s">
        <v>195</v>
      </c>
      <c r="R170" s="139"/>
      <c r="S170" s="133" t="s">
        <v>1109</v>
      </c>
      <c r="T170" s="133"/>
      <c r="U170" s="133"/>
      <c r="V170" s="133"/>
      <c r="W170" s="133"/>
      <c r="X170" s="133"/>
    </row>
    <row r="171" spans="1:24" s="161" customFormat="1" ht="76.5">
      <c r="A171" s="139">
        <v>172</v>
      </c>
      <c r="B171" s="139"/>
      <c r="C171" s="139" t="s">
        <v>1110</v>
      </c>
      <c r="D171" s="133" t="s">
        <v>1111</v>
      </c>
      <c r="E171" s="145" t="s">
        <v>1112</v>
      </c>
      <c r="F171" s="154" t="s">
        <v>1113</v>
      </c>
      <c r="G171" s="154" t="s">
        <v>1113</v>
      </c>
      <c r="H171" s="139" t="s">
        <v>261</v>
      </c>
      <c r="I171" s="133"/>
      <c r="J171" s="133"/>
      <c r="K171" s="133"/>
      <c r="L171" s="180"/>
      <c r="M171" s="146">
        <v>45791</v>
      </c>
      <c r="N171" s="146">
        <v>46125</v>
      </c>
      <c r="O171" s="139">
        <v>11</v>
      </c>
      <c r="P171" s="139"/>
      <c r="Q171" s="133" t="s">
        <v>195</v>
      </c>
      <c r="R171" s="139"/>
      <c r="S171" s="133" t="s">
        <v>1114</v>
      </c>
      <c r="T171" s="133"/>
      <c r="U171" s="133"/>
      <c r="V171" s="133"/>
      <c r="W171" s="133"/>
      <c r="X171" s="133"/>
    </row>
    <row r="172" spans="1:24" s="161" customFormat="1" ht="106.5">
      <c r="A172" s="133">
        <v>173</v>
      </c>
      <c r="B172" s="139"/>
      <c r="C172" s="139" t="s">
        <v>1115</v>
      </c>
      <c r="D172" s="133" t="s">
        <v>1116</v>
      </c>
      <c r="E172" s="145" t="s">
        <v>1117</v>
      </c>
      <c r="F172" s="154">
        <v>9618105305</v>
      </c>
      <c r="G172" s="154" t="s">
        <v>1118</v>
      </c>
      <c r="H172" s="139" t="s">
        <v>395</v>
      </c>
      <c r="I172" s="133"/>
      <c r="J172" s="133" t="s">
        <v>1064</v>
      </c>
      <c r="K172" s="133"/>
      <c r="L172" s="180"/>
      <c r="M172" s="146">
        <v>45792</v>
      </c>
      <c r="N172" s="146">
        <v>46126</v>
      </c>
      <c r="O172" s="139">
        <v>11</v>
      </c>
      <c r="P172" s="139"/>
      <c r="Q172" s="133" t="s">
        <v>195</v>
      </c>
      <c r="R172" s="139"/>
      <c r="S172" s="133" t="s">
        <v>1119</v>
      </c>
      <c r="T172" s="133"/>
      <c r="U172" s="133"/>
      <c r="V172" s="133"/>
      <c r="W172" s="133"/>
      <c r="X172" s="133"/>
    </row>
    <row r="173" spans="1:24" s="161" customFormat="1" ht="76.5">
      <c r="A173" s="133">
        <v>174</v>
      </c>
      <c r="B173" s="139"/>
      <c r="C173" s="139" t="s">
        <v>1120</v>
      </c>
      <c r="D173" s="133" t="s">
        <v>1121</v>
      </c>
      <c r="E173" s="145" t="s">
        <v>1122</v>
      </c>
      <c r="F173" s="154">
        <v>9537770805</v>
      </c>
      <c r="G173" s="154" t="s">
        <v>1123</v>
      </c>
      <c r="H173" s="139" t="s">
        <v>1124</v>
      </c>
      <c r="I173" s="133"/>
      <c r="J173" s="133" t="s">
        <v>1064</v>
      </c>
      <c r="K173" s="133"/>
      <c r="L173" s="180"/>
      <c r="M173" s="146">
        <v>45794</v>
      </c>
      <c r="N173" s="146">
        <v>46128</v>
      </c>
      <c r="O173" s="139">
        <v>11</v>
      </c>
      <c r="P173" s="139"/>
      <c r="Q173" s="133" t="s">
        <v>195</v>
      </c>
      <c r="R173" s="139"/>
      <c r="S173" s="133" t="s">
        <v>1125</v>
      </c>
      <c r="T173" s="133"/>
      <c r="U173" s="133"/>
      <c r="V173" s="133"/>
      <c r="W173" s="133"/>
      <c r="X173" s="133"/>
    </row>
    <row r="174" spans="1:24" s="219" customFormat="1" ht="76.5">
      <c r="A174" s="179">
        <v>175</v>
      </c>
      <c r="B174" s="179"/>
      <c r="C174" s="179" t="s">
        <v>1126</v>
      </c>
      <c r="D174" s="131" t="s">
        <v>1127</v>
      </c>
      <c r="E174" s="132" t="s">
        <v>1128</v>
      </c>
      <c r="F174" s="263">
        <v>8374420467</v>
      </c>
      <c r="G174" s="263" t="s">
        <v>1129</v>
      </c>
      <c r="H174" s="179" t="s">
        <v>618</v>
      </c>
      <c r="I174" s="131"/>
      <c r="J174" s="131" t="s">
        <v>1108</v>
      </c>
      <c r="K174" s="131"/>
      <c r="L174" s="277"/>
      <c r="M174" s="265">
        <v>45797</v>
      </c>
      <c r="N174" s="265">
        <v>46131</v>
      </c>
      <c r="O174" s="179">
        <v>11</v>
      </c>
      <c r="P174" s="179"/>
      <c r="Q174" s="131" t="s">
        <v>195</v>
      </c>
      <c r="R174" s="179"/>
      <c r="S174" s="131" t="s">
        <v>1130</v>
      </c>
      <c r="T174" s="131"/>
      <c r="U174" s="131"/>
      <c r="V174" s="131"/>
      <c r="W174" s="131" t="s">
        <v>1131</v>
      </c>
      <c r="X174" s="131"/>
    </row>
    <row r="175" spans="1:24" s="161" customFormat="1" ht="45.75">
      <c r="A175" s="139">
        <v>176</v>
      </c>
      <c r="B175" s="139"/>
      <c r="C175" s="139"/>
      <c r="D175" s="133" t="s">
        <v>1132</v>
      </c>
      <c r="E175" s="145" t="s">
        <v>1086</v>
      </c>
      <c r="F175" s="141"/>
      <c r="G175" s="154"/>
      <c r="H175" s="139"/>
      <c r="I175" s="133"/>
      <c r="J175" s="133"/>
      <c r="K175" s="133"/>
      <c r="L175" s="180"/>
      <c r="M175" s="146"/>
      <c r="N175" s="146"/>
      <c r="O175" s="139"/>
      <c r="P175" s="139"/>
      <c r="Q175" s="133" t="s">
        <v>176</v>
      </c>
      <c r="R175" s="139"/>
      <c r="S175" s="133"/>
      <c r="T175" s="133"/>
      <c r="U175" s="133"/>
      <c r="V175" s="133"/>
      <c r="W175" s="133"/>
      <c r="X175" s="133"/>
    </row>
    <row r="176" spans="1:24" s="161" customFormat="1" ht="76.5">
      <c r="A176" s="133">
        <v>177</v>
      </c>
      <c r="B176" s="139"/>
      <c r="C176" s="139" t="s">
        <v>1133</v>
      </c>
      <c r="D176" s="133" t="s">
        <v>1134</v>
      </c>
      <c r="E176" s="145" t="s">
        <v>1135</v>
      </c>
      <c r="F176" s="154">
        <v>9820294043</v>
      </c>
      <c r="G176" s="154" t="s">
        <v>1136</v>
      </c>
      <c r="H176" s="139" t="s">
        <v>365</v>
      </c>
      <c r="I176" s="133"/>
      <c r="J176" s="133" t="s">
        <v>1064</v>
      </c>
      <c r="K176" s="133"/>
      <c r="L176" s="180"/>
      <c r="M176" s="146">
        <v>45799</v>
      </c>
      <c r="N176" s="146">
        <v>46133</v>
      </c>
      <c r="O176" s="139">
        <v>11</v>
      </c>
      <c r="P176" s="139"/>
      <c r="Q176" s="133" t="s">
        <v>195</v>
      </c>
      <c r="R176" s="139"/>
      <c r="S176" s="133" t="s">
        <v>1137</v>
      </c>
      <c r="T176" s="133"/>
      <c r="U176" s="133"/>
      <c r="V176" s="133"/>
      <c r="W176" s="133"/>
      <c r="X176" s="133"/>
    </row>
    <row r="177" spans="1:24" s="219" customFormat="1" ht="106.5">
      <c r="A177" s="131">
        <v>178</v>
      </c>
      <c r="B177" s="179"/>
      <c r="C177" s="179" t="s">
        <v>1138</v>
      </c>
      <c r="D177" s="131" t="s">
        <v>1139</v>
      </c>
      <c r="E177" s="132" t="s">
        <v>1140</v>
      </c>
      <c r="F177" s="263">
        <v>9845074831</v>
      </c>
      <c r="G177" s="263" t="s">
        <v>1141</v>
      </c>
      <c r="H177" s="179" t="s">
        <v>416</v>
      </c>
      <c r="I177" s="131"/>
      <c r="J177" s="131" t="s">
        <v>445</v>
      </c>
      <c r="K177" s="131"/>
      <c r="L177" s="277"/>
      <c r="M177" s="265">
        <v>45799</v>
      </c>
      <c r="N177" s="265">
        <v>46133</v>
      </c>
      <c r="O177" s="179">
        <v>11</v>
      </c>
      <c r="P177" s="179"/>
      <c r="Q177" s="131" t="s">
        <v>195</v>
      </c>
      <c r="R177" s="179"/>
      <c r="S177" s="131" t="s">
        <v>1142</v>
      </c>
      <c r="T177" s="131"/>
      <c r="U177" s="131"/>
      <c r="V177" s="131"/>
      <c r="W177" s="131" t="s">
        <v>1131</v>
      </c>
      <c r="X177" s="131"/>
    </row>
    <row r="178" spans="1:24" s="219" customFormat="1" ht="106.5">
      <c r="A178" s="179">
        <v>179</v>
      </c>
      <c r="B178" s="179"/>
      <c r="C178" s="179" t="s">
        <v>1143</v>
      </c>
      <c r="D178" s="131" t="s">
        <v>1144</v>
      </c>
      <c r="E178" s="132" t="s">
        <v>1145</v>
      </c>
      <c r="F178" s="263">
        <v>9321566606</v>
      </c>
      <c r="G178" s="263" t="s">
        <v>1146</v>
      </c>
      <c r="H178" s="179" t="s">
        <v>354</v>
      </c>
      <c r="I178" s="131"/>
      <c r="J178" s="131" t="s">
        <v>1064</v>
      </c>
      <c r="K178" s="131"/>
      <c r="L178" s="277"/>
      <c r="M178" s="265">
        <v>45799</v>
      </c>
      <c r="N178" s="265">
        <v>46133</v>
      </c>
      <c r="O178" s="179">
        <v>11</v>
      </c>
      <c r="P178" s="179"/>
      <c r="Q178" s="131" t="s">
        <v>195</v>
      </c>
      <c r="R178" s="179"/>
      <c r="S178" s="131" t="s">
        <v>1147</v>
      </c>
      <c r="T178" s="131"/>
      <c r="U178" s="131"/>
      <c r="V178" s="131" t="s">
        <v>243</v>
      </c>
      <c r="W178" s="131" t="s">
        <v>243</v>
      </c>
      <c r="X178" s="131"/>
    </row>
    <row r="179" spans="1:24" s="161" customFormat="1" ht="91.5">
      <c r="A179" s="139">
        <v>180</v>
      </c>
      <c r="B179" s="139"/>
      <c r="C179" s="139" t="s">
        <v>1148</v>
      </c>
      <c r="D179" s="133" t="s">
        <v>1149</v>
      </c>
      <c r="E179" s="145" t="s">
        <v>1150</v>
      </c>
      <c r="F179" s="154">
        <v>9814522112</v>
      </c>
      <c r="G179" s="154" t="s">
        <v>1151</v>
      </c>
      <c r="H179" s="139" t="s">
        <v>684</v>
      </c>
      <c r="I179" s="133"/>
      <c r="J179" s="133" t="s">
        <v>1064</v>
      </c>
      <c r="K179" s="133"/>
      <c r="L179" s="180"/>
      <c r="M179" s="146">
        <v>45799</v>
      </c>
      <c r="N179" s="146">
        <v>46133</v>
      </c>
      <c r="O179" s="139">
        <v>11</v>
      </c>
      <c r="P179" s="139"/>
      <c r="Q179" s="133" t="s">
        <v>195</v>
      </c>
      <c r="R179" s="139"/>
      <c r="S179" s="133" t="s">
        <v>1152</v>
      </c>
      <c r="T179" s="133"/>
      <c r="U179" s="133"/>
      <c r="V179" s="133"/>
      <c r="W179" s="133"/>
      <c r="X179" s="133"/>
    </row>
    <row r="180" spans="1:24" s="161" customFormat="1" ht="106.5">
      <c r="A180" s="133">
        <v>181</v>
      </c>
      <c r="B180" s="139"/>
      <c r="C180" s="139" t="s">
        <v>1153</v>
      </c>
      <c r="D180" s="133" t="s">
        <v>1154</v>
      </c>
      <c r="E180" s="145" t="s">
        <v>1155</v>
      </c>
      <c r="F180" s="154" t="s">
        <v>1156</v>
      </c>
      <c r="G180" s="154" t="s">
        <v>1157</v>
      </c>
      <c r="H180" s="139" t="s">
        <v>348</v>
      </c>
      <c r="I180" s="133"/>
      <c r="J180" s="133" t="s">
        <v>794</v>
      </c>
      <c r="K180" s="133"/>
      <c r="L180" s="180"/>
      <c r="M180" s="146">
        <v>45800</v>
      </c>
      <c r="N180" s="146">
        <v>46134</v>
      </c>
      <c r="O180" s="139">
        <v>11</v>
      </c>
      <c r="P180" s="139"/>
      <c r="Q180" s="133" t="s">
        <v>195</v>
      </c>
      <c r="R180" s="139"/>
      <c r="S180" s="133" t="s">
        <v>1158</v>
      </c>
      <c r="T180" s="133"/>
      <c r="U180" s="133"/>
      <c r="V180" s="133"/>
      <c r="W180" s="133"/>
      <c r="X180" s="133"/>
    </row>
    <row r="181" spans="1:24" s="219" customFormat="1" ht="91.5">
      <c r="A181" s="131">
        <v>182</v>
      </c>
      <c r="B181" s="179"/>
      <c r="C181" s="179" t="s">
        <v>1159</v>
      </c>
      <c r="D181" s="131" t="s">
        <v>1160</v>
      </c>
      <c r="E181" s="132" t="s">
        <v>1161</v>
      </c>
      <c r="F181" s="263">
        <v>9482850902</v>
      </c>
      <c r="G181" s="263" t="s">
        <v>1162</v>
      </c>
      <c r="H181" s="179" t="s">
        <v>1163</v>
      </c>
      <c r="I181" s="131"/>
      <c r="J181" s="131" t="s">
        <v>716</v>
      </c>
      <c r="K181" s="131"/>
      <c r="L181" s="277"/>
      <c r="M181" s="265">
        <v>45804</v>
      </c>
      <c r="N181" s="265">
        <v>46138</v>
      </c>
      <c r="O181" s="179">
        <v>11</v>
      </c>
      <c r="P181" s="179"/>
      <c r="Q181" s="131" t="s">
        <v>176</v>
      </c>
      <c r="R181" s="179"/>
      <c r="S181" s="131" t="s">
        <v>1164</v>
      </c>
      <c r="T181" s="131"/>
      <c r="U181" s="131"/>
      <c r="V181" s="131"/>
      <c r="W181" s="131" t="s">
        <v>1131</v>
      </c>
      <c r="X181" s="131"/>
    </row>
    <row r="182" spans="1:24" s="219" customFormat="1" ht="60.75">
      <c r="A182" s="179">
        <v>183</v>
      </c>
      <c r="B182" s="179"/>
      <c r="C182" s="179" t="s">
        <v>1165</v>
      </c>
      <c r="D182" s="131" t="s">
        <v>1166</v>
      </c>
      <c r="E182" s="132" t="s">
        <v>1167</v>
      </c>
      <c r="F182" s="263">
        <v>9927134466</v>
      </c>
      <c r="G182" s="263" t="s">
        <v>1168</v>
      </c>
      <c r="H182" s="179" t="s">
        <v>241</v>
      </c>
      <c r="I182" s="131"/>
      <c r="J182" s="131" t="s">
        <v>1064</v>
      </c>
      <c r="K182" s="131"/>
      <c r="L182" s="277"/>
      <c r="M182" s="265">
        <v>45804</v>
      </c>
      <c r="N182" s="265">
        <v>46138</v>
      </c>
      <c r="O182" s="179">
        <v>11</v>
      </c>
      <c r="P182" s="179"/>
      <c r="Q182" s="131" t="s">
        <v>176</v>
      </c>
      <c r="R182" s="179" t="s">
        <v>177</v>
      </c>
      <c r="S182" s="131" t="s">
        <v>1169</v>
      </c>
      <c r="T182" s="131"/>
      <c r="U182" s="131"/>
      <c r="V182" s="131"/>
      <c r="W182" s="131" t="s">
        <v>243</v>
      </c>
      <c r="X182" s="131"/>
    </row>
    <row r="183" spans="1:24" s="161" customFormat="1" ht="76.5">
      <c r="A183" s="139">
        <v>184</v>
      </c>
      <c r="B183" s="139"/>
      <c r="C183" s="139" t="s">
        <v>1170</v>
      </c>
      <c r="D183" s="133" t="s">
        <v>1171</v>
      </c>
      <c r="E183" s="145" t="s">
        <v>1172</v>
      </c>
      <c r="F183" s="154">
        <v>9999628070</v>
      </c>
      <c r="G183" s="154" t="s">
        <v>1173</v>
      </c>
      <c r="H183" s="139" t="s">
        <v>241</v>
      </c>
      <c r="I183" s="133"/>
      <c r="J183" s="133" t="s">
        <v>1064</v>
      </c>
      <c r="K183" s="133"/>
      <c r="L183" s="180"/>
      <c r="M183" s="146">
        <v>45804</v>
      </c>
      <c r="N183" s="146">
        <v>46138</v>
      </c>
      <c r="O183" s="139">
        <v>11</v>
      </c>
      <c r="P183" s="139"/>
      <c r="Q183" s="133" t="s">
        <v>195</v>
      </c>
      <c r="R183" s="139"/>
      <c r="S183" s="133" t="s">
        <v>1174</v>
      </c>
      <c r="T183" s="133"/>
      <c r="U183" s="133"/>
      <c r="V183" s="133"/>
      <c r="W183" s="133"/>
      <c r="X183" s="133"/>
    </row>
    <row r="184" spans="1:24" s="161" customFormat="1" ht="76.5">
      <c r="A184" s="133">
        <v>185</v>
      </c>
      <c r="B184" s="139"/>
      <c r="C184" s="139" t="s">
        <v>1175</v>
      </c>
      <c r="D184" s="133" t="s">
        <v>1176</v>
      </c>
      <c r="E184" s="145" t="s">
        <v>1177</v>
      </c>
      <c r="F184" s="154">
        <v>9321828605</v>
      </c>
      <c r="G184" s="154" t="s">
        <v>1178</v>
      </c>
      <c r="H184" s="139" t="s">
        <v>529</v>
      </c>
      <c r="I184" s="133"/>
      <c r="J184" s="133" t="s">
        <v>1064</v>
      </c>
      <c r="K184" s="133"/>
      <c r="L184" s="180"/>
      <c r="M184" s="146">
        <v>45804</v>
      </c>
      <c r="N184" s="146">
        <v>46138</v>
      </c>
      <c r="O184" s="139">
        <v>11</v>
      </c>
      <c r="P184" s="139"/>
      <c r="Q184" s="133" t="s">
        <v>195</v>
      </c>
      <c r="R184" s="139"/>
      <c r="S184" s="133" t="s">
        <v>1179</v>
      </c>
      <c r="T184" s="133"/>
      <c r="U184" s="133"/>
      <c r="V184" s="133"/>
      <c r="W184" s="133"/>
      <c r="X184" s="133"/>
    </row>
    <row r="185" spans="1:24" s="219" customFormat="1" ht="106.5">
      <c r="A185" s="131">
        <v>186</v>
      </c>
      <c r="B185" s="179"/>
      <c r="C185" s="179" t="s">
        <v>1180</v>
      </c>
      <c r="D185" s="131" t="s">
        <v>1181</v>
      </c>
      <c r="E185" s="132" t="s">
        <v>1182</v>
      </c>
      <c r="F185" s="263">
        <v>9821128660</v>
      </c>
      <c r="G185" s="263" t="s">
        <v>1183</v>
      </c>
      <c r="H185" s="179" t="s">
        <v>354</v>
      </c>
      <c r="I185" s="131"/>
      <c r="J185" s="131" t="s">
        <v>1064</v>
      </c>
      <c r="K185" s="131"/>
      <c r="L185" s="277"/>
      <c r="M185" s="265">
        <v>45805</v>
      </c>
      <c r="N185" s="265">
        <v>46139</v>
      </c>
      <c r="O185" s="179">
        <v>11</v>
      </c>
      <c r="P185" s="179"/>
      <c r="Q185" s="131" t="s">
        <v>195</v>
      </c>
      <c r="R185" s="179"/>
      <c r="S185" s="131" t="s">
        <v>1184</v>
      </c>
      <c r="T185" s="131"/>
      <c r="U185" s="131"/>
      <c r="V185" s="131"/>
      <c r="W185" s="131" t="s">
        <v>243</v>
      </c>
      <c r="X185" s="131"/>
    </row>
    <row r="186" spans="1:24" s="161" customFormat="1" ht="106.5">
      <c r="A186" s="139">
        <v>187</v>
      </c>
      <c r="B186" s="139"/>
      <c r="C186" s="139" t="s">
        <v>1185</v>
      </c>
      <c r="D186" s="133" t="s">
        <v>1186</v>
      </c>
      <c r="E186" s="145" t="s">
        <v>1187</v>
      </c>
      <c r="F186" s="154">
        <v>8885033421</v>
      </c>
      <c r="G186" s="154" t="s">
        <v>1188</v>
      </c>
      <c r="H186" s="139" t="s">
        <v>690</v>
      </c>
      <c r="I186" s="133"/>
      <c r="J186" s="133" t="s">
        <v>1064</v>
      </c>
      <c r="K186" s="133"/>
      <c r="L186" s="180"/>
      <c r="M186" s="146">
        <v>45805</v>
      </c>
      <c r="N186" s="146">
        <v>46139</v>
      </c>
      <c r="O186" s="139">
        <v>11</v>
      </c>
      <c r="P186" s="139"/>
      <c r="Q186" s="133" t="s">
        <v>195</v>
      </c>
      <c r="R186" s="139"/>
      <c r="S186" s="133" t="s">
        <v>1189</v>
      </c>
      <c r="T186" s="133"/>
      <c r="U186" s="133"/>
      <c r="V186" s="133"/>
      <c r="W186" s="133"/>
      <c r="X186" s="133"/>
    </row>
    <row r="187" spans="1:24" s="219" customFormat="1" ht="137.25">
      <c r="A187" s="179">
        <v>188</v>
      </c>
      <c r="B187" s="179"/>
      <c r="C187" s="131" t="s">
        <v>1190</v>
      </c>
      <c r="D187" s="131" t="s">
        <v>1191</v>
      </c>
      <c r="E187" s="132" t="s">
        <v>1192</v>
      </c>
      <c r="F187" s="263" t="s">
        <v>1193</v>
      </c>
      <c r="G187" s="263" t="s">
        <v>1194</v>
      </c>
      <c r="H187" s="179" t="s">
        <v>492</v>
      </c>
      <c r="I187" s="131"/>
      <c r="J187" s="131" t="s">
        <v>1195</v>
      </c>
      <c r="K187" s="131"/>
      <c r="L187" s="277"/>
      <c r="M187" s="265">
        <v>45805</v>
      </c>
      <c r="N187" s="265">
        <v>46139</v>
      </c>
      <c r="O187" s="179">
        <v>11</v>
      </c>
      <c r="P187" s="179"/>
      <c r="Q187" s="131" t="s">
        <v>195</v>
      </c>
      <c r="R187" s="179"/>
      <c r="S187" s="131" t="s">
        <v>1196</v>
      </c>
      <c r="T187" s="131"/>
      <c r="U187" s="131"/>
      <c r="V187" s="131"/>
      <c r="W187" s="131" t="s">
        <v>243</v>
      </c>
      <c r="X187" s="131"/>
    </row>
    <row r="188" spans="1:24" s="161" customFormat="1" ht="45.75">
      <c r="A188" s="133">
        <v>189</v>
      </c>
      <c r="B188" s="139"/>
      <c r="C188" s="139"/>
      <c r="D188" s="133" t="s">
        <v>1197</v>
      </c>
      <c r="E188" s="145" t="s">
        <v>1086</v>
      </c>
      <c r="F188" s="154"/>
      <c r="G188" s="154"/>
      <c r="H188" s="139"/>
      <c r="I188" s="133"/>
      <c r="J188" s="133" t="s">
        <v>716</v>
      </c>
      <c r="K188" s="133"/>
      <c r="L188" s="180"/>
      <c r="M188" s="146">
        <v>45805</v>
      </c>
      <c r="N188" s="146">
        <v>46139</v>
      </c>
      <c r="O188" s="139">
        <v>11</v>
      </c>
      <c r="P188" s="139"/>
      <c r="Q188" s="133"/>
      <c r="R188" s="139"/>
      <c r="S188" s="133"/>
      <c r="T188" s="133"/>
      <c r="U188" s="133"/>
      <c r="V188" s="133"/>
      <c r="W188" s="133"/>
      <c r="X188" s="133"/>
    </row>
    <row r="189" spans="1:24" s="161" customFormat="1" ht="76.5">
      <c r="A189" s="133">
        <v>190</v>
      </c>
      <c r="B189" s="139"/>
      <c r="C189" s="133" t="s">
        <v>1198</v>
      </c>
      <c r="D189" s="133" t="s">
        <v>1199</v>
      </c>
      <c r="E189" s="145" t="s">
        <v>1200</v>
      </c>
      <c r="F189" s="154" t="s">
        <v>1201</v>
      </c>
      <c r="G189" s="154" t="s">
        <v>1202</v>
      </c>
      <c r="H189" s="139" t="s">
        <v>202</v>
      </c>
      <c r="I189" s="133"/>
      <c r="J189" s="133" t="s">
        <v>794</v>
      </c>
      <c r="K189" s="133"/>
      <c r="L189" s="180"/>
      <c r="M189" s="146">
        <v>45806</v>
      </c>
      <c r="N189" s="146">
        <v>46140</v>
      </c>
      <c r="O189" s="139">
        <v>11</v>
      </c>
      <c r="P189" s="139"/>
      <c r="Q189" s="133" t="s">
        <v>176</v>
      </c>
      <c r="R189" s="139"/>
      <c r="S189" s="133" t="s">
        <v>1203</v>
      </c>
      <c r="T189" s="133"/>
      <c r="U189" s="133"/>
      <c r="V189" s="133"/>
      <c r="W189" s="133"/>
      <c r="X189" s="133"/>
    </row>
    <row r="190" spans="1:24" s="219" customFormat="1" ht="76.5">
      <c r="A190" s="179">
        <v>191</v>
      </c>
      <c r="B190" s="179"/>
      <c r="C190" s="179" t="s">
        <v>1204</v>
      </c>
      <c r="D190" s="131" t="s">
        <v>1205</v>
      </c>
      <c r="E190" s="132" t="s">
        <v>1206</v>
      </c>
      <c r="F190" s="263">
        <v>9958171888</v>
      </c>
      <c r="G190" s="263" t="s">
        <v>1207</v>
      </c>
      <c r="H190" s="179" t="s">
        <v>388</v>
      </c>
      <c r="I190" s="131"/>
      <c r="J190" s="131" t="s">
        <v>445</v>
      </c>
      <c r="K190" s="131"/>
      <c r="L190" s="277"/>
      <c r="M190" s="265">
        <v>45808</v>
      </c>
      <c r="N190" s="265">
        <v>45777</v>
      </c>
      <c r="O190" s="179">
        <v>11</v>
      </c>
      <c r="P190" s="179"/>
      <c r="Q190" s="131" t="s">
        <v>195</v>
      </c>
      <c r="R190" s="179"/>
      <c r="S190" s="131" t="s">
        <v>1208</v>
      </c>
      <c r="T190" s="131"/>
      <c r="U190" s="131"/>
      <c r="V190" s="131"/>
      <c r="W190" s="131" t="s">
        <v>243</v>
      </c>
      <c r="X190" s="131"/>
    </row>
    <row r="191" spans="1:24" s="161" customFormat="1" ht="76.5">
      <c r="A191" s="139">
        <v>192</v>
      </c>
      <c r="B191" s="139"/>
      <c r="C191" s="139" t="s">
        <v>1209</v>
      </c>
      <c r="D191" s="133" t="s">
        <v>1210</v>
      </c>
      <c r="E191" s="145" t="s">
        <v>1211</v>
      </c>
      <c r="F191" s="154">
        <v>7011343708</v>
      </c>
      <c r="G191" s="154" t="s">
        <v>1212</v>
      </c>
      <c r="H191" s="139" t="s">
        <v>388</v>
      </c>
      <c r="I191" s="133"/>
      <c r="J191" s="133" t="s">
        <v>445</v>
      </c>
      <c r="K191" s="133"/>
      <c r="L191" s="180"/>
      <c r="M191" s="146">
        <v>45808</v>
      </c>
      <c r="N191" s="146">
        <v>45777</v>
      </c>
      <c r="O191" s="139">
        <v>11</v>
      </c>
      <c r="P191" s="139"/>
      <c r="Q191" s="133" t="s">
        <v>195</v>
      </c>
      <c r="R191" s="139"/>
      <c r="S191" s="133" t="s">
        <v>1213</v>
      </c>
      <c r="T191" s="133"/>
      <c r="U191" s="133"/>
      <c r="V191" s="133"/>
      <c r="W191" s="133"/>
      <c r="X191" s="133"/>
    </row>
    <row r="192" spans="1:24" s="219" customFormat="1" ht="76.5">
      <c r="A192" s="131">
        <v>193</v>
      </c>
      <c r="B192" s="179"/>
      <c r="C192" s="179" t="s">
        <v>1214</v>
      </c>
      <c r="D192" s="131" t="s">
        <v>1215</v>
      </c>
      <c r="E192" s="132" t="s">
        <v>1216</v>
      </c>
      <c r="F192" s="263" t="s">
        <v>1217</v>
      </c>
      <c r="G192" s="263" t="s">
        <v>1218</v>
      </c>
      <c r="H192" s="179" t="s">
        <v>248</v>
      </c>
      <c r="I192" s="131"/>
      <c r="J192" s="131" t="s">
        <v>1195</v>
      </c>
      <c r="K192" s="131"/>
      <c r="L192" s="277"/>
      <c r="M192" s="265">
        <v>45808</v>
      </c>
      <c r="N192" s="265">
        <v>45777</v>
      </c>
      <c r="O192" s="179">
        <v>11</v>
      </c>
      <c r="P192" s="179"/>
      <c r="Q192" s="131" t="s">
        <v>176</v>
      </c>
      <c r="R192" s="179"/>
      <c r="S192" s="131" t="s">
        <v>1219</v>
      </c>
      <c r="T192" s="131"/>
      <c r="U192" s="131"/>
      <c r="V192" s="131"/>
      <c r="W192" s="131" t="s">
        <v>243</v>
      </c>
      <c r="X192" s="131"/>
    </row>
    <row r="193" spans="1:24" s="219" customFormat="1" ht="91.5">
      <c r="A193" s="131">
        <v>194</v>
      </c>
      <c r="B193" s="179"/>
      <c r="C193" s="179" t="s">
        <v>1220</v>
      </c>
      <c r="D193" s="131" t="s">
        <v>1221</v>
      </c>
      <c r="E193" s="132" t="s">
        <v>1222</v>
      </c>
      <c r="F193" s="263">
        <v>9656972604</v>
      </c>
      <c r="G193" s="263" t="s">
        <v>1223</v>
      </c>
      <c r="H193" s="179" t="s">
        <v>202</v>
      </c>
      <c r="I193" s="131"/>
      <c r="J193" s="131" t="s">
        <v>1108</v>
      </c>
      <c r="K193" s="131"/>
      <c r="L193" s="277"/>
      <c r="M193" s="265">
        <v>45810</v>
      </c>
      <c r="N193" s="265">
        <v>46143</v>
      </c>
      <c r="O193" s="179">
        <v>11</v>
      </c>
      <c r="P193" s="179"/>
      <c r="Q193" s="131" t="s">
        <v>176</v>
      </c>
      <c r="R193" s="179"/>
      <c r="S193" s="131" t="s">
        <v>1224</v>
      </c>
      <c r="T193" s="131"/>
      <c r="U193" s="131"/>
      <c r="V193" s="131"/>
      <c r="W193" s="131" t="s">
        <v>1131</v>
      </c>
      <c r="X193" s="131"/>
    </row>
    <row r="194" spans="1:24" s="161" customFormat="1" ht="76.5">
      <c r="A194" s="139">
        <v>195</v>
      </c>
      <c r="B194" s="139"/>
      <c r="C194" s="139" t="s">
        <v>1225</v>
      </c>
      <c r="D194" s="133" t="s">
        <v>1226</v>
      </c>
      <c r="E194" s="145" t="s">
        <v>1227</v>
      </c>
      <c r="F194" s="154">
        <v>8376813991</v>
      </c>
      <c r="G194" s="154" t="s">
        <v>1228</v>
      </c>
      <c r="H194" s="139" t="s">
        <v>194</v>
      </c>
      <c r="I194" s="133"/>
      <c r="J194" s="133" t="s">
        <v>445</v>
      </c>
      <c r="K194" s="133"/>
      <c r="L194" s="180"/>
      <c r="M194" s="146">
        <v>45810</v>
      </c>
      <c r="N194" s="146">
        <v>46143</v>
      </c>
      <c r="O194" s="139">
        <v>11</v>
      </c>
      <c r="P194" s="139"/>
      <c r="Q194" s="133" t="s">
        <v>195</v>
      </c>
      <c r="R194" s="139"/>
      <c r="S194" s="133" t="s">
        <v>1229</v>
      </c>
      <c r="T194" s="133"/>
      <c r="U194" s="133"/>
      <c r="V194" s="133"/>
      <c r="W194" s="133"/>
      <c r="X194" s="133"/>
    </row>
    <row r="195" spans="1:24" s="161" customFormat="1" ht="91.5">
      <c r="A195" s="139">
        <v>196</v>
      </c>
      <c r="B195" s="139"/>
      <c r="C195" s="139" t="s">
        <v>1230</v>
      </c>
      <c r="D195" s="133" t="s">
        <v>1231</v>
      </c>
      <c r="E195" s="145" t="s">
        <v>1232</v>
      </c>
      <c r="F195" s="154">
        <v>9811299485</v>
      </c>
      <c r="G195" s="154" t="s">
        <v>1233</v>
      </c>
      <c r="H195" s="139" t="s">
        <v>194</v>
      </c>
      <c r="I195" s="133"/>
      <c r="J195" s="133" t="s">
        <v>716</v>
      </c>
      <c r="K195" s="133"/>
      <c r="L195" s="180"/>
      <c r="M195" s="146">
        <v>45810</v>
      </c>
      <c r="N195" s="146">
        <v>46143</v>
      </c>
      <c r="O195" s="139">
        <v>11</v>
      </c>
      <c r="P195" s="139"/>
      <c r="Q195" s="133" t="s">
        <v>195</v>
      </c>
      <c r="R195" s="139"/>
      <c r="S195" s="133" t="s">
        <v>1234</v>
      </c>
      <c r="T195" s="133"/>
      <c r="U195" s="133"/>
      <c r="V195" s="133"/>
      <c r="W195" s="133"/>
      <c r="X195" s="133"/>
    </row>
    <row r="196" spans="1:24" s="161" customFormat="1" ht="106.5">
      <c r="A196" s="133">
        <v>197</v>
      </c>
      <c r="B196" s="139"/>
      <c r="C196" s="139" t="s">
        <v>1235</v>
      </c>
      <c r="D196" s="133" t="s">
        <v>1236</v>
      </c>
      <c r="E196" s="145" t="s">
        <v>1237</v>
      </c>
      <c r="F196" s="154">
        <v>7095306939</v>
      </c>
      <c r="G196" s="154" t="s">
        <v>1238</v>
      </c>
      <c r="H196" s="139" t="s">
        <v>395</v>
      </c>
      <c r="I196" s="133"/>
      <c r="J196" s="133" t="s">
        <v>445</v>
      </c>
      <c r="K196" s="133"/>
      <c r="L196" s="180"/>
      <c r="M196" s="146">
        <v>45811</v>
      </c>
      <c r="N196" s="146">
        <v>46144</v>
      </c>
      <c r="O196" s="139">
        <v>11</v>
      </c>
      <c r="P196" s="139"/>
      <c r="Q196" s="133" t="s">
        <v>195</v>
      </c>
      <c r="R196" s="139"/>
      <c r="S196" s="133" t="s">
        <v>1239</v>
      </c>
      <c r="T196" s="133"/>
      <c r="U196" s="133"/>
      <c r="V196" s="133"/>
      <c r="W196" s="133"/>
      <c r="X196" s="133"/>
    </row>
    <row r="197" spans="1:24" s="161" customFormat="1" ht="106.5">
      <c r="A197" s="133">
        <v>198</v>
      </c>
      <c r="B197" s="139"/>
      <c r="C197" s="139" t="s">
        <v>1240</v>
      </c>
      <c r="D197" s="133" t="s">
        <v>1241</v>
      </c>
      <c r="E197" s="145" t="s">
        <v>1242</v>
      </c>
      <c r="F197" s="154">
        <v>9880289591</v>
      </c>
      <c r="G197" s="154" t="s">
        <v>1243</v>
      </c>
      <c r="H197" s="139" t="s">
        <v>416</v>
      </c>
      <c r="I197" s="133"/>
      <c r="J197" s="133" t="s">
        <v>716</v>
      </c>
      <c r="K197" s="133"/>
      <c r="L197" s="180"/>
      <c r="M197" s="146">
        <v>45813</v>
      </c>
      <c r="N197" s="146">
        <v>46146</v>
      </c>
      <c r="O197" s="139">
        <v>11</v>
      </c>
      <c r="P197" s="139"/>
      <c r="Q197" s="133" t="s">
        <v>176</v>
      </c>
      <c r="R197" s="139"/>
      <c r="S197" s="133" t="s">
        <v>1244</v>
      </c>
      <c r="T197" s="133"/>
      <c r="U197" s="133"/>
      <c r="V197" s="133"/>
      <c r="W197" s="133"/>
      <c r="X197" s="133"/>
    </row>
    <row r="198" spans="1:24" s="219" customFormat="1" ht="76.5">
      <c r="A198" s="179">
        <v>199</v>
      </c>
      <c r="B198" s="179"/>
      <c r="C198" s="179" t="s">
        <v>1245</v>
      </c>
      <c r="D198" s="131" t="s">
        <v>1246</v>
      </c>
      <c r="E198" s="132" t="s">
        <v>1247</v>
      </c>
      <c r="F198" s="263">
        <v>9843133334</v>
      </c>
      <c r="G198" s="263" t="s">
        <v>1248</v>
      </c>
      <c r="H198" s="179" t="s">
        <v>348</v>
      </c>
      <c r="I198" s="131"/>
      <c r="J198" s="131" t="s">
        <v>1195</v>
      </c>
      <c r="K198" s="131"/>
      <c r="L198" s="277"/>
      <c r="M198" s="265">
        <v>45813</v>
      </c>
      <c r="N198" s="265">
        <v>46146</v>
      </c>
      <c r="O198" s="179">
        <v>11</v>
      </c>
      <c r="P198" s="179"/>
      <c r="Q198" s="131" t="s">
        <v>195</v>
      </c>
      <c r="R198" s="179"/>
      <c r="S198" s="131" t="s">
        <v>1249</v>
      </c>
      <c r="T198" s="131"/>
      <c r="U198" s="131"/>
      <c r="V198" s="131"/>
      <c r="W198" s="131" t="s">
        <v>243</v>
      </c>
      <c r="X198" s="131"/>
    </row>
    <row r="199" spans="1:24" s="219" customFormat="1" ht="76.5">
      <c r="A199" s="179">
        <v>200</v>
      </c>
      <c r="B199" s="179"/>
      <c r="C199" s="179" t="s">
        <v>1250</v>
      </c>
      <c r="D199" s="131" t="s">
        <v>1251</v>
      </c>
      <c r="E199" s="132" t="s">
        <v>1252</v>
      </c>
      <c r="F199" s="263">
        <v>9843133334</v>
      </c>
      <c r="G199" s="263" t="s">
        <v>1253</v>
      </c>
      <c r="H199" s="179" t="s">
        <v>348</v>
      </c>
      <c r="I199" s="131"/>
      <c r="J199" s="131" t="s">
        <v>1195</v>
      </c>
      <c r="K199" s="131"/>
      <c r="L199" s="277"/>
      <c r="M199" s="265">
        <v>45813</v>
      </c>
      <c r="N199" s="265">
        <v>46146</v>
      </c>
      <c r="O199" s="179">
        <v>11</v>
      </c>
      <c r="P199" s="179"/>
      <c r="Q199" s="131" t="s">
        <v>195</v>
      </c>
      <c r="R199" s="179"/>
      <c r="S199" s="131" t="s">
        <v>1254</v>
      </c>
      <c r="T199" s="131"/>
      <c r="U199" s="131"/>
      <c r="V199" s="131"/>
      <c r="W199" s="131" t="s">
        <v>243</v>
      </c>
      <c r="X199" s="131"/>
    </row>
    <row r="200" spans="1:24" s="219" customFormat="1" ht="106.5">
      <c r="A200" s="131">
        <v>201</v>
      </c>
      <c r="B200" s="179"/>
      <c r="C200" s="179" t="s">
        <v>1255</v>
      </c>
      <c r="D200" s="131" t="s">
        <v>1256</v>
      </c>
      <c r="E200" s="323" t="s">
        <v>1257</v>
      </c>
      <c r="F200" s="263">
        <v>9632132329</v>
      </c>
      <c r="G200" s="263" t="s">
        <v>1258</v>
      </c>
      <c r="H200" s="179" t="s">
        <v>416</v>
      </c>
      <c r="I200" s="131"/>
      <c r="J200" s="131" t="s">
        <v>1108</v>
      </c>
      <c r="K200" s="131"/>
      <c r="L200" s="277"/>
      <c r="M200" s="265">
        <v>45813</v>
      </c>
      <c r="N200" s="265">
        <v>46146</v>
      </c>
      <c r="O200" s="179">
        <v>11</v>
      </c>
      <c r="P200" s="179"/>
      <c r="Q200" s="131" t="s">
        <v>176</v>
      </c>
      <c r="R200" s="179"/>
      <c r="S200" s="131" t="s">
        <v>1259</v>
      </c>
      <c r="T200" s="131"/>
      <c r="U200" s="131"/>
      <c r="V200" s="131"/>
      <c r="W200" s="131" t="s">
        <v>243</v>
      </c>
      <c r="X200" s="131"/>
    </row>
    <row r="201" spans="1:24" s="219" customFormat="1" ht="91.5">
      <c r="A201" s="131">
        <v>202</v>
      </c>
      <c r="B201" s="179"/>
      <c r="C201" s="179" t="s">
        <v>1260</v>
      </c>
      <c r="D201" s="131" t="s">
        <v>1261</v>
      </c>
      <c r="E201" s="132" t="s">
        <v>1262</v>
      </c>
      <c r="F201" s="263">
        <v>8700846662</v>
      </c>
      <c r="G201" s="263" t="s">
        <v>1263</v>
      </c>
      <c r="H201" s="179" t="s">
        <v>248</v>
      </c>
      <c r="I201" s="131"/>
      <c r="J201" s="131" t="s">
        <v>445</v>
      </c>
      <c r="K201" s="131"/>
      <c r="L201" s="277"/>
      <c r="M201" s="265">
        <v>45813</v>
      </c>
      <c r="N201" s="265">
        <v>46146</v>
      </c>
      <c r="O201" s="179">
        <v>11</v>
      </c>
      <c r="P201" s="179"/>
      <c r="Q201" s="131" t="s">
        <v>176</v>
      </c>
      <c r="R201" s="179"/>
      <c r="S201" s="131" t="s">
        <v>1264</v>
      </c>
      <c r="T201" s="131"/>
      <c r="U201" s="131"/>
      <c r="V201" s="131"/>
      <c r="W201" s="131" t="s">
        <v>1265</v>
      </c>
      <c r="X201" s="131"/>
    </row>
    <row r="202" spans="1:24" s="161" customFormat="1" ht="76.5">
      <c r="A202" s="139">
        <v>203</v>
      </c>
      <c r="B202" s="139"/>
      <c r="C202" s="139" t="s">
        <v>1266</v>
      </c>
      <c r="D202" s="133" t="s">
        <v>1267</v>
      </c>
      <c r="E202" s="145" t="s">
        <v>1268</v>
      </c>
      <c r="F202" s="154">
        <v>8347150585</v>
      </c>
      <c r="G202" s="154" t="s">
        <v>1269</v>
      </c>
      <c r="H202" s="139" t="s">
        <v>365</v>
      </c>
      <c r="I202" s="133"/>
      <c r="J202" s="133" t="s">
        <v>1108</v>
      </c>
      <c r="K202" s="133"/>
      <c r="L202" s="180"/>
      <c r="M202" s="146">
        <v>45814</v>
      </c>
      <c r="N202" s="146">
        <v>46147</v>
      </c>
      <c r="O202" s="139">
        <v>11</v>
      </c>
      <c r="P202" s="139"/>
      <c r="Q202" s="133" t="s">
        <v>176</v>
      </c>
      <c r="R202" s="139"/>
      <c r="S202" s="133" t="s">
        <v>1270</v>
      </c>
      <c r="T202" s="133"/>
      <c r="U202" s="133"/>
      <c r="V202" s="133"/>
      <c r="W202" s="133"/>
      <c r="X202" s="133"/>
    </row>
    <row r="203" spans="1:24" s="219" customFormat="1" ht="76.5">
      <c r="A203" s="179">
        <v>204</v>
      </c>
      <c r="B203" s="179"/>
      <c r="C203" s="179" t="s">
        <v>1271</v>
      </c>
      <c r="D203" s="131" t="s">
        <v>1272</v>
      </c>
      <c r="E203" s="132" t="s">
        <v>1273</v>
      </c>
      <c r="F203" s="263">
        <v>9728900007</v>
      </c>
      <c r="G203" s="263" t="s">
        <v>1274</v>
      </c>
      <c r="H203" s="179" t="s">
        <v>261</v>
      </c>
      <c r="I203" s="131"/>
      <c r="J203" s="131" t="s">
        <v>716</v>
      </c>
      <c r="K203" s="131"/>
      <c r="L203" s="277"/>
      <c r="M203" s="265">
        <v>45815</v>
      </c>
      <c r="N203" s="265">
        <v>46148</v>
      </c>
      <c r="O203" s="179">
        <v>11</v>
      </c>
      <c r="P203" s="179"/>
      <c r="Q203" s="131" t="s">
        <v>195</v>
      </c>
      <c r="R203" s="179"/>
      <c r="S203" s="131" t="s">
        <v>1275</v>
      </c>
      <c r="T203" s="131"/>
      <c r="U203" s="131"/>
      <c r="V203" s="131"/>
      <c r="W203" s="131" t="s">
        <v>243</v>
      </c>
      <c r="X203" s="131"/>
    </row>
    <row r="204" spans="1:24" s="161" customFormat="1" ht="76.5">
      <c r="A204" s="133">
        <v>205</v>
      </c>
      <c r="B204" s="139"/>
      <c r="C204" s="139" t="s">
        <v>1276</v>
      </c>
      <c r="D204" s="133" t="s">
        <v>1277</v>
      </c>
      <c r="E204" s="145" t="s">
        <v>1278</v>
      </c>
      <c r="F204" s="154">
        <v>9999633480</v>
      </c>
      <c r="G204" s="154" t="s">
        <v>1279</v>
      </c>
      <c r="H204" s="139" t="s">
        <v>241</v>
      </c>
      <c r="I204" s="133"/>
      <c r="J204" s="133" t="s">
        <v>1280</v>
      </c>
      <c r="K204" s="133"/>
      <c r="L204" s="180"/>
      <c r="M204" s="146">
        <v>45815</v>
      </c>
      <c r="N204" s="146">
        <v>46148</v>
      </c>
      <c r="O204" s="139">
        <v>11</v>
      </c>
      <c r="P204" s="139"/>
      <c r="Q204" s="133" t="s">
        <v>195</v>
      </c>
      <c r="R204" s="139"/>
      <c r="S204" s="133" t="s">
        <v>1281</v>
      </c>
      <c r="T204" s="133"/>
      <c r="U204" s="133"/>
      <c r="V204" s="133"/>
      <c r="W204" s="133"/>
      <c r="X204" s="133"/>
    </row>
    <row r="205" spans="1:24" s="161" customFormat="1" ht="91.5">
      <c r="A205" s="133">
        <v>206</v>
      </c>
      <c r="B205" s="139"/>
      <c r="C205" s="139" t="s">
        <v>1282</v>
      </c>
      <c r="D205" s="133" t="s">
        <v>1283</v>
      </c>
      <c r="E205" s="145" t="s">
        <v>1284</v>
      </c>
      <c r="F205" s="154">
        <v>9998510906</v>
      </c>
      <c r="G205" s="154" t="s">
        <v>1285</v>
      </c>
      <c r="H205" s="139" t="s">
        <v>365</v>
      </c>
      <c r="I205" s="133"/>
      <c r="J205" s="133" t="s">
        <v>1064</v>
      </c>
      <c r="K205" s="133"/>
      <c r="L205" s="180"/>
      <c r="M205" s="146">
        <v>45817</v>
      </c>
      <c r="N205" s="146">
        <v>46150</v>
      </c>
      <c r="O205" s="139">
        <v>11</v>
      </c>
      <c r="P205" s="139"/>
      <c r="Q205" s="133" t="s">
        <v>195</v>
      </c>
      <c r="R205" s="139"/>
      <c r="S205" s="133" t="s">
        <v>1286</v>
      </c>
      <c r="T205" s="133"/>
      <c r="U205" s="133"/>
      <c r="V205" s="133"/>
      <c r="W205" s="133"/>
      <c r="X205" s="133"/>
    </row>
    <row r="206" spans="1:24" s="161" customFormat="1" ht="45.75">
      <c r="A206" s="139">
        <v>207</v>
      </c>
      <c r="B206" s="139"/>
      <c r="C206" s="139"/>
      <c r="D206" s="133" t="s">
        <v>1287</v>
      </c>
      <c r="E206" s="145" t="s">
        <v>1086</v>
      </c>
      <c r="F206" s="154"/>
      <c r="G206" s="154"/>
      <c r="H206" s="139" t="s">
        <v>365</v>
      </c>
      <c r="I206" s="133"/>
      <c r="J206" s="133" t="s">
        <v>1064</v>
      </c>
      <c r="K206" s="133"/>
      <c r="L206" s="180"/>
      <c r="M206" s="146"/>
      <c r="N206" s="146"/>
      <c r="O206" s="139">
        <v>11</v>
      </c>
      <c r="P206" s="139"/>
      <c r="Q206" s="133" t="s">
        <v>195</v>
      </c>
      <c r="R206" s="139"/>
      <c r="S206" s="133" t="s">
        <v>1286</v>
      </c>
      <c r="T206" s="133"/>
      <c r="U206" s="133"/>
      <c r="V206" s="133"/>
      <c r="W206" s="133"/>
      <c r="X206" s="133"/>
    </row>
    <row r="207" spans="1:24" s="219" customFormat="1" ht="106.5">
      <c r="A207" s="179">
        <v>208</v>
      </c>
      <c r="B207" s="179"/>
      <c r="C207" s="179" t="s">
        <v>1288</v>
      </c>
      <c r="D207" s="131" t="s">
        <v>1289</v>
      </c>
      <c r="E207" s="132" t="s">
        <v>1290</v>
      </c>
      <c r="F207" s="263">
        <v>9821797941</v>
      </c>
      <c r="G207" s="263" t="s">
        <v>1291</v>
      </c>
      <c r="H207" s="179" t="s">
        <v>354</v>
      </c>
      <c r="I207" s="131"/>
      <c r="J207" s="131" t="s">
        <v>445</v>
      </c>
      <c r="K207" s="131"/>
      <c r="L207" s="277"/>
      <c r="M207" s="265">
        <v>45818</v>
      </c>
      <c r="N207" s="265">
        <v>46151</v>
      </c>
      <c r="O207" s="179">
        <v>11</v>
      </c>
      <c r="P207" s="179"/>
      <c r="Q207" s="131" t="s">
        <v>195</v>
      </c>
      <c r="R207" s="179"/>
      <c r="S207" s="131" t="s">
        <v>1292</v>
      </c>
      <c r="T207" s="131"/>
      <c r="U207" s="131"/>
      <c r="V207" s="131"/>
      <c r="W207" s="131" t="s">
        <v>243</v>
      </c>
      <c r="X207" s="131"/>
    </row>
    <row r="208" spans="1:24" s="219" customFormat="1" ht="106.5">
      <c r="A208" s="131">
        <v>209</v>
      </c>
      <c r="B208" s="179"/>
      <c r="C208" s="179" t="s">
        <v>1293</v>
      </c>
      <c r="D208" s="131" t="s">
        <v>1294</v>
      </c>
      <c r="E208" s="132" t="s">
        <v>1295</v>
      </c>
      <c r="F208" s="263">
        <v>9930629776</v>
      </c>
      <c r="G208" s="263" t="s">
        <v>1296</v>
      </c>
      <c r="H208" s="179" t="s">
        <v>690</v>
      </c>
      <c r="I208" s="131"/>
      <c r="J208" s="131" t="s">
        <v>445</v>
      </c>
      <c r="K208" s="131"/>
      <c r="L208" s="277"/>
      <c r="M208" s="265">
        <v>45818</v>
      </c>
      <c r="N208" s="265">
        <v>46151</v>
      </c>
      <c r="O208" s="179">
        <v>11</v>
      </c>
      <c r="P208" s="179"/>
      <c r="Q208" s="131" t="s">
        <v>195</v>
      </c>
      <c r="R208" s="179"/>
      <c r="S208" s="131" t="s">
        <v>1297</v>
      </c>
      <c r="T208" s="131"/>
      <c r="U208" s="131"/>
      <c r="V208" s="131"/>
      <c r="W208" s="131" t="s">
        <v>243</v>
      </c>
      <c r="X208" s="131"/>
    </row>
    <row r="209" spans="1:24" s="161" customFormat="1" ht="121.5">
      <c r="A209" s="133">
        <v>210</v>
      </c>
      <c r="B209" s="139"/>
      <c r="C209" s="139" t="s">
        <v>1298</v>
      </c>
      <c r="D209" s="133" t="s">
        <v>1299</v>
      </c>
      <c r="E209" s="145" t="s">
        <v>1300</v>
      </c>
      <c r="F209" s="154">
        <v>6281445958</v>
      </c>
      <c r="G209" s="154" t="s">
        <v>1301</v>
      </c>
      <c r="H209" s="139" t="s">
        <v>416</v>
      </c>
      <c r="I209" s="133"/>
      <c r="J209" s="133" t="s">
        <v>445</v>
      </c>
      <c r="K209" s="133"/>
      <c r="L209" s="180"/>
      <c r="M209" s="146">
        <v>45819</v>
      </c>
      <c r="N209" s="146">
        <v>46152</v>
      </c>
      <c r="O209" s="139">
        <v>11</v>
      </c>
      <c r="P209" s="139"/>
      <c r="Q209" s="133" t="s">
        <v>195</v>
      </c>
      <c r="R209" s="139"/>
      <c r="S209" s="133" t="s">
        <v>1302</v>
      </c>
      <c r="T209" s="133"/>
      <c r="U209" s="133"/>
      <c r="V209" s="133"/>
      <c r="W209" s="133"/>
      <c r="X209" s="133"/>
    </row>
    <row r="210" spans="1:24" s="161" customFormat="1" ht="91.5">
      <c r="A210" s="139">
        <v>211</v>
      </c>
      <c r="B210" s="139"/>
      <c r="C210" s="139" t="s">
        <v>1303</v>
      </c>
      <c r="D210" s="133" t="s">
        <v>1304</v>
      </c>
      <c r="E210" s="145" t="s">
        <v>1305</v>
      </c>
      <c r="F210" s="154">
        <v>8919993233</v>
      </c>
      <c r="G210" s="154" t="s">
        <v>1306</v>
      </c>
      <c r="H210" s="139" t="s">
        <v>690</v>
      </c>
      <c r="I210" s="133"/>
      <c r="J210" s="133" t="s">
        <v>716</v>
      </c>
      <c r="K210" s="133"/>
      <c r="L210" s="180"/>
      <c r="M210" s="146">
        <v>45820</v>
      </c>
      <c r="N210" s="146">
        <v>46153</v>
      </c>
      <c r="O210" s="139">
        <v>11</v>
      </c>
      <c r="P210" s="139"/>
      <c r="Q210" s="133" t="s">
        <v>195</v>
      </c>
      <c r="R210" s="139"/>
      <c r="S210" s="133" t="s">
        <v>1307</v>
      </c>
      <c r="T210" s="133"/>
      <c r="U210" s="133"/>
      <c r="V210" s="133"/>
      <c r="W210" s="133"/>
      <c r="X210" s="133"/>
    </row>
    <row r="211" spans="1:24" s="219" customFormat="1" ht="76.5">
      <c r="A211" s="179">
        <v>212</v>
      </c>
      <c r="B211" s="179"/>
      <c r="C211" s="179" t="s">
        <v>1308</v>
      </c>
      <c r="D211" s="131" t="s">
        <v>1309</v>
      </c>
      <c r="E211" s="132" t="s">
        <v>1310</v>
      </c>
      <c r="F211" s="263" t="s">
        <v>1311</v>
      </c>
      <c r="G211" s="263" t="s">
        <v>1312</v>
      </c>
      <c r="H211" s="179" t="s">
        <v>241</v>
      </c>
      <c r="I211" s="131"/>
      <c r="J211" s="131" t="s">
        <v>1195</v>
      </c>
      <c r="K211" s="131"/>
      <c r="L211" s="277"/>
      <c r="M211" s="265">
        <v>45820</v>
      </c>
      <c r="N211" s="265">
        <v>46153</v>
      </c>
      <c r="O211" s="179">
        <v>11</v>
      </c>
      <c r="P211" s="179"/>
      <c r="Q211" s="131" t="s">
        <v>195</v>
      </c>
      <c r="R211" s="179"/>
      <c r="S211" s="131" t="s">
        <v>1313</v>
      </c>
      <c r="T211" s="131"/>
      <c r="U211" s="131"/>
      <c r="V211" s="131"/>
      <c r="W211" s="131" t="s">
        <v>243</v>
      </c>
      <c r="X211" s="131"/>
    </row>
    <row r="212" spans="1:24" s="161" customFormat="1" ht="76.5">
      <c r="A212" s="133">
        <v>213</v>
      </c>
      <c r="B212" s="139"/>
      <c r="C212" s="133" t="s">
        <v>1314</v>
      </c>
      <c r="D212" s="133" t="s">
        <v>1315</v>
      </c>
      <c r="E212" s="145" t="s">
        <v>1316</v>
      </c>
      <c r="F212" s="154">
        <v>9705973223</v>
      </c>
      <c r="G212" s="154" t="s">
        <v>1317</v>
      </c>
      <c r="H212" s="139" t="s">
        <v>690</v>
      </c>
      <c r="I212" s="133"/>
      <c r="J212" s="133" t="s">
        <v>716</v>
      </c>
      <c r="K212" s="133"/>
      <c r="L212" s="180"/>
      <c r="M212" s="146">
        <v>45821</v>
      </c>
      <c r="N212" s="146">
        <v>46154</v>
      </c>
      <c r="O212" s="139">
        <v>11</v>
      </c>
      <c r="P212" s="139"/>
      <c r="Q212" s="133" t="s">
        <v>195</v>
      </c>
      <c r="R212" s="139"/>
      <c r="S212" s="133" t="s">
        <v>1318</v>
      </c>
      <c r="T212" s="133"/>
      <c r="U212" s="133"/>
      <c r="V212" s="133"/>
      <c r="W212" s="133"/>
      <c r="X212" s="133"/>
    </row>
    <row r="213" spans="1:24" s="141" customFormat="1" ht="76.5">
      <c r="A213" s="133">
        <v>214</v>
      </c>
      <c r="B213" s="139"/>
      <c r="C213" s="139" t="s">
        <v>1319</v>
      </c>
      <c r="D213" s="133" t="s">
        <v>1320</v>
      </c>
      <c r="E213" s="145" t="s">
        <v>1321</v>
      </c>
      <c r="F213" s="154">
        <v>8511979637</v>
      </c>
      <c r="G213" s="154" t="s">
        <v>1322</v>
      </c>
      <c r="H213" s="139" t="s">
        <v>365</v>
      </c>
      <c r="I213" s="133"/>
      <c r="J213" s="133" t="s">
        <v>445</v>
      </c>
      <c r="K213" s="133"/>
      <c r="L213" s="180"/>
      <c r="M213" s="146">
        <v>45821</v>
      </c>
      <c r="N213" s="146">
        <v>46154</v>
      </c>
      <c r="O213" s="139">
        <v>11</v>
      </c>
      <c r="P213" s="139"/>
      <c r="Q213" s="133" t="s">
        <v>195</v>
      </c>
      <c r="R213" s="139"/>
      <c r="S213" s="133" t="s">
        <v>1323</v>
      </c>
      <c r="T213" s="133"/>
      <c r="U213" s="133"/>
      <c r="V213" s="133"/>
      <c r="W213" s="133"/>
      <c r="X213" s="133"/>
    </row>
    <row r="214" spans="1:24" s="219" customFormat="1" ht="76.5">
      <c r="A214" s="179">
        <v>215</v>
      </c>
      <c r="B214" s="179"/>
      <c r="C214" s="179" t="s">
        <v>1324</v>
      </c>
      <c r="D214" s="131" t="s">
        <v>1325</v>
      </c>
      <c r="E214" s="132" t="s">
        <v>1326</v>
      </c>
      <c r="F214" s="263">
        <v>9742852717</v>
      </c>
      <c r="G214" s="263" t="s">
        <v>1327</v>
      </c>
      <c r="H214" s="179" t="s">
        <v>202</v>
      </c>
      <c r="I214" s="131"/>
      <c r="J214" s="131" t="s">
        <v>445</v>
      </c>
      <c r="K214" s="131"/>
      <c r="L214" s="277"/>
      <c r="M214" s="265">
        <v>45821</v>
      </c>
      <c r="N214" s="265">
        <v>46154</v>
      </c>
      <c r="O214" s="179">
        <v>11</v>
      </c>
      <c r="P214" s="179"/>
      <c r="Q214" s="131" t="s">
        <v>195</v>
      </c>
      <c r="R214" s="179"/>
      <c r="S214" s="131" t="s">
        <v>1328</v>
      </c>
      <c r="T214" s="131"/>
      <c r="U214" s="131"/>
      <c r="V214" s="131"/>
      <c r="W214" s="131" t="s">
        <v>243</v>
      </c>
      <c r="X214" s="131"/>
    </row>
    <row r="215" spans="1:24" s="219" customFormat="1" ht="91.5">
      <c r="A215" s="179">
        <v>216</v>
      </c>
      <c r="B215" s="179"/>
      <c r="C215" s="179" t="s">
        <v>1329</v>
      </c>
      <c r="D215" s="131" t="s">
        <v>1330</v>
      </c>
      <c r="E215" s="132" t="s">
        <v>1331</v>
      </c>
      <c r="F215" s="263" t="s">
        <v>1332</v>
      </c>
      <c r="G215" s="263" t="s">
        <v>1333</v>
      </c>
      <c r="H215" s="179" t="s">
        <v>365</v>
      </c>
      <c r="I215" s="131"/>
      <c r="J215" s="131" t="s">
        <v>445</v>
      </c>
      <c r="K215" s="131"/>
      <c r="L215" s="277"/>
      <c r="M215" s="265">
        <v>45821</v>
      </c>
      <c r="N215" s="265">
        <v>46154</v>
      </c>
      <c r="O215" s="179">
        <v>11</v>
      </c>
      <c r="P215" s="179"/>
      <c r="Q215" s="131" t="s">
        <v>195</v>
      </c>
      <c r="R215" s="179"/>
      <c r="S215" s="131" t="s">
        <v>1334</v>
      </c>
      <c r="T215" s="131"/>
      <c r="U215" s="131"/>
      <c r="V215" s="131"/>
      <c r="W215" s="131" t="s">
        <v>243</v>
      </c>
      <c r="X215" s="131"/>
    </row>
    <row r="216" spans="1:24" s="219" customFormat="1" ht="76.5">
      <c r="A216" s="131">
        <v>217</v>
      </c>
      <c r="B216" s="179"/>
      <c r="C216" s="179" t="s">
        <v>1335</v>
      </c>
      <c r="D216" s="131" t="s">
        <v>1336</v>
      </c>
      <c r="E216" s="132" t="s">
        <v>1337</v>
      </c>
      <c r="F216" s="263">
        <v>9910803385</v>
      </c>
      <c r="G216" s="263" t="s">
        <v>1338</v>
      </c>
      <c r="H216" s="179" t="s">
        <v>261</v>
      </c>
      <c r="I216" s="131"/>
      <c r="J216" s="131" t="s">
        <v>1064</v>
      </c>
      <c r="K216" s="131"/>
      <c r="L216" s="277"/>
      <c r="M216" s="265">
        <v>45821</v>
      </c>
      <c r="N216" s="265">
        <v>46154</v>
      </c>
      <c r="O216" s="179">
        <v>11</v>
      </c>
      <c r="P216" s="179"/>
      <c r="Q216" s="131" t="s">
        <v>195</v>
      </c>
      <c r="R216" s="179"/>
      <c r="S216" s="131" t="s">
        <v>1339</v>
      </c>
      <c r="T216" s="131"/>
      <c r="U216" s="131"/>
      <c r="V216" s="131"/>
      <c r="W216" s="131" t="s">
        <v>243</v>
      </c>
      <c r="X216" s="131"/>
    </row>
    <row r="217" spans="1:24" s="161" customFormat="1" ht="106.5">
      <c r="A217" s="133">
        <v>218</v>
      </c>
      <c r="B217" s="139"/>
      <c r="C217" s="139" t="s">
        <v>1340</v>
      </c>
      <c r="D217" s="133" t="s">
        <v>1341</v>
      </c>
      <c r="E217" s="145" t="s">
        <v>1342</v>
      </c>
      <c r="F217" s="154">
        <v>9994837426</v>
      </c>
      <c r="G217" s="154" t="s">
        <v>1343</v>
      </c>
      <c r="H217" s="139" t="s">
        <v>348</v>
      </c>
      <c r="I217" s="133"/>
      <c r="J217" s="133" t="s">
        <v>716</v>
      </c>
      <c r="K217" s="133"/>
      <c r="L217" s="180"/>
      <c r="M217" s="146">
        <v>45821</v>
      </c>
      <c r="N217" s="146">
        <v>46154</v>
      </c>
      <c r="O217" s="139">
        <v>11</v>
      </c>
      <c r="P217" s="139"/>
      <c r="Q217" s="133" t="s">
        <v>195</v>
      </c>
      <c r="R217" s="139"/>
      <c r="S217" s="133" t="s">
        <v>1344</v>
      </c>
      <c r="T217" s="133"/>
      <c r="U217" s="133"/>
      <c r="V217" s="133"/>
      <c r="W217" s="133"/>
      <c r="X217" s="133"/>
    </row>
    <row r="218" spans="1:24" s="219" customFormat="1" ht="91.5">
      <c r="A218" s="179">
        <v>219</v>
      </c>
      <c r="B218" s="179"/>
      <c r="C218" s="179" t="s">
        <v>1345</v>
      </c>
      <c r="D218" s="131" t="s">
        <v>1346</v>
      </c>
      <c r="E218" s="132" t="s">
        <v>1347</v>
      </c>
      <c r="F218" s="263">
        <v>9903214647</v>
      </c>
      <c r="G218" s="263" t="s">
        <v>1348</v>
      </c>
      <c r="H218" s="179" t="s">
        <v>684</v>
      </c>
      <c r="I218" s="131"/>
      <c r="J218" s="131" t="s">
        <v>716</v>
      </c>
      <c r="K218" s="131"/>
      <c r="L218" s="277"/>
      <c r="M218" s="265">
        <v>45822</v>
      </c>
      <c r="N218" s="265">
        <v>46155</v>
      </c>
      <c r="O218" s="179">
        <v>11</v>
      </c>
      <c r="P218" s="179"/>
      <c r="Q218" s="131" t="s">
        <v>195</v>
      </c>
      <c r="R218" s="179"/>
      <c r="S218" s="131" t="s">
        <v>1349</v>
      </c>
      <c r="T218" s="131"/>
      <c r="U218" s="131"/>
      <c r="V218" s="131"/>
      <c r="W218" s="131" t="s">
        <v>243</v>
      </c>
      <c r="X218" s="131"/>
    </row>
    <row r="219" spans="1:24" s="161" customFormat="1" ht="91.5">
      <c r="A219" s="139">
        <v>220</v>
      </c>
      <c r="B219" s="139"/>
      <c r="C219" s="139" t="s">
        <v>1350</v>
      </c>
      <c r="D219" s="133" t="s">
        <v>1351</v>
      </c>
      <c r="E219" s="145" t="s">
        <v>1352</v>
      </c>
      <c r="F219" s="154">
        <v>8610129322</v>
      </c>
      <c r="G219" s="154" t="s">
        <v>1353</v>
      </c>
      <c r="H219" s="139" t="s">
        <v>348</v>
      </c>
      <c r="I219" s="133"/>
      <c r="J219" s="133" t="s">
        <v>445</v>
      </c>
      <c r="K219" s="133"/>
      <c r="L219" s="180"/>
      <c r="M219" s="146">
        <v>45824</v>
      </c>
      <c r="N219" s="146">
        <v>46157</v>
      </c>
      <c r="O219" s="139">
        <v>11</v>
      </c>
      <c r="P219" s="139"/>
      <c r="Q219" s="133" t="s">
        <v>195</v>
      </c>
      <c r="R219" s="139"/>
      <c r="S219" s="133" t="s">
        <v>1354</v>
      </c>
      <c r="T219" s="133"/>
      <c r="U219" s="133"/>
      <c r="V219" s="133"/>
      <c r="W219" s="133"/>
      <c r="X219" s="133"/>
    </row>
    <row r="220" spans="1:24" s="161" customFormat="1" ht="137.25">
      <c r="A220" s="133">
        <v>221</v>
      </c>
      <c r="B220" s="139"/>
      <c r="C220" s="139" t="s">
        <v>1355</v>
      </c>
      <c r="D220" s="133" t="s">
        <v>1356</v>
      </c>
      <c r="E220" s="145" t="s">
        <v>1357</v>
      </c>
      <c r="F220" s="154">
        <v>9820026735</v>
      </c>
      <c r="G220" s="154" t="s">
        <v>1358</v>
      </c>
      <c r="H220" s="139" t="s">
        <v>354</v>
      </c>
      <c r="I220" s="133"/>
      <c r="J220" s="133" t="s">
        <v>1064</v>
      </c>
      <c r="K220" s="133"/>
      <c r="L220" s="180"/>
      <c r="M220" s="146">
        <v>45825</v>
      </c>
      <c r="N220" s="146">
        <v>46158</v>
      </c>
      <c r="O220" s="139">
        <v>11</v>
      </c>
      <c r="P220" s="139"/>
      <c r="Q220" s="133" t="s">
        <v>195</v>
      </c>
      <c r="R220" s="139"/>
      <c r="S220" s="133" t="s">
        <v>1359</v>
      </c>
      <c r="T220" s="133"/>
      <c r="U220" s="133"/>
      <c r="V220" s="133"/>
      <c r="W220" s="133"/>
      <c r="X220" s="133"/>
    </row>
    <row r="221" spans="1:24" s="219" customFormat="1" ht="106.5">
      <c r="A221" s="131">
        <v>222</v>
      </c>
      <c r="B221" s="179"/>
      <c r="C221" s="179" t="s">
        <v>1360</v>
      </c>
      <c r="D221" s="131" t="s">
        <v>1361</v>
      </c>
      <c r="E221" s="132" t="s">
        <v>1362</v>
      </c>
      <c r="F221" s="263">
        <v>9999826977</v>
      </c>
      <c r="G221" s="263" t="s">
        <v>1363</v>
      </c>
      <c r="H221" s="179" t="s">
        <v>194</v>
      </c>
      <c r="I221" s="131"/>
      <c r="J221" s="131" t="s">
        <v>1108</v>
      </c>
      <c r="K221" s="131"/>
      <c r="L221" s="277"/>
      <c r="M221" s="265">
        <v>45825</v>
      </c>
      <c r="N221" s="265">
        <v>46158</v>
      </c>
      <c r="O221" s="179">
        <v>11</v>
      </c>
      <c r="P221" s="179"/>
      <c r="Q221" s="131" t="s">
        <v>195</v>
      </c>
      <c r="R221" s="179"/>
      <c r="S221" s="131" t="s">
        <v>1364</v>
      </c>
      <c r="T221" s="131"/>
      <c r="U221" s="131"/>
      <c r="V221" s="131"/>
      <c r="W221" s="131" t="s">
        <v>243</v>
      </c>
      <c r="X221" s="131"/>
    </row>
    <row r="222" spans="1:24" s="219" customFormat="1" ht="91.5">
      <c r="A222" s="179">
        <v>223</v>
      </c>
      <c r="B222" s="179"/>
      <c r="C222" s="179" t="s">
        <v>1365</v>
      </c>
      <c r="D222" s="131" t="s">
        <v>1366</v>
      </c>
      <c r="E222" s="132" t="s">
        <v>1367</v>
      </c>
      <c r="F222" s="263">
        <v>9820844412</v>
      </c>
      <c r="G222" s="263" t="s">
        <v>1368</v>
      </c>
      <c r="H222" s="179" t="s">
        <v>354</v>
      </c>
      <c r="I222" s="131"/>
      <c r="J222" s="131" t="s">
        <v>445</v>
      </c>
      <c r="K222" s="131"/>
      <c r="L222" s="277"/>
      <c r="M222" s="265">
        <v>45825</v>
      </c>
      <c r="N222" s="265">
        <v>46158</v>
      </c>
      <c r="O222" s="179">
        <v>11</v>
      </c>
      <c r="P222" s="179"/>
      <c r="Q222" s="131" t="s">
        <v>195</v>
      </c>
      <c r="R222" s="179"/>
      <c r="S222" s="131" t="s">
        <v>1369</v>
      </c>
      <c r="T222" s="131"/>
      <c r="U222" s="131"/>
      <c r="V222" s="131"/>
      <c r="W222" s="131" t="s">
        <v>243</v>
      </c>
      <c r="X222" s="131"/>
    </row>
    <row r="223" spans="1:24" s="161" customFormat="1" ht="30.75">
      <c r="A223" s="139">
        <v>224</v>
      </c>
      <c r="B223" s="139"/>
      <c r="C223" s="139"/>
      <c r="D223" s="133" t="s">
        <v>1370</v>
      </c>
      <c r="E223" s="145" t="s">
        <v>1086</v>
      </c>
      <c r="F223" s="154"/>
      <c r="G223" s="154"/>
      <c r="H223" s="139"/>
      <c r="I223" s="133"/>
      <c r="J223" s="133" t="s">
        <v>445</v>
      </c>
      <c r="K223" s="133"/>
      <c r="L223" s="180"/>
      <c r="M223" s="146">
        <v>45825</v>
      </c>
      <c r="N223" s="146">
        <v>46158</v>
      </c>
      <c r="O223" s="139">
        <v>11</v>
      </c>
      <c r="P223" s="139"/>
      <c r="Q223" s="133"/>
      <c r="R223" s="139"/>
      <c r="S223" s="133"/>
      <c r="T223" s="133"/>
      <c r="U223" s="133"/>
      <c r="V223" s="133"/>
      <c r="W223" s="133"/>
      <c r="X223" s="133"/>
    </row>
    <row r="224" spans="1:24" s="161" customFormat="1" ht="76.5">
      <c r="A224" s="133">
        <v>225</v>
      </c>
      <c r="B224" s="139"/>
      <c r="C224" s="139" t="s">
        <v>1371</v>
      </c>
      <c r="D224" s="133" t="s">
        <v>1372</v>
      </c>
      <c r="E224" s="145" t="s">
        <v>1373</v>
      </c>
      <c r="F224" s="154">
        <v>9818951634</v>
      </c>
      <c r="G224" s="154" t="s">
        <v>1374</v>
      </c>
      <c r="H224" s="139" t="s">
        <v>261</v>
      </c>
      <c r="I224" s="133"/>
      <c r="J224" s="133" t="s">
        <v>1064</v>
      </c>
      <c r="K224" s="133"/>
      <c r="L224" s="180"/>
      <c r="M224" s="146">
        <v>45828</v>
      </c>
      <c r="N224" s="146">
        <v>46161</v>
      </c>
      <c r="O224" s="139">
        <v>11</v>
      </c>
      <c r="P224" s="139"/>
      <c r="Q224" s="133" t="s">
        <v>195</v>
      </c>
      <c r="R224" s="139"/>
      <c r="S224" s="133" t="s">
        <v>1375</v>
      </c>
      <c r="T224" s="133"/>
      <c r="U224" s="133"/>
      <c r="V224" s="133"/>
      <c r="W224" s="133"/>
      <c r="X224" s="133"/>
    </row>
    <row r="225" spans="1:24" s="161" customFormat="1" ht="76.5">
      <c r="A225" s="133">
        <v>226</v>
      </c>
      <c r="B225" s="139"/>
      <c r="C225" s="139" t="s">
        <v>1376</v>
      </c>
      <c r="D225" s="133" t="s">
        <v>1377</v>
      </c>
      <c r="E225" s="145" t="s">
        <v>1378</v>
      </c>
      <c r="F225" s="154">
        <v>9810104543</v>
      </c>
      <c r="G225" s="154" t="s">
        <v>1379</v>
      </c>
      <c r="H225" s="139" t="s">
        <v>194</v>
      </c>
      <c r="I225" s="133"/>
      <c r="J225" s="133" t="s">
        <v>716</v>
      </c>
      <c r="K225" s="133"/>
      <c r="L225" s="180"/>
      <c r="M225" s="146">
        <v>45828</v>
      </c>
      <c r="N225" s="146">
        <v>46161</v>
      </c>
      <c r="O225" s="139">
        <v>11</v>
      </c>
      <c r="P225" s="139"/>
      <c r="Q225" s="133" t="s">
        <v>195</v>
      </c>
      <c r="R225" s="139"/>
      <c r="S225" s="133" t="s">
        <v>1380</v>
      </c>
      <c r="T225" s="133"/>
      <c r="U225" s="133"/>
      <c r="V225" s="133"/>
      <c r="W225" s="133"/>
      <c r="X225" s="133"/>
    </row>
    <row r="226" spans="1:24" s="161" customFormat="1" ht="45.75">
      <c r="A226" s="139">
        <v>227</v>
      </c>
      <c r="B226" s="139"/>
      <c r="C226" s="139"/>
      <c r="D226" s="133" t="s">
        <v>1381</v>
      </c>
      <c r="E226" s="145"/>
      <c r="F226" s="154"/>
      <c r="G226" s="154"/>
      <c r="H226" s="139"/>
      <c r="I226" s="133"/>
      <c r="J226" s="133" t="s">
        <v>716</v>
      </c>
      <c r="K226" s="133"/>
      <c r="L226" s="180"/>
      <c r="M226" s="146">
        <v>45829</v>
      </c>
      <c r="N226" s="146">
        <v>46162</v>
      </c>
      <c r="O226" s="139">
        <v>11</v>
      </c>
      <c r="P226" s="139"/>
      <c r="Q226" s="133" t="s">
        <v>176</v>
      </c>
      <c r="R226" s="139"/>
      <c r="S226" s="133" t="s">
        <v>1382</v>
      </c>
      <c r="T226" s="133"/>
      <c r="U226" s="133"/>
      <c r="V226" s="133" t="s">
        <v>1383</v>
      </c>
      <c r="W226" s="133"/>
      <c r="X226" s="133"/>
    </row>
    <row r="227" spans="1:24" s="219" customFormat="1" ht="76.5">
      <c r="A227" s="179">
        <v>228</v>
      </c>
      <c r="B227" s="179"/>
      <c r="C227" s="179" t="s">
        <v>1384</v>
      </c>
      <c r="D227" s="131" t="s">
        <v>1385</v>
      </c>
      <c r="E227" s="132" t="s">
        <v>1386</v>
      </c>
      <c r="F227" s="263">
        <v>8094016888</v>
      </c>
      <c r="G227" s="263" t="s">
        <v>1387</v>
      </c>
      <c r="H227" s="179" t="s">
        <v>1388</v>
      </c>
      <c r="I227" s="131"/>
      <c r="J227" s="131" t="s">
        <v>1064</v>
      </c>
      <c r="K227" s="131"/>
      <c r="L227" s="277"/>
      <c r="M227" s="265">
        <v>45831</v>
      </c>
      <c r="N227" s="265">
        <v>46164</v>
      </c>
      <c r="O227" s="179">
        <v>11</v>
      </c>
      <c r="P227" s="179"/>
      <c r="Q227" s="131" t="s">
        <v>195</v>
      </c>
      <c r="R227" s="179"/>
      <c r="S227" s="131" t="s">
        <v>1389</v>
      </c>
      <c r="T227" s="131"/>
      <c r="U227" s="131"/>
      <c r="V227" s="131"/>
      <c r="W227" s="131" t="s">
        <v>1390</v>
      </c>
      <c r="X227" s="131"/>
    </row>
    <row r="228" spans="1:24" s="161" customFormat="1" ht="76.5">
      <c r="A228" s="133">
        <v>229</v>
      </c>
      <c r="B228" s="139"/>
      <c r="C228" s="139" t="s">
        <v>1391</v>
      </c>
      <c r="D228" s="133" t="s">
        <v>1392</v>
      </c>
      <c r="E228" s="145" t="s">
        <v>1393</v>
      </c>
      <c r="F228" s="154">
        <v>9656934240</v>
      </c>
      <c r="G228" s="154" t="s">
        <v>1394</v>
      </c>
      <c r="H228" s="139" t="s">
        <v>202</v>
      </c>
      <c r="I228" s="133"/>
      <c r="J228" s="133" t="s">
        <v>445</v>
      </c>
      <c r="K228" s="133"/>
      <c r="L228" s="180"/>
      <c r="M228" s="146">
        <v>45831</v>
      </c>
      <c r="N228" s="146">
        <v>46164</v>
      </c>
      <c r="O228" s="139">
        <v>11</v>
      </c>
      <c r="P228" s="139"/>
      <c r="Q228" s="133" t="s">
        <v>195</v>
      </c>
      <c r="R228" s="139"/>
      <c r="S228" s="133" t="s">
        <v>1395</v>
      </c>
      <c r="T228" s="133"/>
      <c r="U228" s="133"/>
      <c r="V228" s="133"/>
      <c r="W228" s="133"/>
      <c r="X228" s="133"/>
    </row>
    <row r="229" spans="1:24" s="161" customFormat="1" ht="91.5">
      <c r="A229" s="133">
        <v>230</v>
      </c>
      <c r="B229" s="139"/>
      <c r="C229" s="139" t="s">
        <v>1396</v>
      </c>
      <c r="D229" s="133" t="s">
        <v>1397</v>
      </c>
      <c r="E229" s="145" t="s">
        <v>1398</v>
      </c>
      <c r="F229" s="154"/>
      <c r="G229" s="154"/>
      <c r="H229" s="139" t="s">
        <v>241</v>
      </c>
      <c r="I229" s="133"/>
      <c r="J229" s="133" t="s">
        <v>716</v>
      </c>
      <c r="K229" s="133"/>
      <c r="L229" s="180"/>
      <c r="M229" s="146">
        <v>45832</v>
      </c>
      <c r="N229" s="146">
        <v>46165</v>
      </c>
      <c r="O229" s="139">
        <v>11</v>
      </c>
      <c r="P229" s="139"/>
      <c r="Q229" s="133" t="s">
        <v>195</v>
      </c>
      <c r="R229" s="139"/>
      <c r="S229" s="133" t="s">
        <v>1399</v>
      </c>
      <c r="T229" s="133"/>
      <c r="U229" s="133"/>
      <c r="V229" s="133"/>
      <c r="W229" s="133"/>
      <c r="X229" s="133"/>
    </row>
    <row r="230" spans="1:24" s="219" customFormat="1" ht="76.5">
      <c r="A230" s="179">
        <v>231</v>
      </c>
      <c r="B230" s="179"/>
      <c r="C230" s="179" t="s">
        <v>1400</v>
      </c>
      <c r="D230" s="131" t="s">
        <v>1401</v>
      </c>
      <c r="E230" s="132" t="s">
        <v>1402</v>
      </c>
      <c r="F230" s="263">
        <v>9971749097</v>
      </c>
      <c r="G230" s="263" t="s">
        <v>1403</v>
      </c>
      <c r="H230" s="179" t="s">
        <v>194</v>
      </c>
      <c r="I230" s="131"/>
      <c r="J230" s="131" t="s">
        <v>1064</v>
      </c>
      <c r="K230" s="131"/>
      <c r="L230" s="277"/>
      <c r="M230" s="265">
        <v>45832</v>
      </c>
      <c r="N230" s="265">
        <v>46165</v>
      </c>
      <c r="O230" s="179">
        <v>11</v>
      </c>
      <c r="P230" s="179"/>
      <c r="Q230" s="131" t="s">
        <v>195</v>
      </c>
      <c r="R230" s="179"/>
      <c r="S230" s="131" t="s">
        <v>1404</v>
      </c>
      <c r="T230" s="131"/>
      <c r="U230" s="131"/>
      <c r="V230" s="131"/>
      <c r="W230" s="131" t="s">
        <v>243</v>
      </c>
      <c r="X230" s="131"/>
    </row>
    <row r="231" spans="1:24" s="219" customFormat="1" ht="91.5">
      <c r="A231" s="179">
        <v>232</v>
      </c>
      <c r="B231" s="179"/>
      <c r="C231" s="179" t="s">
        <v>1405</v>
      </c>
      <c r="D231" s="131" t="s">
        <v>1406</v>
      </c>
      <c r="E231" s="132" t="s">
        <v>1407</v>
      </c>
      <c r="F231" s="263">
        <v>9971749097</v>
      </c>
      <c r="G231" s="263" t="s">
        <v>1408</v>
      </c>
      <c r="H231" s="179" t="s">
        <v>261</v>
      </c>
      <c r="I231" s="131"/>
      <c r="J231" s="131" t="s">
        <v>1064</v>
      </c>
      <c r="K231" s="131"/>
      <c r="L231" s="277"/>
      <c r="M231" s="265">
        <v>45832</v>
      </c>
      <c r="N231" s="265">
        <v>46165</v>
      </c>
      <c r="O231" s="179">
        <v>11</v>
      </c>
      <c r="P231" s="179"/>
      <c r="Q231" s="131" t="s">
        <v>195</v>
      </c>
      <c r="R231" s="179"/>
      <c r="S231" s="131" t="s">
        <v>1409</v>
      </c>
      <c r="T231" s="131"/>
      <c r="U231" s="131"/>
      <c r="V231" s="131"/>
      <c r="W231" s="131" t="s">
        <v>243</v>
      </c>
      <c r="X231" s="131"/>
    </row>
    <row r="232" spans="1:24" s="219" customFormat="1" ht="91.5">
      <c r="A232" s="131">
        <v>233</v>
      </c>
      <c r="B232" s="179"/>
      <c r="C232" s="179" t="s">
        <v>931</v>
      </c>
      <c r="D232" s="131" t="s">
        <v>1410</v>
      </c>
      <c r="E232" s="132" t="s">
        <v>1411</v>
      </c>
      <c r="F232" s="263">
        <v>9719168574</v>
      </c>
      <c r="G232" s="263" t="s">
        <v>1412</v>
      </c>
      <c r="H232" s="179" t="s">
        <v>241</v>
      </c>
      <c r="I232" s="131"/>
      <c r="J232" s="131" t="s">
        <v>1064</v>
      </c>
      <c r="K232" s="131"/>
      <c r="L232" s="277"/>
      <c r="M232" s="265">
        <v>45832</v>
      </c>
      <c r="N232" s="265">
        <v>46165</v>
      </c>
      <c r="O232" s="179">
        <v>11</v>
      </c>
      <c r="P232" s="179"/>
      <c r="Q232" s="131" t="s">
        <v>195</v>
      </c>
      <c r="R232" s="179"/>
      <c r="S232" s="131" t="s">
        <v>1413</v>
      </c>
      <c r="T232" s="131"/>
      <c r="U232" s="131"/>
      <c r="V232" s="131"/>
      <c r="W232" s="131" t="s">
        <v>243</v>
      </c>
      <c r="X232" s="131"/>
    </row>
    <row r="233" spans="1:24" s="219" customFormat="1" ht="60.75">
      <c r="A233" s="131">
        <v>234</v>
      </c>
      <c r="B233" s="179"/>
      <c r="C233" s="179" t="s">
        <v>1414</v>
      </c>
      <c r="D233" s="131" t="s">
        <v>1415</v>
      </c>
      <c r="E233" s="132" t="s">
        <v>1416</v>
      </c>
      <c r="F233" s="263">
        <v>8000000706</v>
      </c>
      <c r="G233" s="263" t="s">
        <v>1417</v>
      </c>
      <c r="H233" s="179" t="s">
        <v>365</v>
      </c>
      <c r="I233" s="131"/>
      <c r="J233" s="131" t="s">
        <v>445</v>
      </c>
      <c r="K233" s="131"/>
      <c r="L233" s="277"/>
      <c r="M233" s="265">
        <v>45832</v>
      </c>
      <c r="N233" s="265">
        <v>46165</v>
      </c>
      <c r="O233" s="179">
        <v>11</v>
      </c>
      <c r="P233" s="179"/>
      <c r="Q233" s="131" t="s">
        <v>195</v>
      </c>
      <c r="R233" s="179"/>
      <c r="S233" s="131" t="s">
        <v>1418</v>
      </c>
      <c r="T233" s="131"/>
      <c r="U233" s="131"/>
      <c r="V233" s="131"/>
      <c r="W233" s="131" t="s">
        <v>243</v>
      </c>
      <c r="X233" s="131"/>
    </row>
    <row r="234" spans="1:24" s="161" customFormat="1" ht="91.5">
      <c r="A234" s="139">
        <v>235</v>
      </c>
      <c r="B234" s="139"/>
      <c r="C234" s="139" t="s">
        <v>1419</v>
      </c>
      <c r="D234" s="133" t="s">
        <v>1420</v>
      </c>
      <c r="E234" s="145" t="s">
        <v>1421</v>
      </c>
      <c r="F234" s="154">
        <v>9849947260</v>
      </c>
      <c r="G234" s="154" t="s">
        <v>1422</v>
      </c>
      <c r="H234" s="139" t="s">
        <v>690</v>
      </c>
      <c r="I234" s="133"/>
      <c r="J234" s="133" t="s">
        <v>445</v>
      </c>
      <c r="K234" s="133"/>
      <c r="L234" s="180"/>
      <c r="M234" s="146">
        <v>45833</v>
      </c>
      <c r="N234" s="146">
        <v>46166</v>
      </c>
      <c r="O234" s="139">
        <v>11</v>
      </c>
      <c r="P234" s="139"/>
      <c r="Q234" s="133" t="s">
        <v>195</v>
      </c>
      <c r="R234" s="139"/>
      <c r="S234" s="133" t="s">
        <v>1423</v>
      </c>
      <c r="T234" s="133"/>
      <c r="U234" s="133"/>
      <c r="V234" s="133"/>
      <c r="W234" s="133"/>
      <c r="X234" s="133"/>
    </row>
    <row r="235" spans="1:24" s="219" customFormat="1" ht="60.75">
      <c r="A235" s="179">
        <v>236</v>
      </c>
      <c r="B235" s="179"/>
      <c r="C235" s="179" t="s">
        <v>1424</v>
      </c>
      <c r="D235" s="131" t="s">
        <v>1425</v>
      </c>
      <c r="E235" s="132" t="s">
        <v>1426</v>
      </c>
      <c r="F235" s="263" t="s">
        <v>1427</v>
      </c>
      <c r="G235" s="263" t="s">
        <v>1428</v>
      </c>
      <c r="H235" s="179" t="s">
        <v>388</v>
      </c>
      <c r="I235" s="131"/>
      <c r="J235" s="131" t="s">
        <v>1195</v>
      </c>
      <c r="K235" s="131"/>
      <c r="L235" s="277"/>
      <c r="M235" s="265">
        <v>45834</v>
      </c>
      <c r="N235" s="265">
        <v>46167</v>
      </c>
      <c r="O235" s="179">
        <v>11</v>
      </c>
      <c r="P235" s="179"/>
      <c r="Q235" s="131" t="s">
        <v>195</v>
      </c>
      <c r="R235" s="179"/>
      <c r="S235" s="131" t="s">
        <v>1429</v>
      </c>
      <c r="T235" s="131"/>
      <c r="U235" s="131"/>
      <c r="V235" s="131"/>
      <c r="W235" s="131" t="s">
        <v>243</v>
      </c>
      <c r="X235" s="131"/>
    </row>
    <row r="236" spans="1:24" s="161" customFormat="1" ht="60.75">
      <c r="A236" s="133">
        <v>237</v>
      </c>
      <c r="B236" s="139"/>
      <c r="C236" s="139" t="s">
        <v>1430</v>
      </c>
      <c r="D236" s="133" t="s">
        <v>1431</v>
      </c>
      <c r="E236" s="145" t="s">
        <v>1432</v>
      </c>
      <c r="F236" s="154">
        <v>7550170250</v>
      </c>
      <c r="G236" s="154" t="s">
        <v>1433</v>
      </c>
      <c r="H236" s="139" t="s">
        <v>1434</v>
      </c>
      <c r="I236" s="133"/>
      <c r="J236" s="133" t="s">
        <v>1064</v>
      </c>
      <c r="K236" s="133"/>
      <c r="L236" s="180"/>
      <c r="M236" s="146">
        <v>45835</v>
      </c>
      <c r="N236" s="146">
        <v>46168</v>
      </c>
      <c r="O236" s="139">
        <v>11</v>
      </c>
      <c r="P236" s="139"/>
      <c r="Q236" s="133" t="s">
        <v>195</v>
      </c>
      <c r="R236" s="139"/>
      <c r="S236" s="133" t="s">
        <v>1435</v>
      </c>
      <c r="T236" s="133"/>
      <c r="U236" s="133"/>
      <c r="V236" s="133"/>
      <c r="W236" s="133"/>
      <c r="X236" s="133"/>
    </row>
    <row r="237" spans="1:24" s="219" customFormat="1" ht="167.25">
      <c r="A237" s="131">
        <v>238</v>
      </c>
      <c r="B237" s="179"/>
      <c r="C237" s="179" t="s">
        <v>1436</v>
      </c>
      <c r="D237" s="131" t="s">
        <v>1437</v>
      </c>
      <c r="E237" s="132" t="s">
        <v>1438</v>
      </c>
      <c r="F237" s="263">
        <v>9004045018</v>
      </c>
      <c r="G237" s="263" t="s">
        <v>1439</v>
      </c>
      <c r="H237" s="179" t="s">
        <v>365</v>
      </c>
      <c r="I237" s="131"/>
      <c r="J237" s="131" t="s">
        <v>1064</v>
      </c>
      <c r="K237" s="131"/>
      <c r="L237" s="277"/>
      <c r="M237" s="265">
        <v>45835</v>
      </c>
      <c r="N237" s="265">
        <v>46168</v>
      </c>
      <c r="O237" s="179">
        <v>11</v>
      </c>
      <c r="P237" s="179"/>
      <c r="Q237" s="131" t="s">
        <v>195</v>
      </c>
      <c r="R237" s="179"/>
      <c r="S237" s="131" t="s">
        <v>1440</v>
      </c>
      <c r="T237" s="131"/>
      <c r="U237" s="131"/>
      <c r="V237" s="131"/>
      <c r="W237" s="131" t="s">
        <v>243</v>
      </c>
      <c r="X237" s="131"/>
    </row>
    <row r="238" spans="1:24" s="161" customFormat="1" ht="91.5">
      <c r="A238" s="139">
        <v>239</v>
      </c>
      <c r="B238" s="139"/>
      <c r="C238" s="139" t="s">
        <v>1441</v>
      </c>
      <c r="D238" s="133" t="s">
        <v>1442</v>
      </c>
      <c r="E238" s="145" t="s">
        <v>1443</v>
      </c>
      <c r="F238" s="154">
        <v>9849741539</v>
      </c>
      <c r="G238" s="154" t="s">
        <v>1444</v>
      </c>
      <c r="H238" s="139" t="s">
        <v>690</v>
      </c>
      <c r="I238" s="133"/>
      <c r="J238" s="133" t="s">
        <v>716</v>
      </c>
      <c r="K238" s="133"/>
      <c r="L238" s="180"/>
      <c r="M238" s="146">
        <v>45835</v>
      </c>
      <c r="N238" s="146">
        <v>46168</v>
      </c>
      <c r="O238" s="139">
        <v>11</v>
      </c>
      <c r="P238" s="139"/>
      <c r="Q238" s="133" t="s">
        <v>195</v>
      </c>
      <c r="R238" s="139"/>
      <c r="S238" s="133" t="s">
        <v>1445</v>
      </c>
      <c r="T238" s="133"/>
      <c r="U238" s="133"/>
      <c r="V238" s="133"/>
      <c r="W238" s="133"/>
      <c r="X238" s="133"/>
    </row>
    <row r="239" spans="1:24" s="161" customFormat="1" ht="106.5">
      <c r="A239" s="139">
        <v>240</v>
      </c>
      <c r="B239" s="139"/>
      <c r="C239" s="139" t="s">
        <v>1446</v>
      </c>
      <c r="D239" s="133" t="s">
        <v>1447</v>
      </c>
      <c r="E239" s="145" t="s">
        <v>1448</v>
      </c>
      <c r="F239" s="154">
        <v>9737926194</v>
      </c>
      <c r="G239" s="154" t="s">
        <v>1449</v>
      </c>
      <c r="H239" s="139" t="s">
        <v>365</v>
      </c>
      <c r="I239" s="133"/>
      <c r="J239" s="133" t="s">
        <v>716</v>
      </c>
      <c r="K239" s="133"/>
      <c r="L239" s="180"/>
      <c r="M239" s="146">
        <v>45838</v>
      </c>
      <c r="N239" s="146">
        <v>46171</v>
      </c>
      <c r="O239" s="139">
        <v>11</v>
      </c>
      <c r="P239" s="139"/>
      <c r="Q239" s="133" t="s">
        <v>195</v>
      </c>
      <c r="R239" s="139"/>
      <c r="S239" s="133" t="s">
        <v>1450</v>
      </c>
      <c r="T239" s="133"/>
      <c r="U239" s="133"/>
      <c r="V239" s="133"/>
      <c r="W239" s="133"/>
      <c r="X239" s="133"/>
    </row>
    <row r="240" spans="1:24" s="219" customFormat="1" ht="91.5">
      <c r="A240" s="131">
        <v>241</v>
      </c>
      <c r="B240" s="179"/>
      <c r="C240" s="179" t="s">
        <v>1451</v>
      </c>
      <c r="D240" s="131" t="s">
        <v>1452</v>
      </c>
      <c r="E240" s="132" t="s">
        <v>1453</v>
      </c>
      <c r="F240" s="263">
        <v>9611190440</v>
      </c>
      <c r="G240" s="263" t="s">
        <v>1454</v>
      </c>
      <c r="H240" s="179" t="s">
        <v>194</v>
      </c>
      <c r="I240" s="131"/>
      <c r="J240" s="131" t="s">
        <v>1280</v>
      </c>
      <c r="K240" s="131"/>
      <c r="L240" s="277"/>
      <c r="M240" s="265">
        <v>45838</v>
      </c>
      <c r="N240" s="265">
        <v>46171</v>
      </c>
      <c r="O240" s="179">
        <v>11</v>
      </c>
      <c r="P240" s="179"/>
      <c r="Q240" s="131" t="s">
        <v>195</v>
      </c>
      <c r="R240" s="179"/>
      <c r="S240" s="131" t="s">
        <v>1455</v>
      </c>
      <c r="T240" s="131"/>
      <c r="U240" s="131"/>
      <c r="V240" s="131"/>
      <c r="W240" s="131" t="s">
        <v>243</v>
      </c>
      <c r="X240" s="131"/>
    </row>
    <row r="241" spans="1:24" s="219" customFormat="1" ht="106.5">
      <c r="A241" s="131">
        <v>242</v>
      </c>
      <c r="B241" s="179"/>
      <c r="C241" s="179" t="s">
        <v>1456</v>
      </c>
      <c r="D241" s="131" t="s">
        <v>1457</v>
      </c>
      <c r="E241" s="132" t="s">
        <v>1458</v>
      </c>
      <c r="F241" s="263">
        <v>9844616383</v>
      </c>
      <c r="G241" s="263" t="s">
        <v>1459</v>
      </c>
      <c r="H241" s="179" t="s">
        <v>395</v>
      </c>
      <c r="I241" s="131"/>
      <c r="J241" s="131" t="s">
        <v>445</v>
      </c>
      <c r="K241" s="131"/>
      <c r="L241" s="277"/>
      <c r="M241" s="265">
        <v>45838</v>
      </c>
      <c r="N241" s="265">
        <v>46171</v>
      </c>
      <c r="O241" s="179">
        <v>11</v>
      </c>
      <c r="P241" s="179"/>
      <c r="Q241" s="131" t="s">
        <v>195</v>
      </c>
      <c r="R241" s="179"/>
      <c r="S241" s="131" t="s">
        <v>1460</v>
      </c>
      <c r="T241" s="131"/>
      <c r="U241" s="131"/>
      <c r="V241" s="131"/>
      <c r="W241" s="131" t="s">
        <v>243</v>
      </c>
      <c r="X241" s="131"/>
    </row>
    <row r="242" spans="1:24" s="161" customFormat="1" ht="91.5">
      <c r="A242" s="139">
        <v>243</v>
      </c>
      <c r="B242" s="139"/>
      <c r="C242" s="139" t="s">
        <v>1461</v>
      </c>
      <c r="D242" s="133" t="s">
        <v>1462</v>
      </c>
      <c r="E242" s="145" t="s">
        <v>1463</v>
      </c>
      <c r="F242" s="154">
        <v>9717500226</v>
      </c>
      <c r="G242" s="154" t="s">
        <v>1464</v>
      </c>
      <c r="H242" s="139" t="s">
        <v>365</v>
      </c>
      <c r="I242" s="133"/>
      <c r="J242" s="133" t="s">
        <v>445</v>
      </c>
      <c r="K242" s="133"/>
      <c r="L242" s="180"/>
      <c r="M242" s="146">
        <v>45838</v>
      </c>
      <c r="N242" s="146">
        <v>46171</v>
      </c>
      <c r="O242" s="139">
        <v>11</v>
      </c>
      <c r="P242" s="139"/>
      <c r="Q242" s="133" t="s">
        <v>195</v>
      </c>
      <c r="R242" s="139"/>
      <c r="S242" s="133" t="s">
        <v>1465</v>
      </c>
      <c r="T242" s="133"/>
      <c r="U242" s="133"/>
      <c r="V242" s="133"/>
      <c r="W242" s="133"/>
      <c r="X242" s="133"/>
    </row>
    <row r="243" spans="1:24" s="219" customFormat="1" ht="76.5">
      <c r="A243" s="179">
        <v>244</v>
      </c>
      <c r="B243" s="179"/>
      <c r="C243" s="179" t="s">
        <v>1466</v>
      </c>
      <c r="D243" s="131" t="s">
        <v>1467</v>
      </c>
      <c r="E243" s="132" t="s">
        <v>1468</v>
      </c>
      <c r="F243" s="263">
        <v>9916154549</v>
      </c>
      <c r="G243" s="263" t="s">
        <v>1469</v>
      </c>
      <c r="H243" s="179" t="s">
        <v>492</v>
      </c>
      <c r="I243" s="131"/>
      <c r="J243" s="131" t="s">
        <v>1064</v>
      </c>
      <c r="K243" s="131"/>
      <c r="L243" s="277"/>
      <c r="M243" s="265">
        <v>45838</v>
      </c>
      <c r="N243" s="265">
        <v>46171</v>
      </c>
      <c r="O243" s="179">
        <v>11</v>
      </c>
      <c r="P243" s="179"/>
      <c r="Q243" s="131" t="s">
        <v>176</v>
      </c>
      <c r="R243" s="179"/>
      <c r="S243" s="131" t="s">
        <v>1470</v>
      </c>
      <c r="T243" s="131"/>
      <c r="U243" s="131"/>
      <c r="V243" s="131"/>
      <c r="W243" s="131" t="s">
        <v>243</v>
      </c>
      <c r="X243" s="131"/>
    </row>
    <row r="244" spans="1:24" s="161" customFormat="1" ht="60.75">
      <c r="A244" s="133">
        <v>245</v>
      </c>
      <c r="B244" s="139"/>
      <c r="C244" s="139" t="s">
        <v>1471</v>
      </c>
      <c r="D244" s="133" t="s">
        <v>1472</v>
      </c>
      <c r="E244" s="145" t="s">
        <v>1473</v>
      </c>
      <c r="F244" s="154">
        <v>7018961720</v>
      </c>
      <c r="G244" s="154" t="s">
        <v>1474</v>
      </c>
      <c r="H244" s="139" t="s">
        <v>684</v>
      </c>
      <c r="I244" s="133"/>
      <c r="J244" s="133" t="s">
        <v>1064</v>
      </c>
      <c r="K244" s="133"/>
      <c r="L244" s="180"/>
      <c r="M244" s="146">
        <v>45838</v>
      </c>
      <c r="N244" s="146">
        <v>46171</v>
      </c>
      <c r="O244" s="139">
        <v>11</v>
      </c>
      <c r="P244" s="139"/>
      <c r="Q244" s="133" t="s">
        <v>176</v>
      </c>
      <c r="R244" s="139"/>
      <c r="S244" s="133" t="s">
        <v>1475</v>
      </c>
      <c r="T244" s="133"/>
      <c r="U244" s="133"/>
      <c r="V244" s="133"/>
      <c r="W244" s="133"/>
      <c r="X244" s="133"/>
    </row>
    <row r="245" spans="1:24" s="161" customFormat="1" ht="76.5">
      <c r="A245" s="133">
        <v>246</v>
      </c>
      <c r="B245" s="139"/>
      <c r="C245" s="139" t="s">
        <v>1476</v>
      </c>
      <c r="D245" s="133" t="s">
        <v>1477</v>
      </c>
      <c r="E245" s="145" t="s">
        <v>1478</v>
      </c>
      <c r="F245" s="154">
        <v>9949392884</v>
      </c>
      <c r="G245" s="154" t="s">
        <v>1479</v>
      </c>
      <c r="H245" s="139" t="s">
        <v>690</v>
      </c>
      <c r="I245" s="133"/>
      <c r="J245" s="133" t="s">
        <v>716</v>
      </c>
      <c r="K245" s="133"/>
      <c r="L245" s="180"/>
      <c r="M245" s="146">
        <v>45838</v>
      </c>
      <c r="N245" s="146">
        <v>46171</v>
      </c>
      <c r="O245" s="139">
        <v>11</v>
      </c>
      <c r="P245" s="139"/>
      <c r="Q245" s="133" t="s">
        <v>195</v>
      </c>
      <c r="R245" s="139"/>
      <c r="S245" s="133" t="s">
        <v>1480</v>
      </c>
      <c r="T245" s="133"/>
      <c r="U245" s="133"/>
      <c r="V245" s="133"/>
      <c r="W245" s="133"/>
      <c r="X245" s="133"/>
    </row>
    <row r="246" spans="1:24" s="161" customFormat="1" ht="106.5">
      <c r="A246" s="139">
        <v>247</v>
      </c>
      <c r="B246" s="139"/>
      <c r="C246" s="139" t="s">
        <v>1481</v>
      </c>
      <c r="D246" s="133" t="s">
        <v>1482</v>
      </c>
      <c r="E246" s="145" t="s">
        <v>1483</v>
      </c>
      <c r="F246" s="154">
        <v>9962594033</v>
      </c>
      <c r="G246" s="154" t="s">
        <v>1484</v>
      </c>
      <c r="H246" s="139" t="s">
        <v>348</v>
      </c>
      <c r="I246" s="133"/>
      <c r="J246" s="133" t="s">
        <v>1064</v>
      </c>
      <c r="K246" s="133"/>
      <c r="L246" s="180"/>
      <c r="M246" s="146">
        <v>45839</v>
      </c>
      <c r="N246" s="146">
        <v>46173</v>
      </c>
      <c r="O246" s="139">
        <v>11</v>
      </c>
      <c r="P246" s="139"/>
      <c r="Q246" s="133" t="s">
        <v>195</v>
      </c>
      <c r="R246" s="139"/>
      <c r="S246" s="133" t="s">
        <v>1485</v>
      </c>
      <c r="T246" s="133"/>
      <c r="U246" s="133"/>
      <c r="V246" s="133"/>
      <c r="W246" s="133"/>
      <c r="X246" s="133"/>
    </row>
    <row r="247" spans="1:24" s="161" customFormat="1" ht="60.75">
      <c r="A247" s="139">
        <v>248</v>
      </c>
      <c r="B247" s="139"/>
      <c r="C247" s="139" t="s">
        <v>1486</v>
      </c>
      <c r="D247" s="133" t="s">
        <v>1487</v>
      </c>
      <c r="E247" s="145" t="s">
        <v>1488</v>
      </c>
      <c r="F247" s="154">
        <v>9544131235</v>
      </c>
      <c r="G247" s="154" t="s">
        <v>1489</v>
      </c>
      <c r="H247" s="139" t="s">
        <v>1490</v>
      </c>
      <c r="I247" s="133"/>
      <c r="J247" s="133" t="s">
        <v>445</v>
      </c>
      <c r="K247" s="133"/>
      <c r="L247" s="180"/>
      <c r="M247" s="146">
        <v>45839</v>
      </c>
      <c r="N247" s="146">
        <v>46173</v>
      </c>
      <c r="O247" s="139">
        <v>11</v>
      </c>
      <c r="P247" s="139"/>
      <c r="Q247" s="133" t="s">
        <v>195</v>
      </c>
      <c r="R247" s="139"/>
      <c r="S247" s="133" t="s">
        <v>1491</v>
      </c>
      <c r="T247" s="133"/>
      <c r="U247" s="133"/>
      <c r="V247" s="133"/>
      <c r="W247" s="133"/>
      <c r="X247" s="133"/>
    </row>
    <row r="248" spans="1:24" s="161" customFormat="1" ht="76.5">
      <c r="A248" s="133">
        <v>249</v>
      </c>
      <c r="B248" s="139"/>
      <c r="C248" s="139" t="s">
        <v>1492</v>
      </c>
      <c r="D248" s="133" t="s">
        <v>1493</v>
      </c>
      <c r="E248" s="145" t="s">
        <v>1494</v>
      </c>
      <c r="F248" s="154">
        <v>8587062759</v>
      </c>
      <c r="G248" s="154" t="s">
        <v>1495</v>
      </c>
      <c r="H248" s="139" t="s">
        <v>194</v>
      </c>
      <c r="I248" s="133"/>
      <c r="J248" s="133" t="s">
        <v>445</v>
      </c>
      <c r="K248" s="133"/>
      <c r="L248" s="180"/>
      <c r="M248" s="146">
        <v>45839</v>
      </c>
      <c r="N248" s="146">
        <v>46173</v>
      </c>
      <c r="O248" s="139">
        <v>11</v>
      </c>
      <c r="P248" s="139"/>
      <c r="Q248" s="133" t="s">
        <v>195</v>
      </c>
      <c r="R248" s="139"/>
      <c r="S248" s="133" t="s">
        <v>1496</v>
      </c>
      <c r="T248" s="133"/>
      <c r="U248" s="133"/>
      <c r="V248" s="133"/>
      <c r="W248" s="133"/>
      <c r="X248" s="133"/>
    </row>
    <row r="249" spans="1:24" s="161" customFormat="1" ht="76.5">
      <c r="A249" s="133">
        <v>250</v>
      </c>
      <c r="B249" s="139"/>
      <c r="C249" s="139" t="s">
        <v>1497</v>
      </c>
      <c r="D249" s="133" t="s">
        <v>1498</v>
      </c>
      <c r="E249" s="145" t="s">
        <v>1499</v>
      </c>
      <c r="F249" s="154">
        <v>7977075466</v>
      </c>
      <c r="G249" s="154" t="s">
        <v>1500</v>
      </c>
      <c r="H249" s="139" t="s">
        <v>241</v>
      </c>
      <c r="I249" s="133"/>
      <c r="J249" s="133" t="s">
        <v>1064</v>
      </c>
      <c r="K249" s="133"/>
      <c r="L249" s="180"/>
      <c r="M249" s="146">
        <v>45839</v>
      </c>
      <c r="N249" s="146">
        <v>46173</v>
      </c>
      <c r="O249" s="139">
        <v>11</v>
      </c>
      <c r="P249" s="139"/>
      <c r="Q249" s="133" t="s">
        <v>195</v>
      </c>
      <c r="R249" s="139"/>
      <c r="S249" s="133" t="s">
        <v>1501</v>
      </c>
      <c r="T249" s="133"/>
      <c r="U249" s="133"/>
      <c r="V249" s="133"/>
      <c r="W249" s="133"/>
      <c r="X249" s="133"/>
    </row>
    <row r="250" spans="1:24" s="161" customFormat="1" ht="152.25">
      <c r="A250" s="139">
        <v>251</v>
      </c>
      <c r="B250" s="139"/>
      <c r="C250" s="139" t="s">
        <v>1502</v>
      </c>
      <c r="D250" s="133" t="s">
        <v>1503</v>
      </c>
      <c r="E250" s="145" t="s">
        <v>1504</v>
      </c>
      <c r="F250" s="141">
        <v>8893308674</v>
      </c>
      <c r="G250" s="135" t="s">
        <v>1505</v>
      </c>
      <c r="H250" s="139" t="s">
        <v>202</v>
      </c>
      <c r="I250" s="133"/>
      <c r="J250" s="133" t="s">
        <v>445</v>
      </c>
      <c r="K250" s="133"/>
      <c r="L250" s="180"/>
      <c r="M250" s="146">
        <v>45841</v>
      </c>
      <c r="N250" s="146">
        <v>46144</v>
      </c>
      <c r="O250" s="139">
        <v>11</v>
      </c>
      <c r="P250" s="139"/>
      <c r="Q250" s="133" t="s">
        <v>195</v>
      </c>
      <c r="R250" s="139"/>
      <c r="S250" s="133" t="s">
        <v>1506</v>
      </c>
      <c r="T250" s="133"/>
      <c r="U250" s="133"/>
      <c r="V250" s="133"/>
      <c r="W250" s="133"/>
      <c r="X250" s="133"/>
    </row>
    <row r="251" spans="1:24" s="161" customFormat="1" ht="76.5">
      <c r="A251" s="139">
        <v>252</v>
      </c>
      <c r="B251" s="139"/>
      <c r="C251" s="139" t="s">
        <v>1507</v>
      </c>
      <c r="D251" s="133" t="s">
        <v>1508</v>
      </c>
      <c r="E251" s="145" t="s">
        <v>1509</v>
      </c>
      <c r="F251" s="141">
        <v>8527789200</v>
      </c>
      <c r="G251" s="135" t="s">
        <v>1510</v>
      </c>
      <c r="H251" s="139" t="s">
        <v>194</v>
      </c>
      <c r="I251" s="133"/>
      <c r="J251" s="133" t="s">
        <v>445</v>
      </c>
      <c r="K251" s="133"/>
      <c r="L251" s="180"/>
      <c r="M251" s="146">
        <v>45841</v>
      </c>
      <c r="N251" s="146">
        <v>46144</v>
      </c>
      <c r="O251" s="139">
        <v>11</v>
      </c>
      <c r="P251" s="139"/>
      <c r="Q251" s="133" t="s">
        <v>195</v>
      </c>
      <c r="R251" s="139"/>
      <c r="S251" s="133" t="s">
        <v>1511</v>
      </c>
      <c r="T251" s="133"/>
      <c r="U251" s="133"/>
      <c r="V251" s="133"/>
      <c r="W251" s="133"/>
      <c r="X251" s="133"/>
    </row>
    <row r="252" spans="1:24" s="161" customFormat="1" ht="76.5">
      <c r="A252" s="133">
        <v>253</v>
      </c>
      <c r="B252" s="139"/>
      <c r="C252" s="139" t="s">
        <v>1512</v>
      </c>
      <c r="D252" s="133" t="s">
        <v>1513</v>
      </c>
      <c r="E252" s="145" t="s">
        <v>1514</v>
      </c>
      <c r="F252" s="141">
        <v>9687718142</v>
      </c>
      <c r="G252" s="135" t="s">
        <v>1515</v>
      </c>
      <c r="H252" s="139" t="s">
        <v>365</v>
      </c>
      <c r="I252" s="133"/>
      <c r="J252" s="133" t="s">
        <v>1064</v>
      </c>
      <c r="K252" s="133"/>
      <c r="L252" s="180"/>
      <c r="M252" s="146">
        <v>45841</v>
      </c>
      <c r="N252" s="146">
        <v>46144</v>
      </c>
      <c r="O252" s="139">
        <v>11</v>
      </c>
      <c r="P252" s="139"/>
      <c r="Q252" s="133" t="s">
        <v>195</v>
      </c>
      <c r="R252" s="139"/>
      <c r="S252" s="133" t="s">
        <v>1516</v>
      </c>
      <c r="T252" s="133"/>
      <c r="U252" s="133"/>
      <c r="V252" s="133"/>
      <c r="W252" s="133"/>
      <c r="X252" s="133"/>
    </row>
    <row r="253" spans="1:24" s="219" customFormat="1" ht="106.5">
      <c r="A253" s="131">
        <v>254</v>
      </c>
      <c r="B253" s="179"/>
      <c r="C253" s="179" t="s">
        <v>1517</v>
      </c>
      <c r="D253" s="131" t="s">
        <v>1518</v>
      </c>
      <c r="E253" s="132" t="s">
        <v>1519</v>
      </c>
      <c r="F253" s="263">
        <v>9707376530</v>
      </c>
      <c r="G253" s="263" t="s">
        <v>1520</v>
      </c>
      <c r="H253" s="179" t="s">
        <v>492</v>
      </c>
      <c r="I253" s="131"/>
      <c r="J253" s="131" t="s">
        <v>445</v>
      </c>
      <c r="K253" s="131"/>
      <c r="L253" s="277"/>
      <c r="M253" s="265">
        <v>45842</v>
      </c>
      <c r="N253" s="265">
        <v>46145</v>
      </c>
      <c r="O253" s="179">
        <v>11</v>
      </c>
      <c r="P253" s="179"/>
      <c r="Q253" s="131" t="s">
        <v>195</v>
      </c>
      <c r="R253" s="179"/>
      <c r="S253" s="131" t="s">
        <v>1521</v>
      </c>
      <c r="T253" s="131"/>
      <c r="U253" s="131"/>
      <c r="V253" s="131"/>
      <c r="W253" s="131" t="s">
        <v>243</v>
      </c>
      <c r="X253" s="131"/>
    </row>
    <row r="254" spans="1:24" s="161" customFormat="1" ht="91.5">
      <c r="A254" s="139">
        <v>255</v>
      </c>
      <c r="B254" s="139"/>
      <c r="C254" s="133" t="s">
        <v>1522</v>
      </c>
      <c r="D254" s="133" t="s">
        <v>1523</v>
      </c>
      <c r="E254" s="145" t="s">
        <v>1524</v>
      </c>
      <c r="F254" s="154">
        <v>9920105002</v>
      </c>
      <c r="G254" s="154"/>
      <c r="H254" s="139" t="s">
        <v>1525</v>
      </c>
      <c r="I254" s="133"/>
      <c r="J254" s="133" t="s">
        <v>445</v>
      </c>
      <c r="K254" s="133"/>
      <c r="L254" s="180"/>
      <c r="M254" s="146">
        <v>45842</v>
      </c>
      <c r="N254" s="146">
        <v>46145</v>
      </c>
      <c r="O254" s="139">
        <v>11</v>
      </c>
      <c r="P254" s="139"/>
      <c r="Q254" s="133" t="s">
        <v>203</v>
      </c>
      <c r="R254" s="139"/>
      <c r="S254" s="133" t="s">
        <v>1526</v>
      </c>
      <c r="T254" s="133"/>
      <c r="U254" s="133"/>
      <c r="V254" s="133"/>
      <c r="W254" s="133"/>
      <c r="X254" s="133"/>
    </row>
    <row r="255" spans="1:24" s="219" customFormat="1" ht="76.5">
      <c r="A255" s="179">
        <v>256</v>
      </c>
      <c r="B255" s="179"/>
      <c r="C255" s="179" t="s">
        <v>1527</v>
      </c>
      <c r="D255" s="131" t="s">
        <v>1528</v>
      </c>
      <c r="E255" s="132" t="s">
        <v>1529</v>
      </c>
      <c r="F255" s="263">
        <v>9971601653</v>
      </c>
      <c r="G255" s="263" t="s">
        <v>1530</v>
      </c>
      <c r="H255" s="179" t="s">
        <v>416</v>
      </c>
      <c r="I255" s="131"/>
      <c r="J255" s="131" t="s">
        <v>1064</v>
      </c>
      <c r="K255" s="131"/>
      <c r="L255" s="277"/>
      <c r="M255" s="265">
        <v>45843</v>
      </c>
      <c r="N255" s="265">
        <v>46146</v>
      </c>
      <c r="O255" s="179">
        <v>11</v>
      </c>
      <c r="P255" s="179"/>
      <c r="Q255" s="131" t="s">
        <v>176</v>
      </c>
      <c r="R255" s="179"/>
      <c r="S255" s="131" t="s">
        <v>1531</v>
      </c>
      <c r="T255" s="131"/>
      <c r="U255" s="131"/>
      <c r="V255" s="131"/>
      <c r="W255" s="131" t="s">
        <v>243</v>
      </c>
      <c r="X255" s="131"/>
    </row>
    <row r="256" spans="1:24" s="161" customFormat="1" ht="60.75">
      <c r="A256" s="133">
        <v>257</v>
      </c>
      <c r="B256" s="139"/>
      <c r="C256" s="139" t="s">
        <v>1532</v>
      </c>
      <c r="D256" s="133" t="s">
        <v>1533</v>
      </c>
      <c r="E256" s="145" t="s">
        <v>1534</v>
      </c>
      <c r="F256" s="154">
        <v>9605674234</v>
      </c>
      <c r="G256" s="154" t="s">
        <v>1535</v>
      </c>
      <c r="H256" s="139" t="s">
        <v>1536</v>
      </c>
      <c r="I256" s="133"/>
      <c r="J256" s="133" t="s">
        <v>1064</v>
      </c>
      <c r="K256" s="133"/>
      <c r="L256" s="180"/>
      <c r="M256" s="146">
        <v>45845</v>
      </c>
      <c r="N256" s="146">
        <v>46148</v>
      </c>
      <c r="O256" s="139">
        <v>11</v>
      </c>
      <c r="P256" s="139"/>
      <c r="Q256" s="133" t="s">
        <v>195</v>
      </c>
      <c r="R256" s="139"/>
      <c r="S256" s="133" t="s">
        <v>1537</v>
      </c>
      <c r="T256" s="133"/>
      <c r="U256" s="133"/>
      <c r="V256" s="133"/>
      <c r="W256" s="133"/>
      <c r="X256" s="133"/>
    </row>
    <row r="257" spans="1:24" s="219" customFormat="1" ht="91.5">
      <c r="A257" s="131">
        <v>258</v>
      </c>
      <c r="B257" s="179"/>
      <c r="C257" s="179" t="s">
        <v>1538</v>
      </c>
      <c r="D257" s="131" t="s">
        <v>1539</v>
      </c>
      <c r="E257" s="132" t="s">
        <v>1540</v>
      </c>
      <c r="F257" s="263">
        <v>9845006732</v>
      </c>
      <c r="G257" s="263" t="s">
        <v>1541</v>
      </c>
      <c r="H257" s="179" t="s">
        <v>416</v>
      </c>
      <c r="I257" s="131"/>
      <c r="J257" s="131" t="s">
        <v>716</v>
      </c>
      <c r="K257" s="131"/>
      <c r="L257" s="277"/>
      <c r="M257" s="265">
        <v>45845</v>
      </c>
      <c r="N257" s="265">
        <v>46148</v>
      </c>
      <c r="O257" s="179">
        <v>11</v>
      </c>
      <c r="P257" s="179"/>
      <c r="Q257" s="131" t="s">
        <v>195</v>
      </c>
      <c r="R257" s="179"/>
      <c r="S257" s="131" t="s">
        <v>1542</v>
      </c>
      <c r="T257" s="131"/>
      <c r="U257" s="131"/>
      <c r="V257" s="131"/>
      <c r="W257" s="131" t="s">
        <v>243</v>
      </c>
      <c r="X257" s="131"/>
    </row>
    <row r="258" spans="1:24" s="161" customFormat="1" ht="91.5">
      <c r="A258" s="139">
        <v>259</v>
      </c>
      <c r="B258" s="139"/>
      <c r="C258" s="139" t="s">
        <v>1543</v>
      </c>
      <c r="D258" s="133" t="s">
        <v>1544</v>
      </c>
      <c r="E258" s="145" t="s">
        <v>1545</v>
      </c>
      <c r="F258" s="154">
        <v>9871068582</v>
      </c>
      <c r="G258" s="154" t="s">
        <v>1546</v>
      </c>
      <c r="H258" s="139" t="s">
        <v>194</v>
      </c>
      <c r="I258" s="133"/>
      <c r="J258" s="133" t="s">
        <v>1064</v>
      </c>
      <c r="K258" s="133"/>
      <c r="L258" s="180"/>
      <c r="M258" s="146">
        <v>45845</v>
      </c>
      <c r="N258" s="146">
        <v>46148</v>
      </c>
      <c r="O258" s="139">
        <v>11</v>
      </c>
      <c r="P258" s="139"/>
      <c r="Q258" s="133" t="s">
        <v>195</v>
      </c>
      <c r="R258" s="139"/>
      <c r="S258" s="133" t="s">
        <v>1547</v>
      </c>
      <c r="T258" s="133"/>
      <c r="U258" s="133"/>
      <c r="V258" s="133"/>
      <c r="W258" s="133"/>
      <c r="X258" s="133"/>
    </row>
    <row r="259" spans="1:24" s="219" customFormat="1" ht="91.5">
      <c r="A259" s="179">
        <v>260</v>
      </c>
      <c r="B259" s="179"/>
      <c r="C259" s="179" t="s">
        <v>1548</v>
      </c>
      <c r="D259" s="131" t="s">
        <v>1549</v>
      </c>
      <c r="E259" s="132" t="s">
        <v>1550</v>
      </c>
      <c r="F259" s="263">
        <v>9611772597</v>
      </c>
      <c r="G259" s="263" t="s">
        <v>1551</v>
      </c>
      <c r="H259" s="179" t="s">
        <v>416</v>
      </c>
      <c r="I259" s="131"/>
      <c r="J259" s="131" t="s">
        <v>1064</v>
      </c>
      <c r="K259" s="131"/>
      <c r="L259" s="277"/>
      <c r="M259" s="265">
        <v>45845</v>
      </c>
      <c r="N259" s="265">
        <v>46148</v>
      </c>
      <c r="O259" s="179">
        <v>11</v>
      </c>
      <c r="P259" s="179"/>
      <c r="Q259" s="131" t="s">
        <v>195</v>
      </c>
      <c r="R259" s="179"/>
      <c r="S259" s="131" t="s">
        <v>1552</v>
      </c>
      <c r="T259" s="131"/>
      <c r="U259" s="131"/>
      <c r="V259" s="131"/>
      <c r="W259" s="131" t="s">
        <v>243</v>
      </c>
      <c r="X259" s="131"/>
    </row>
    <row r="260" spans="1:24" s="161" customFormat="1" ht="60.75">
      <c r="A260" s="133">
        <v>261</v>
      </c>
      <c r="B260" s="139"/>
      <c r="C260" s="139" t="s">
        <v>1553</v>
      </c>
      <c r="D260" s="133" t="s">
        <v>1554</v>
      </c>
      <c r="E260" s="145" t="s">
        <v>1555</v>
      </c>
      <c r="F260" s="154">
        <v>9570791319</v>
      </c>
      <c r="G260" s="154" t="s">
        <v>1556</v>
      </c>
      <c r="H260" s="139" t="s">
        <v>303</v>
      </c>
      <c r="I260" s="133"/>
      <c r="J260" s="133" t="s">
        <v>445</v>
      </c>
      <c r="K260" s="133"/>
      <c r="L260" s="180"/>
      <c r="M260" s="146">
        <v>45846</v>
      </c>
      <c r="N260" s="146">
        <v>46149</v>
      </c>
      <c r="O260" s="139">
        <v>11</v>
      </c>
      <c r="P260" s="139"/>
      <c r="Q260" s="133" t="s">
        <v>195</v>
      </c>
      <c r="R260" s="139"/>
      <c r="S260" s="133" t="s">
        <v>1557</v>
      </c>
      <c r="T260" s="133"/>
      <c r="U260" s="133"/>
      <c r="V260" s="133"/>
      <c r="W260" s="133"/>
      <c r="X260" s="133"/>
    </row>
    <row r="261" spans="1:24" s="219" customFormat="1" ht="76.5">
      <c r="A261" s="131">
        <v>262</v>
      </c>
      <c r="B261" s="179"/>
      <c r="C261" s="179" t="s">
        <v>1558</v>
      </c>
      <c r="D261" s="131" t="s">
        <v>1559</v>
      </c>
      <c r="E261" s="132" t="s">
        <v>1560</v>
      </c>
      <c r="F261" s="263">
        <v>9509356653</v>
      </c>
      <c r="G261" s="263" t="s">
        <v>1561</v>
      </c>
      <c r="H261" s="179" t="s">
        <v>444</v>
      </c>
      <c r="I261" s="131"/>
      <c r="J261" s="131" t="s">
        <v>716</v>
      </c>
      <c r="K261" s="131"/>
      <c r="L261" s="277"/>
      <c r="M261" s="265">
        <v>45846</v>
      </c>
      <c r="N261" s="265">
        <v>46149</v>
      </c>
      <c r="O261" s="179">
        <v>11</v>
      </c>
      <c r="P261" s="179"/>
      <c r="Q261" s="131" t="s">
        <v>195</v>
      </c>
      <c r="R261" s="179"/>
      <c r="S261" s="131" t="s">
        <v>1562</v>
      </c>
      <c r="T261" s="131"/>
      <c r="U261" s="131"/>
      <c r="V261" s="131"/>
      <c r="W261" s="131" t="s">
        <v>513</v>
      </c>
      <c r="X261" s="131"/>
    </row>
    <row r="262" spans="1:24" s="219" customFormat="1" ht="106.5">
      <c r="A262" s="179">
        <v>263</v>
      </c>
      <c r="B262" s="179"/>
      <c r="C262" s="179" t="s">
        <v>1563</v>
      </c>
      <c r="D262" s="131" t="s">
        <v>1564</v>
      </c>
      <c r="E262" s="132" t="s">
        <v>1565</v>
      </c>
      <c r="F262" s="263">
        <v>7046714401</v>
      </c>
      <c r="G262" s="263" t="s">
        <v>1566</v>
      </c>
      <c r="H262" s="179" t="s">
        <v>365</v>
      </c>
      <c r="I262" s="131"/>
      <c r="J262" s="131" t="s">
        <v>716</v>
      </c>
      <c r="K262" s="131"/>
      <c r="L262" s="277"/>
      <c r="M262" s="265">
        <v>45847</v>
      </c>
      <c r="N262" s="265">
        <v>46150</v>
      </c>
      <c r="O262" s="179">
        <v>11</v>
      </c>
      <c r="P262" s="179"/>
      <c r="Q262" s="131" t="s">
        <v>195</v>
      </c>
      <c r="R262" s="179"/>
      <c r="S262" s="131" t="s">
        <v>1567</v>
      </c>
      <c r="T262" s="131"/>
      <c r="U262" s="131"/>
      <c r="V262" s="131"/>
      <c r="W262" s="131" t="s">
        <v>243</v>
      </c>
      <c r="X262" s="131"/>
    </row>
    <row r="263" spans="1:24" s="219" customFormat="1" ht="76.5">
      <c r="A263" s="179">
        <v>264</v>
      </c>
      <c r="B263" s="179"/>
      <c r="C263" s="179" t="s">
        <v>1568</v>
      </c>
      <c r="D263" s="131" t="s">
        <v>1569</v>
      </c>
      <c r="E263" s="132" t="s">
        <v>1570</v>
      </c>
      <c r="F263" s="263">
        <v>9811126846</v>
      </c>
      <c r="G263" s="263" t="s">
        <v>1571</v>
      </c>
      <c r="H263" s="179" t="s">
        <v>194</v>
      </c>
      <c r="I263" s="131"/>
      <c r="J263" s="131" t="s">
        <v>1064</v>
      </c>
      <c r="K263" s="131"/>
      <c r="L263" s="277"/>
      <c r="M263" s="265">
        <v>45847</v>
      </c>
      <c r="N263" s="265">
        <v>46150</v>
      </c>
      <c r="O263" s="179">
        <v>11</v>
      </c>
      <c r="P263" s="179"/>
      <c r="Q263" s="131" t="s">
        <v>195</v>
      </c>
      <c r="R263" s="179"/>
      <c r="S263" s="131" t="s">
        <v>1572</v>
      </c>
      <c r="T263" s="131"/>
      <c r="U263" s="131"/>
      <c r="V263" s="131"/>
      <c r="W263" s="131" t="s">
        <v>243</v>
      </c>
      <c r="X263" s="131"/>
    </row>
    <row r="264" spans="1:24" s="161" customFormat="1" ht="45.75">
      <c r="A264" s="133">
        <v>265</v>
      </c>
      <c r="B264" s="139"/>
      <c r="C264" s="139" t="s">
        <v>1573</v>
      </c>
      <c r="D264" s="133" t="s">
        <v>1574</v>
      </c>
      <c r="E264" s="145" t="s">
        <v>1575</v>
      </c>
      <c r="F264" s="154">
        <v>9830805381</v>
      </c>
      <c r="G264" s="154" t="s">
        <v>1576</v>
      </c>
      <c r="H264" s="139" t="s">
        <v>557</v>
      </c>
      <c r="I264" s="133"/>
      <c r="J264" s="133" t="s">
        <v>1064</v>
      </c>
      <c r="K264" s="133"/>
      <c r="L264" s="180"/>
      <c r="M264" s="146">
        <v>45848</v>
      </c>
      <c r="N264" s="146">
        <v>46151</v>
      </c>
      <c r="O264" s="139">
        <v>11</v>
      </c>
      <c r="P264" s="139"/>
      <c r="Q264" s="133" t="s">
        <v>189</v>
      </c>
      <c r="R264" s="139"/>
      <c r="S264" s="133" t="s">
        <v>1577</v>
      </c>
      <c r="T264" s="133"/>
      <c r="U264" s="133"/>
      <c r="V264" s="133"/>
      <c r="W264" s="133"/>
      <c r="X264" s="133"/>
    </row>
    <row r="265" spans="1:24" s="161" customFormat="1" ht="60.75">
      <c r="A265" s="133">
        <v>266</v>
      </c>
      <c r="B265" s="139"/>
      <c r="C265" s="139" t="s">
        <v>1578</v>
      </c>
      <c r="D265" s="133" t="s">
        <v>1579</v>
      </c>
      <c r="E265" s="145" t="s">
        <v>1580</v>
      </c>
      <c r="F265" s="141">
        <v>9811167899</v>
      </c>
      <c r="G265" s="135" t="s">
        <v>1581</v>
      </c>
      <c r="H265" s="139" t="s">
        <v>194</v>
      </c>
      <c r="I265" s="133"/>
      <c r="J265" s="133" t="s">
        <v>1582</v>
      </c>
      <c r="K265" s="133"/>
      <c r="L265" s="180"/>
      <c r="M265" s="146">
        <v>45848</v>
      </c>
      <c r="N265" s="146">
        <v>46151</v>
      </c>
      <c r="O265" s="139">
        <v>11</v>
      </c>
      <c r="P265" s="139"/>
      <c r="Q265" s="133" t="s">
        <v>195</v>
      </c>
      <c r="R265" s="139"/>
      <c r="S265" s="133" t="s">
        <v>1583</v>
      </c>
      <c r="T265" s="133"/>
      <c r="U265" s="133"/>
      <c r="V265" s="133"/>
      <c r="W265" s="133"/>
      <c r="X265" s="133"/>
    </row>
    <row r="266" spans="1:24" s="219" customFormat="1" ht="91.5">
      <c r="A266" s="179">
        <v>267</v>
      </c>
      <c r="B266" s="179"/>
      <c r="C266" s="179" t="s">
        <v>1584</v>
      </c>
      <c r="D266" s="131" t="s">
        <v>1585</v>
      </c>
      <c r="E266" s="132" t="s">
        <v>1586</v>
      </c>
      <c r="F266" s="198">
        <v>9662294714</v>
      </c>
      <c r="G266" s="298" t="s">
        <v>1587</v>
      </c>
      <c r="H266" s="179" t="s">
        <v>365</v>
      </c>
      <c r="I266" s="131"/>
      <c r="J266" s="131" t="s">
        <v>716</v>
      </c>
      <c r="K266" s="131"/>
      <c r="L266" s="277"/>
      <c r="M266" s="265">
        <v>45849</v>
      </c>
      <c r="N266" s="265">
        <v>46183</v>
      </c>
      <c r="O266" s="179">
        <v>11</v>
      </c>
      <c r="P266" s="179"/>
      <c r="Q266" s="131" t="s">
        <v>195</v>
      </c>
      <c r="R266" s="179"/>
      <c r="S266" s="131" t="s">
        <v>1588</v>
      </c>
      <c r="T266" s="131"/>
      <c r="U266" s="131"/>
      <c r="V266" s="131"/>
      <c r="W266" s="131" t="s">
        <v>513</v>
      </c>
      <c r="X266" s="131"/>
    </row>
    <row r="267" spans="1:24" s="161" customFormat="1" ht="76.5">
      <c r="A267" s="139">
        <v>268</v>
      </c>
      <c r="B267" s="139"/>
      <c r="C267" s="139" t="s">
        <v>1589</v>
      </c>
      <c r="D267" s="133" t="s">
        <v>1590</v>
      </c>
      <c r="E267" s="145" t="s">
        <v>1591</v>
      </c>
      <c r="F267" s="141">
        <v>9643357540</v>
      </c>
      <c r="G267" s="135" t="s">
        <v>1592</v>
      </c>
      <c r="H267" s="139" t="s">
        <v>194</v>
      </c>
      <c r="I267" s="133"/>
      <c r="J267" s="133" t="s">
        <v>1064</v>
      </c>
      <c r="K267" s="133"/>
      <c r="L267" s="180"/>
      <c r="M267" s="146">
        <v>45850</v>
      </c>
      <c r="N267" s="146">
        <v>46184</v>
      </c>
      <c r="O267" s="139">
        <v>11</v>
      </c>
      <c r="P267" s="139"/>
      <c r="Q267" s="133" t="s">
        <v>195</v>
      </c>
      <c r="R267" s="139"/>
      <c r="S267" s="133" t="s">
        <v>1593</v>
      </c>
      <c r="T267" s="133"/>
      <c r="U267" s="133"/>
      <c r="V267" s="133"/>
      <c r="W267" s="133"/>
      <c r="X267" s="133"/>
    </row>
    <row r="268" spans="1:24" s="219" customFormat="1" ht="137.25">
      <c r="A268" s="131">
        <v>269</v>
      </c>
      <c r="B268" s="179"/>
      <c r="C268" s="179" t="s">
        <v>181</v>
      </c>
      <c r="D268" s="131" t="s">
        <v>1594</v>
      </c>
      <c r="E268" s="132" t="s">
        <v>1595</v>
      </c>
      <c r="F268" s="198">
        <v>9901253086</v>
      </c>
      <c r="G268" s="298" t="s">
        <v>184</v>
      </c>
      <c r="H268" s="179" t="s">
        <v>416</v>
      </c>
      <c r="I268" s="131"/>
      <c r="J268" s="131" t="s">
        <v>1280</v>
      </c>
      <c r="K268" s="131"/>
      <c r="L268" s="277"/>
      <c r="M268" s="265">
        <v>45850</v>
      </c>
      <c r="N268" s="265">
        <v>46184</v>
      </c>
      <c r="O268" s="179">
        <v>11</v>
      </c>
      <c r="P268" s="179"/>
      <c r="Q268" s="131" t="s">
        <v>176</v>
      </c>
      <c r="R268" s="179"/>
      <c r="S268" s="131" t="s">
        <v>1596</v>
      </c>
      <c r="T268" s="131"/>
      <c r="U268" s="131"/>
      <c r="V268" s="131"/>
      <c r="W268" s="131" t="s">
        <v>1597</v>
      </c>
      <c r="X268" s="131"/>
    </row>
    <row r="269" spans="1:24" s="219" customFormat="1" ht="45.75">
      <c r="A269" s="131">
        <v>270</v>
      </c>
      <c r="B269" s="179"/>
      <c r="C269" s="131" t="s">
        <v>1598</v>
      </c>
      <c r="D269" s="131" t="s">
        <v>1599</v>
      </c>
      <c r="E269" s="132"/>
      <c r="F269" s="198"/>
      <c r="G269" s="298"/>
      <c r="H269" s="179" t="s">
        <v>416</v>
      </c>
      <c r="I269" s="131"/>
      <c r="J269" s="131" t="s">
        <v>1280</v>
      </c>
      <c r="K269" s="131"/>
      <c r="L269" s="277"/>
      <c r="M269" s="265" t="s">
        <v>1600</v>
      </c>
      <c r="N269" s="265" t="s">
        <v>1601</v>
      </c>
      <c r="O269" s="179">
        <v>11</v>
      </c>
      <c r="P269" s="179"/>
      <c r="Q269" s="131" t="s">
        <v>176</v>
      </c>
      <c r="R269" s="179"/>
      <c r="S269" s="131" t="s">
        <v>1602</v>
      </c>
      <c r="T269" s="131"/>
      <c r="U269" s="131"/>
      <c r="V269" s="131"/>
      <c r="W269" s="131" t="s">
        <v>513</v>
      </c>
      <c r="X269" s="131"/>
    </row>
    <row r="270" spans="1:24" s="161" customFormat="1" ht="76.5">
      <c r="A270" s="139">
        <v>271</v>
      </c>
      <c r="B270" s="139"/>
      <c r="C270" s="139" t="s">
        <v>1603</v>
      </c>
      <c r="D270" s="133" t="s">
        <v>1604</v>
      </c>
      <c r="E270" s="145" t="s">
        <v>1605</v>
      </c>
      <c r="F270" s="141">
        <v>9818529130</v>
      </c>
      <c r="G270" s="135" t="s">
        <v>1606</v>
      </c>
      <c r="H270" s="139" t="s">
        <v>194</v>
      </c>
      <c r="I270" s="133"/>
      <c r="J270" s="133" t="s">
        <v>445</v>
      </c>
      <c r="K270" s="133"/>
      <c r="L270" s="180"/>
      <c r="M270" s="146">
        <v>45850</v>
      </c>
      <c r="N270" s="146">
        <v>46184</v>
      </c>
      <c r="O270" s="139">
        <v>11</v>
      </c>
      <c r="P270" s="139"/>
      <c r="Q270" s="133" t="s">
        <v>195</v>
      </c>
      <c r="R270" s="139"/>
      <c r="S270" s="133" t="s">
        <v>1607</v>
      </c>
      <c r="T270" s="133"/>
      <c r="U270" s="133"/>
      <c r="V270" s="133"/>
      <c r="W270" s="133"/>
      <c r="X270" s="133"/>
    </row>
    <row r="271" spans="1:24" s="219" customFormat="1" ht="91.5">
      <c r="A271" s="179">
        <v>272</v>
      </c>
      <c r="B271" s="179"/>
      <c r="C271" s="179" t="s">
        <v>1608</v>
      </c>
      <c r="D271" s="131" t="s">
        <v>1609</v>
      </c>
      <c r="E271" s="132" t="s">
        <v>1610</v>
      </c>
      <c r="F271" s="198">
        <v>9311815895</v>
      </c>
      <c r="G271" s="298" t="s">
        <v>1611</v>
      </c>
      <c r="H271" s="179" t="s">
        <v>241</v>
      </c>
      <c r="I271" s="131"/>
      <c r="J271" s="131"/>
      <c r="K271" s="131"/>
      <c r="L271" s="277"/>
      <c r="M271" s="265">
        <v>45854</v>
      </c>
      <c r="N271" s="265">
        <v>46188</v>
      </c>
      <c r="O271" s="179">
        <v>11</v>
      </c>
      <c r="P271" s="179"/>
      <c r="Q271" s="131" t="s">
        <v>176</v>
      </c>
      <c r="R271" s="179"/>
      <c r="S271" s="131" t="s">
        <v>1612</v>
      </c>
      <c r="T271" s="131"/>
      <c r="U271" s="131"/>
      <c r="V271" s="131"/>
      <c r="W271" s="131" t="s">
        <v>513</v>
      </c>
      <c r="X271" s="131"/>
    </row>
    <row r="272" spans="1:24" s="161" customFormat="1" ht="91.5">
      <c r="A272" s="133">
        <v>273</v>
      </c>
      <c r="B272" s="139"/>
      <c r="C272" s="139" t="s">
        <v>1613</v>
      </c>
      <c r="D272" s="133" t="s">
        <v>1614</v>
      </c>
      <c r="E272" s="145" t="s">
        <v>1615</v>
      </c>
      <c r="F272" s="154">
        <v>9539153276</v>
      </c>
      <c r="G272" s="154" t="s">
        <v>1616</v>
      </c>
      <c r="H272" s="139" t="s">
        <v>202</v>
      </c>
      <c r="I272" s="133"/>
      <c r="J272" s="133"/>
      <c r="K272" s="133"/>
      <c r="L272" s="180"/>
      <c r="M272" s="146">
        <v>45854</v>
      </c>
      <c r="N272" s="146">
        <v>46188</v>
      </c>
      <c r="O272" s="139">
        <v>11</v>
      </c>
      <c r="P272" s="139"/>
      <c r="Q272" s="133" t="s">
        <v>195</v>
      </c>
      <c r="R272" s="139"/>
      <c r="S272" s="133" t="s">
        <v>1617</v>
      </c>
      <c r="T272" s="133"/>
      <c r="U272" s="133"/>
      <c r="V272" s="133"/>
      <c r="W272" s="133"/>
      <c r="X272" s="133"/>
    </row>
    <row r="273" spans="1:24" s="219" customFormat="1" ht="76.5">
      <c r="A273" s="131">
        <v>274</v>
      </c>
      <c r="B273" s="179"/>
      <c r="C273" s="179" t="s">
        <v>1618</v>
      </c>
      <c r="D273" s="131" t="s">
        <v>1619</v>
      </c>
      <c r="E273" s="132" t="s">
        <v>1620</v>
      </c>
      <c r="F273" s="263">
        <v>9811850931</v>
      </c>
      <c r="G273" s="263" t="s">
        <v>1621</v>
      </c>
      <c r="H273" s="179" t="s">
        <v>241</v>
      </c>
      <c r="I273" s="131"/>
      <c r="J273" s="131"/>
      <c r="K273" s="131"/>
      <c r="L273" s="277"/>
      <c r="M273" s="265">
        <v>45854</v>
      </c>
      <c r="N273" s="265">
        <v>46188</v>
      </c>
      <c r="O273" s="179">
        <v>11</v>
      </c>
      <c r="P273" s="179"/>
      <c r="Q273" s="131" t="s">
        <v>195</v>
      </c>
      <c r="R273" s="179"/>
      <c r="S273" s="131" t="s">
        <v>1622</v>
      </c>
      <c r="T273" s="131"/>
      <c r="U273" s="131"/>
      <c r="V273" s="131"/>
      <c r="W273" s="131" t="s">
        <v>513</v>
      </c>
      <c r="X273" s="131"/>
    </row>
    <row r="274" spans="1:24" s="219" customFormat="1" ht="91.5">
      <c r="A274" s="179">
        <v>275</v>
      </c>
      <c r="B274" s="179"/>
      <c r="C274" s="179" t="s">
        <v>1623</v>
      </c>
      <c r="D274" s="131" t="s">
        <v>1624</v>
      </c>
      <c r="E274" s="132" t="s">
        <v>1625</v>
      </c>
      <c r="F274" s="263">
        <v>9099113786</v>
      </c>
      <c r="G274" s="263" t="s">
        <v>1626</v>
      </c>
      <c r="H274" s="179" t="s">
        <v>365</v>
      </c>
      <c r="I274" s="131"/>
      <c r="J274" s="131" t="s">
        <v>1280</v>
      </c>
      <c r="K274" s="131"/>
      <c r="L274" s="277"/>
      <c r="M274" s="265">
        <v>45856</v>
      </c>
      <c r="N274" s="265">
        <v>46190</v>
      </c>
      <c r="O274" s="179">
        <v>11</v>
      </c>
      <c r="P274" s="179"/>
      <c r="Q274" s="131" t="s">
        <v>189</v>
      </c>
      <c r="R274" s="179"/>
      <c r="S274" s="131" t="s">
        <v>1627</v>
      </c>
      <c r="T274" s="131"/>
      <c r="U274" s="131"/>
      <c r="V274" s="131" t="s">
        <v>1628</v>
      </c>
      <c r="W274" s="131" t="s">
        <v>513</v>
      </c>
      <c r="X274" s="131"/>
    </row>
    <row r="275" spans="1:24" s="161" customFormat="1" ht="91.5">
      <c r="A275" s="139">
        <v>276</v>
      </c>
      <c r="B275" s="139"/>
      <c r="C275" s="139" t="s">
        <v>1629</v>
      </c>
      <c r="D275" s="133" t="s">
        <v>1630</v>
      </c>
      <c r="E275" s="145" t="s">
        <v>1631</v>
      </c>
      <c r="F275" s="154" t="s">
        <v>1632</v>
      </c>
      <c r="G275" s="154" t="s">
        <v>1633</v>
      </c>
      <c r="H275" s="139" t="s">
        <v>365</v>
      </c>
      <c r="I275" s="133"/>
      <c r="J275" s="133" t="s">
        <v>716</v>
      </c>
      <c r="K275" s="133"/>
      <c r="L275" s="180"/>
      <c r="M275" s="146">
        <v>45857</v>
      </c>
      <c r="N275" s="146">
        <v>45826</v>
      </c>
      <c r="O275" s="139">
        <v>11</v>
      </c>
      <c r="P275" s="139"/>
      <c r="Q275" s="133" t="s">
        <v>195</v>
      </c>
      <c r="R275" s="139"/>
      <c r="S275" s="133" t="s">
        <v>1634</v>
      </c>
      <c r="T275" s="133"/>
      <c r="U275" s="133"/>
      <c r="V275" s="133"/>
      <c r="W275" s="133"/>
      <c r="X275" s="133"/>
    </row>
    <row r="276" spans="1:24" s="219" customFormat="1" ht="121.5">
      <c r="A276" s="131">
        <v>277</v>
      </c>
      <c r="B276" s="179"/>
      <c r="C276" s="179" t="s">
        <v>1635</v>
      </c>
      <c r="D276" s="131" t="s">
        <v>1636</v>
      </c>
      <c r="E276" s="132" t="s">
        <v>1637</v>
      </c>
      <c r="F276" s="263">
        <v>9821428197</v>
      </c>
      <c r="G276" s="263" t="s">
        <v>1638</v>
      </c>
      <c r="H276" s="179" t="s">
        <v>529</v>
      </c>
      <c r="I276" s="131"/>
      <c r="J276" s="131" t="s">
        <v>716</v>
      </c>
      <c r="K276" s="131"/>
      <c r="L276" s="277"/>
      <c r="M276" s="265">
        <v>45859</v>
      </c>
      <c r="N276" s="265">
        <v>45828</v>
      </c>
      <c r="O276" s="179">
        <v>11</v>
      </c>
      <c r="P276" s="179"/>
      <c r="Q276" s="131" t="s">
        <v>195</v>
      </c>
      <c r="R276" s="179"/>
      <c r="S276" s="131" t="s">
        <v>1639</v>
      </c>
      <c r="T276" s="131"/>
      <c r="U276" s="131"/>
      <c r="V276" s="131"/>
      <c r="W276" s="131" t="s">
        <v>513</v>
      </c>
      <c r="X276" s="131"/>
    </row>
    <row r="277" spans="1:24" s="161" customFormat="1" ht="76.5">
      <c r="A277" s="133">
        <v>278</v>
      </c>
      <c r="B277" s="139"/>
      <c r="C277" s="139"/>
      <c r="D277" s="133" t="s">
        <v>1640</v>
      </c>
      <c r="E277" s="145" t="s">
        <v>1641</v>
      </c>
      <c r="F277" s="154" t="s">
        <v>1642</v>
      </c>
      <c r="G277" s="154"/>
      <c r="H277" s="139" t="s">
        <v>1643</v>
      </c>
      <c r="I277" s="133"/>
      <c r="J277" s="133" t="s">
        <v>716</v>
      </c>
      <c r="K277" s="133"/>
      <c r="L277" s="180"/>
      <c r="M277" s="146">
        <v>45862</v>
      </c>
      <c r="N277" s="146">
        <v>45831</v>
      </c>
      <c r="O277" s="139">
        <v>11</v>
      </c>
      <c r="P277" s="139"/>
      <c r="Q277" s="133" t="s">
        <v>203</v>
      </c>
      <c r="R277" s="139"/>
      <c r="S277" s="133" t="s">
        <v>425</v>
      </c>
      <c r="T277" s="133"/>
      <c r="U277" s="133"/>
      <c r="V277" s="133"/>
      <c r="W277" s="133"/>
      <c r="X277" s="133"/>
    </row>
    <row r="278" spans="1:24" s="161" customFormat="1" ht="91.5">
      <c r="A278" s="139">
        <v>279</v>
      </c>
      <c r="B278" s="139"/>
      <c r="C278" s="139"/>
      <c r="D278" s="133" t="s">
        <v>1644</v>
      </c>
      <c r="E278" s="145" t="s">
        <v>1645</v>
      </c>
      <c r="F278" s="154">
        <v>9663955783</v>
      </c>
      <c r="G278" s="154" t="s">
        <v>1646</v>
      </c>
      <c r="H278" s="139" t="s">
        <v>416</v>
      </c>
      <c r="I278" s="133"/>
      <c r="J278" s="133" t="s">
        <v>716</v>
      </c>
      <c r="K278" s="133"/>
      <c r="L278" s="180"/>
      <c r="M278" s="146">
        <v>45862</v>
      </c>
      <c r="N278" s="146">
        <v>45831</v>
      </c>
      <c r="O278" s="139">
        <v>11</v>
      </c>
      <c r="P278" s="139"/>
      <c r="Q278" s="133" t="s">
        <v>176</v>
      </c>
      <c r="R278" s="139"/>
      <c r="S278" s="133" t="s">
        <v>1647</v>
      </c>
      <c r="T278" s="133"/>
      <c r="U278" s="133"/>
      <c r="V278" s="133"/>
      <c r="W278" s="133"/>
      <c r="X278" s="133"/>
    </row>
    <row r="279" spans="1:24" s="219" customFormat="1" ht="121.5">
      <c r="A279" s="179">
        <v>280</v>
      </c>
      <c r="B279" s="179"/>
      <c r="C279" s="179"/>
      <c r="D279" s="131" t="s">
        <v>1648</v>
      </c>
      <c r="E279" s="132" t="s">
        <v>1649</v>
      </c>
      <c r="F279" s="263">
        <v>9830204336</v>
      </c>
      <c r="G279" s="263" t="s">
        <v>1650</v>
      </c>
      <c r="H279" s="179" t="s">
        <v>290</v>
      </c>
      <c r="I279" s="131"/>
      <c r="J279" s="131" t="s">
        <v>445</v>
      </c>
      <c r="K279" s="131"/>
      <c r="L279" s="277"/>
      <c r="M279" s="265">
        <v>45862</v>
      </c>
      <c r="N279" s="265">
        <v>45831</v>
      </c>
      <c r="O279" s="179">
        <v>11</v>
      </c>
      <c r="P279" s="179"/>
      <c r="Q279" s="131" t="s">
        <v>195</v>
      </c>
      <c r="R279" s="179"/>
      <c r="S279" s="131" t="s">
        <v>1651</v>
      </c>
      <c r="T279" s="131"/>
      <c r="U279" s="131"/>
      <c r="V279" s="131"/>
      <c r="W279" s="131" t="s">
        <v>243</v>
      </c>
      <c r="X279" s="131"/>
    </row>
    <row r="280" spans="1:24" s="161" customFormat="1" ht="76.5">
      <c r="A280" s="133">
        <v>281</v>
      </c>
      <c r="B280" s="139"/>
      <c r="C280" s="139" t="s">
        <v>1652</v>
      </c>
      <c r="D280" s="133" t="s">
        <v>1653</v>
      </c>
      <c r="E280" s="145" t="s">
        <v>1654</v>
      </c>
      <c r="F280" s="154">
        <v>9998955053</v>
      </c>
      <c r="G280" s="154" t="s">
        <v>1655</v>
      </c>
      <c r="H280" s="139" t="s">
        <v>365</v>
      </c>
      <c r="I280" s="133"/>
      <c r="J280" s="133" t="s">
        <v>1064</v>
      </c>
      <c r="K280" s="133"/>
      <c r="L280" s="180"/>
      <c r="M280" s="146">
        <v>45863</v>
      </c>
      <c r="N280" s="146">
        <v>45832</v>
      </c>
      <c r="O280" s="139">
        <v>11</v>
      </c>
      <c r="P280" s="139"/>
      <c r="Q280" s="133" t="s">
        <v>195</v>
      </c>
      <c r="R280" s="139"/>
      <c r="S280" s="133" t="s">
        <v>1656</v>
      </c>
      <c r="T280" s="133"/>
      <c r="U280" s="133"/>
      <c r="V280" s="133"/>
      <c r="W280" s="133"/>
      <c r="X280" s="133"/>
    </row>
    <row r="281" spans="1:24" s="161" customFormat="1" ht="60.75">
      <c r="A281" s="133">
        <v>282</v>
      </c>
      <c r="B281" s="139"/>
      <c r="C281" s="139" t="s">
        <v>1657</v>
      </c>
      <c r="D281" s="133" t="s">
        <v>1658</v>
      </c>
      <c r="E281" s="145" t="s">
        <v>1659</v>
      </c>
      <c r="F281" s="154">
        <v>9739140003</v>
      </c>
      <c r="G281" s="154" t="s">
        <v>1660</v>
      </c>
      <c r="H281" s="139" t="s">
        <v>202</v>
      </c>
      <c r="I281" s="133"/>
      <c r="J281" s="133" t="s">
        <v>1064</v>
      </c>
      <c r="K281" s="133"/>
      <c r="L281" s="180"/>
      <c r="M281" s="146">
        <v>45863</v>
      </c>
      <c r="N281" s="146">
        <v>45832</v>
      </c>
      <c r="O281" s="139">
        <v>11</v>
      </c>
      <c r="P281" s="139"/>
      <c r="Q281" s="133" t="s">
        <v>195</v>
      </c>
      <c r="R281" s="139"/>
      <c r="S281" s="133" t="s">
        <v>1661</v>
      </c>
      <c r="T281" s="133"/>
      <c r="U281" s="133"/>
      <c r="V281" s="133"/>
      <c r="W281" s="133"/>
      <c r="X281" s="133"/>
    </row>
    <row r="282" spans="1:24" s="219" customFormat="1" ht="91.5">
      <c r="A282" s="179">
        <v>283</v>
      </c>
      <c r="B282" s="179"/>
      <c r="C282" s="179" t="s">
        <v>105</v>
      </c>
      <c r="D282" s="131" t="s">
        <v>1662</v>
      </c>
      <c r="E282" s="132" t="s">
        <v>1663</v>
      </c>
      <c r="F282" s="263">
        <v>9899398722</v>
      </c>
      <c r="G282" s="263" t="s">
        <v>1664</v>
      </c>
      <c r="H282" s="179" t="s">
        <v>1665</v>
      </c>
      <c r="I282" s="131"/>
      <c r="J282" s="131" t="s">
        <v>716</v>
      </c>
      <c r="K282" s="131"/>
      <c r="L282" s="277"/>
      <c r="M282" s="265">
        <v>45868</v>
      </c>
      <c r="N282" s="265">
        <v>45837</v>
      </c>
      <c r="O282" s="179">
        <v>11</v>
      </c>
      <c r="P282" s="179"/>
      <c r="Q282" s="131" t="s">
        <v>195</v>
      </c>
      <c r="R282" s="179"/>
      <c r="S282" s="131" t="s">
        <v>1666</v>
      </c>
      <c r="T282" s="131"/>
      <c r="U282" s="131"/>
      <c r="V282" s="131"/>
      <c r="W282" s="131" t="s">
        <v>243</v>
      </c>
      <c r="X282" s="131"/>
    </row>
    <row r="283" spans="1:24" s="219" customFormat="1" ht="60.75">
      <c r="A283" s="179">
        <v>284</v>
      </c>
      <c r="B283" s="179"/>
      <c r="C283" s="179" t="s">
        <v>1667</v>
      </c>
      <c r="D283" s="131" t="s">
        <v>1668</v>
      </c>
      <c r="E283" s="132" t="s">
        <v>1669</v>
      </c>
      <c r="F283" s="263">
        <v>7897128027</v>
      </c>
      <c r="G283" s="263" t="s">
        <v>1670</v>
      </c>
      <c r="H283" s="179" t="s">
        <v>1671</v>
      </c>
      <c r="I283" s="131"/>
      <c r="J283" s="131" t="s">
        <v>1064</v>
      </c>
      <c r="K283" s="131"/>
      <c r="L283" s="277"/>
      <c r="M283" s="265">
        <v>45868</v>
      </c>
      <c r="N283" s="265">
        <v>45837</v>
      </c>
      <c r="O283" s="179">
        <v>11</v>
      </c>
      <c r="P283" s="179"/>
      <c r="Q283" s="131" t="s">
        <v>195</v>
      </c>
      <c r="R283" s="179"/>
      <c r="S283" s="131" t="s">
        <v>1672</v>
      </c>
      <c r="T283" s="131"/>
      <c r="U283" s="131"/>
      <c r="V283" s="131"/>
      <c r="W283" s="131" t="s">
        <v>243</v>
      </c>
      <c r="X283" s="131"/>
    </row>
    <row r="284" spans="1:24" s="219" customFormat="1" ht="106.5">
      <c r="A284" s="131">
        <v>285</v>
      </c>
      <c r="B284" s="179"/>
      <c r="C284" s="179" t="s">
        <v>1673</v>
      </c>
      <c r="D284" s="131" t="s">
        <v>1674</v>
      </c>
      <c r="E284" s="132" t="s">
        <v>1675</v>
      </c>
      <c r="F284" s="263">
        <v>8296869270</v>
      </c>
      <c r="G284" s="263" t="s">
        <v>1676</v>
      </c>
      <c r="H284" s="179" t="s">
        <v>416</v>
      </c>
      <c r="I284" s="131"/>
      <c r="J284" s="131" t="s">
        <v>445</v>
      </c>
      <c r="K284" s="131"/>
      <c r="L284" s="277"/>
      <c r="M284" s="265">
        <v>45868</v>
      </c>
      <c r="N284" s="265">
        <v>45837</v>
      </c>
      <c r="O284" s="179">
        <v>11</v>
      </c>
      <c r="P284" s="179"/>
      <c r="Q284" s="131" t="s">
        <v>176</v>
      </c>
      <c r="R284" s="179"/>
      <c r="S284" s="131" t="s">
        <v>1677</v>
      </c>
      <c r="T284" s="131"/>
      <c r="U284" s="131"/>
      <c r="V284" s="131"/>
      <c r="W284" s="131" t="s">
        <v>243</v>
      </c>
      <c r="X284" s="131"/>
    </row>
    <row r="285" spans="1:24" s="219" customFormat="1" ht="91.5">
      <c r="A285" s="131">
        <v>286</v>
      </c>
      <c r="B285" s="179"/>
      <c r="C285" s="179" t="s">
        <v>1678</v>
      </c>
      <c r="D285" s="131" t="s">
        <v>1679</v>
      </c>
      <c r="E285" s="132" t="s">
        <v>1680</v>
      </c>
      <c r="F285" s="263" t="s">
        <v>1681</v>
      </c>
      <c r="G285" s="263" t="s">
        <v>1682</v>
      </c>
      <c r="H285" s="179" t="s">
        <v>365</v>
      </c>
      <c r="I285" s="131"/>
      <c r="J285" s="131" t="s">
        <v>716</v>
      </c>
      <c r="K285" s="131"/>
      <c r="L285" s="277"/>
      <c r="M285" s="265">
        <v>45868</v>
      </c>
      <c r="N285" s="265">
        <v>45837</v>
      </c>
      <c r="O285" s="179">
        <v>11</v>
      </c>
      <c r="P285" s="179"/>
      <c r="Q285" s="131" t="s">
        <v>195</v>
      </c>
      <c r="R285" s="179"/>
      <c r="S285" s="131" t="s">
        <v>1683</v>
      </c>
      <c r="T285" s="131"/>
      <c r="U285" s="131"/>
      <c r="V285" s="131"/>
      <c r="W285" s="131" t="s">
        <v>243</v>
      </c>
      <c r="X285" s="131"/>
    </row>
    <row r="286" spans="1:24" s="161" customFormat="1" ht="91.5">
      <c r="A286" s="139">
        <v>287</v>
      </c>
      <c r="B286" s="139" t="s">
        <v>227</v>
      </c>
      <c r="C286" s="139" t="s">
        <v>1684</v>
      </c>
      <c r="D286" s="133" t="s">
        <v>1685</v>
      </c>
      <c r="E286" s="145" t="s">
        <v>1686</v>
      </c>
      <c r="F286" s="154">
        <v>9831012318</v>
      </c>
      <c r="G286" s="160" t="s">
        <v>1687</v>
      </c>
      <c r="H286" s="139" t="s">
        <v>290</v>
      </c>
      <c r="I286" s="133"/>
      <c r="J286" s="133" t="s">
        <v>445</v>
      </c>
      <c r="K286" s="133"/>
      <c r="L286" s="180"/>
      <c r="M286" s="146">
        <v>45870</v>
      </c>
      <c r="N286" s="146">
        <v>46204</v>
      </c>
      <c r="O286" s="139">
        <v>11</v>
      </c>
      <c r="P286" s="139"/>
      <c r="Q286" s="133" t="s">
        <v>195</v>
      </c>
      <c r="R286" s="139"/>
      <c r="S286" s="133" t="s">
        <v>1688</v>
      </c>
      <c r="T286" s="133"/>
      <c r="U286" s="133"/>
      <c r="V286" s="133"/>
      <c r="W286" s="133"/>
      <c r="X286" s="133"/>
    </row>
    <row r="287" spans="1:24" s="161" customFormat="1" ht="91.5">
      <c r="A287" s="139">
        <v>288</v>
      </c>
      <c r="B287" s="139" t="s">
        <v>227</v>
      </c>
      <c r="C287" s="139" t="s">
        <v>1689</v>
      </c>
      <c r="D287" s="133" t="s">
        <v>1690</v>
      </c>
      <c r="E287" s="145" t="s">
        <v>1691</v>
      </c>
      <c r="F287" s="154">
        <v>9176812108</v>
      </c>
      <c r="G287" s="154" t="s">
        <v>1692</v>
      </c>
      <c r="H287" s="139" t="s">
        <v>416</v>
      </c>
      <c r="I287" s="133"/>
      <c r="J287" s="133" t="s">
        <v>1693</v>
      </c>
      <c r="K287" s="133"/>
      <c r="L287" s="180"/>
      <c r="M287" s="146">
        <v>45871</v>
      </c>
      <c r="N287" s="146">
        <v>46204</v>
      </c>
      <c r="O287" s="139">
        <v>11</v>
      </c>
      <c r="P287" s="139"/>
      <c r="Q287" s="133" t="s">
        <v>176</v>
      </c>
      <c r="R287" s="139"/>
      <c r="S287" s="133" t="s">
        <v>1694</v>
      </c>
      <c r="T287" s="133"/>
      <c r="U287" s="133"/>
      <c r="V287" s="133"/>
      <c r="W287" s="133"/>
      <c r="X287" s="133"/>
    </row>
    <row r="288" spans="1:24" s="161" customFormat="1" ht="60.75">
      <c r="A288" s="133">
        <v>289</v>
      </c>
      <c r="B288" s="139" t="s">
        <v>227</v>
      </c>
      <c r="C288" s="139" t="s">
        <v>1695</v>
      </c>
      <c r="D288" s="133" t="s">
        <v>1696</v>
      </c>
      <c r="E288" s="145" t="s">
        <v>1697</v>
      </c>
      <c r="F288" s="154">
        <v>9873808379</v>
      </c>
      <c r="G288" s="154" t="s">
        <v>1698</v>
      </c>
      <c r="H288" s="139" t="s">
        <v>261</v>
      </c>
      <c r="I288" s="133" t="s">
        <v>10</v>
      </c>
      <c r="J288" s="133" t="s">
        <v>1699</v>
      </c>
      <c r="K288" s="133" t="s">
        <v>1700</v>
      </c>
      <c r="L288" s="180">
        <v>9220726732</v>
      </c>
      <c r="M288" s="169" t="s">
        <v>1701</v>
      </c>
      <c r="N288" s="169" t="s">
        <v>1702</v>
      </c>
      <c r="O288" s="139">
        <v>11</v>
      </c>
      <c r="P288" s="139"/>
      <c r="Q288" s="133" t="s">
        <v>176</v>
      </c>
      <c r="R288" s="139"/>
      <c r="S288" s="133" t="s">
        <v>1703</v>
      </c>
      <c r="T288" s="133"/>
      <c r="U288" s="133"/>
      <c r="V288" s="133"/>
      <c r="W288" s="133"/>
      <c r="X288" s="133"/>
    </row>
    <row r="289" spans="1:24" s="219" customFormat="1" ht="60.75">
      <c r="A289" s="131">
        <v>290</v>
      </c>
      <c r="B289" s="179" t="s">
        <v>211</v>
      </c>
      <c r="C289" s="179" t="s">
        <v>1704</v>
      </c>
      <c r="D289" s="131" t="s">
        <v>1705</v>
      </c>
      <c r="E289" s="132" t="s">
        <v>1706</v>
      </c>
      <c r="F289" s="263">
        <v>8750335799</v>
      </c>
      <c r="G289" s="263" t="s">
        <v>1707</v>
      </c>
      <c r="H289" s="179" t="s">
        <v>241</v>
      </c>
      <c r="I289" s="131" t="s">
        <v>10</v>
      </c>
      <c r="J289" s="131" t="s">
        <v>1708</v>
      </c>
      <c r="K289" s="131" t="s">
        <v>1709</v>
      </c>
      <c r="L289" s="131" t="s">
        <v>1710</v>
      </c>
      <c r="M289" s="466" t="s">
        <v>1711</v>
      </c>
      <c r="N289" s="466" t="s">
        <v>1712</v>
      </c>
      <c r="O289" s="179">
        <v>11</v>
      </c>
      <c r="P289" s="179"/>
      <c r="Q289" s="131" t="s">
        <v>176</v>
      </c>
      <c r="R289" s="179"/>
      <c r="S289" s="131" t="s">
        <v>1713</v>
      </c>
      <c r="T289" s="131"/>
      <c r="U289" s="131"/>
      <c r="V289" s="131"/>
      <c r="W289" s="131" t="s">
        <v>1714</v>
      </c>
      <c r="X289" s="131"/>
    </row>
    <row r="290" spans="1:24" s="161" customFormat="1" ht="76.5">
      <c r="A290" s="139">
        <v>291</v>
      </c>
      <c r="B290" s="139" t="s">
        <v>227</v>
      </c>
      <c r="C290" s="139" t="s">
        <v>1715</v>
      </c>
      <c r="D290" s="133" t="s">
        <v>1716</v>
      </c>
      <c r="E290" s="145"/>
      <c r="F290" s="154"/>
      <c r="G290" s="154"/>
      <c r="H290" s="139"/>
      <c r="I290" s="133" t="s">
        <v>10</v>
      </c>
      <c r="J290" s="133" t="s">
        <v>1708</v>
      </c>
      <c r="K290" s="133" t="s">
        <v>1709</v>
      </c>
      <c r="L290" s="133" t="s">
        <v>1710</v>
      </c>
      <c r="M290" s="146"/>
      <c r="N290" s="146"/>
      <c r="O290" s="139"/>
      <c r="P290" s="139"/>
      <c r="Q290" s="133"/>
      <c r="R290" s="139"/>
      <c r="S290" s="412" t="s">
        <v>1717</v>
      </c>
      <c r="T290" s="412"/>
      <c r="U290" s="133"/>
      <c r="V290" s="133"/>
      <c r="W290" s="133"/>
      <c r="X290" s="133"/>
    </row>
    <row r="291" spans="1:24" s="161" customFormat="1" ht="76.5">
      <c r="A291" s="139">
        <v>292</v>
      </c>
      <c r="B291" s="139" t="s">
        <v>211</v>
      </c>
      <c r="C291" s="139" t="s">
        <v>1718</v>
      </c>
      <c r="D291" s="133" t="s">
        <v>1719</v>
      </c>
      <c r="E291" s="145" t="s">
        <v>1720</v>
      </c>
      <c r="F291" s="154">
        <v>9711785378</v>
      </c>
      <c r="G291" s="154" t="s">
        <v>1721</v>
      </c>
      <c r="H291" s="139" t="s">
        <v>194</v>
      </c>
      <c r="I291" s="133" t="s">
        <v>10</v>
      </c>
      <c r="J291" s="133" t="s">
        <v>1708</v>
      </c>
      <c r="K291" s="133" t="s">
        <v>1709</v>
      </c>
      <c r="L291" s="133" t="s">
        <v>1710</v>
      </c>
      <c r="M291" s="169" t="s">
        <v>1711</v>
      </c>
      <c r="N291" s="169" t="s">
        <v>1722</v>
      </c>
      <c r="O291" s="139">
        <v>11</v>
      </c>
      <c r="P291" s="139"/>
      <c r="Q291" s="133" t="s">
        <v>195</v>
      </c>
      <c r="R291" s="139"/>
      <c r="S291" s="133" t="s">
        <v>1723</v>
      </c>
      <c r="T291" s="133"/>
      <c r="U291" s="133"/>
      <c r="V291" s="133"/>
      <c r="W291" s="133"/>
      <c r="X291" s="133"/>
    </row>
    <row r="292" spans="1:24" s="219" customFormat="1" ht="91.5">
      <c r="A292" s="131">
        <v>293</v>
      </c>
      <c r="B292" s="346" t="s">
        <v>211</v>
      </c>
      <c r="C292" s="179" t="s">
        <v>1724</v>
      </c>
      <c r="D292" s="131" t="s">
        <v>1725</v>
      </c>
      <c r="E292" s="132" t="s">
        <v>1726</v>
      </c>
      <c r="F292" s="198">
        <v>8076365478</v>
      </c>
      <c r="G292" s="198" t="s">
        <v>1727</v>
      </c>
      <c r="H292" s="179" t="s">
        <v>261</v>
      </c>
      <c r="I292" s="131" t="s">
        <v>10</v>
      </c>
      <c r="J292" s="131" t="s">
        <v>1728</v>
      </c>
      <c r="K292" s="131" t="s">
        <v>1729</v>
      </c>
      <c r="L292" s="131" t="s">
        <v>1730</v>
      </c>
      <c r="M292" s="429" t="s">
        <v>1731</v>
      </c>
      <c r="N292" s="429" t="s">
        <v>1732</v>
      </c>
      <c r="O292" s="179">
        <v>11</v>
      </c>
      <c r="P292" s="179"/>
      <c r="Q292" s="131" t="s">
        <v>195</v>
      </c>
      <c r="S292" s="131" t="s">
        <v>1733</v>
      </c>
      <c r="T292" s="131"/>
      <c r="U292" s="179"/>
      <c r="V292" s="179"/>
      <c r="W292" s="179" t="s">
        <v>1714</v>
      </c>
    </row>
    <row r="293" spans="1:24" s="161" customFormat="1" ht="76.5">
      <c r="A293" s="133">
        <v>294</v>
      </c>
      <c r="B293" s="143" t="s">
        <v>227</v>
      </c>
      <c r="C293" s="139" t="s">
        <v>1734</v>
      </c>
      <c r="D293" s="133" t="s">
        <v>28</v>
      </c>
      <c r="E293" s="145" t="s">
        <v>1735</v>
      </c>
      <c r="F293" s="141">
        <v>7019341972</v>
      </c>
      <c r="G293" s="141" t="s">
        <v>1736</v>
      </c>
      <c r="H293" s="139" t="s">
        <v>1737</v>
      </c>
      <c r="I293" s="133" t="s">
        <v>10</v>
      </c>
      <c r="J293" s="133" t="s">
        <v>1738</v>
      </c>
      <c r="K293" s="133" t="s">
        <v>1709</v>
      </c>
      <c r="L293" s="133" t="s">
        <v>1739</v>
      </c>
      <c r="M293" s="182" t="s">
        <v>1740</v>
      </c>
      <c r="N293" s="182" t="s">
        <v>1741</v>
      </c>
      <c r="O293" s="139">
        <v>11</v>
      </c>
      <c r="P293" s="139"/>
      <c r="Q293" s="133" t="s">
        <v>176</v>
      </c>
      <c r="S293" s="133" t="s">
        <v>1742</v>
      </c>
      <c r="T293" s="133"/>
      <c r="U293" s="178" t="s">
        <v>1743</v>
      </c>
      <c r="V293" s="139"/>
      <c r="W293" s="139"/>
    </row>
    <row r="294" spans="1:24" s="161" customFormat="1" ht="76.5">
      <c r="A294" s="139">
        <v>295</v>
      </c>
      <c r="B294" s="143" t="s">
        <v>227</v>
      </c>
      <c r="C294" s="139" t="s">
        <v>1744</v>
      </c>
      <c r="D294" s="133" t="s">
        <v>1745</v>
      </c>
      <c r="E294" s="145" t="s">
        <v>1746</v>
      </c>
      <c r="F294" s="141">
        <v>9663395018</v>
      </c>
      <c r="G294" s="141" t="s">
        <v>1747</v>
      </c>
      <c r="H294" s="139" t="s">
        <v>1737</v>
      </c>
      <c r="I294" s="133" t="s">
        <v>10</v>
      </c>
      <c r="J294" s="133" t="s">
        <v>1728</v>
      </c>
      <c r="K294" s="133" t="s">
        <v>1729</v>
      </c>
      <c r="L294" s="133" t="s">
        <v>1730</v>
      </c>
      <c r="M294" s="182" t="s">
        <v>1740</v>
      </c>
      <c r="N294" s="182" t="s">
        <v>1741</v>
      </c>
      <c r="O294" s="139">
        <v>11</v>
      </c>
      <c r="P294" s="139"/>
      <c r="Q294" s="133" t="s">
        <v>176</v>
      </c>
      <c r="S294" s="133" t="s">
        <v>1748</v>
      </c>
      <c r="T294" s="133"/>
      <c r="U294" s="139"/>
      <c r="V294" s="139"/>
      <c r="W294" s="139"/>
    </row>
    <row r="295" spans="1:24" s="219" customFormat="1" ht="76.5">
      <c r="A295" s="179">
        <v>296</v>
      </c>
      <c r="B295" s="346" t="s">
        <v>211</v>
      </c>
      <c r="C295" s="179" t="s">
        <v>1749</v>
      </c>
      <c r="D295" s="131" t="s">
        <v>1750</v>
      </c>
      <c r="E295" s="132" t="s">
        <v>1751</v>
      </c>
      <c r="F295" s="198">
        <v>8587869828</v>
      </c>
      <c r="G295" s="198" t="s">
        <v>1752</v>
      </c>
      <c r="H295" s="179" t="s">
        <v>512</v>
      </c>
      <c r="I295" s="131" t="s">
        <v>10</v>
      </c>
      <c r="J295" s="131" t="s">
        <v>1708</v>
      </c>
      <c r="K295" s="131" t="s">
        <v>1709</v>
      </c>
      <c r="L295" s="131" t="s">
        <v>1710</v>
      </c>
      <c r="M295" s="429" t="s">
        <v>1740</v>
      </c>
      <c r="N295" s="429" t="s">
        <v>1741</v>
      </c>
      <c r="O295" s="179">
        <v>11</v>
      </c>
      <c r="P295" s="179"/>
      <c r="Q295" s="131" t="s">
        <v>195</v>
      </c>
      <c r="S295" s="131" t="s">
        <v>1753</v>
      </c>
      <c r="T295" s="131"/>
      <c r="U295" s="179"/>
      <c r="V295" s="179"/>
      <c r="W295" s="179" t="s">
        <v>243</v>
      </c>
    </row>
    <row r="296" spans="1:24" s="219" customFormat="1" ht="137.25">
      <c r="A296" s="131">
        <v>297</v>
      </c>
      <c r="B296" s="346" t="s">
        <v>227</v>
      </c>
      <c r="C296" s="179" t="s">
        <v>1754</v>
      </c>
      <c r="D296" s="131" t="s">
        <v>1755</v>
      </c>
      <c r="E296" s="132" t="s">
        <v>1756</v>
      </c>
      <c r="F296" s="198">
        <v>9910476546</v>
      </c>
      <c r="G296" s="198" t="s">
        <v>1757</v>
      </c>
      <c r="H296" s="179" t="s">
        <v>241</v>
      </c>
      <c r="I296" s="131" t="s">
        <v>10</v>
      </c>
      <c r="J296" s="131" t="s">
        <v>1708</v>
      </c>
      <c r="K296" s="131" t="s">
        <v>1709</v>
      </c>
      <c r="L296" s="131" t="s">
        <v>1710</v>
      </c>
      <c r="M296" s="429" t="s">
        <v>1740</v>
      </c>
      <c r="N296" s="429" t="s">
        <v>1741</v>
      </c>
      <c r="O296" s="179">
        <v>11</v>
      </c>
      <c r="P296" s="179"/>
      <c r="Q296" s="131" t="s">
        <v>195</v>
      </c>
      <c r="S296" s="131" t="s">
        <v>1758</v>
      </c>
      <c r="T296" s="131"/>
      <c r="U296" s="179"/>
      <c r="V296" s="179"/>
      <c r="W296" s="179" t="s">
        <v>1714</v>
      </c>
    </row>
    <row r="297" spans="1:24" s="161" customFormat="1" ht="45.75">
      <c r="A297" s="133">
        <v>298</v>
      </c>
      <c r="B297" s="143" t="s">
        <v>227</v>
      </c>
      <c r="C297" s="139" t="s">
        <v>1759</v>
      </c>
      <c r="D297" s="133" t="s">
        <v>1760</v>
      </c>
      <c r="E297" s="145" t="s">
        <v>1761</v>
      </c>
      <c r="F297" s="141">
        <v>7869262001</v>
      </c>
      <c r="G297" s="141" t="s">
        <v>1762</v>
      </c>
      <c r="H297" s="133" t="s">
        <v>603</v>
      </c>
      <c r="I297" s="133" t="s">
        <v>10</v>
      </c>
      <c r="J297" s="133" t="s">
        <v>1738</v>
      </c>
      <c r="K297" s="133" t="s">
        <v>1709</v>
      </c>
      <c r="L297" s="133" t="s">
        <v>1763</v>
      </c>
      <c r="M297" s="182" t="s">
        <v>1764</v>
      </c>
      <c r="N297" s="182" t="s">
        <v>1765</v>
      </c>
      <c r="O297" s="139">
        <v>11</v>
      </c>
      <c r="P297" s="139"/>
      <c r="Q297" s="133" t="s">
        <v>195</v>
      </c>
      <c r="S297" s="133" t="s">
        <v>1766</v>
      </c>
      <c r="T297" s="133"/>
      <c r="U297" s="139"/>
      <c r="V297" s="139"/>
      <c r="W297" s="139"/>
    </row>
    <row r="298" spans="1:24" s="161" customFormat="1" ht="60.75">
      <c r="A298" s="139">
        <v>299</v>
      </c>
      <c r="B298" s="143" t="s">
        <v>227</v>
      </c>
      <c r="C298" s="139" t="s">
        <v>1767</v>
      </c>
      <c r="D298" s="133" t="s">
        <v>1768</v>
      </c>
      <c r="E298" s="145" t="s">
        <v>1769</v>
      </c>
      <c r="F298" s="141">
        <v>9895685444</v>
      </c>
      <c r="G298" s="141" t="s">
        <v>1770</v>
      </c>
      <c r="H298" s="139" t="s">
        <v>202</v>
      </c>
      <c r="I298" s="133" t="s">
        <v>10</v>
      </c>
      <c r="J298" s="133" t="s">
        <v>1708</v>
      </c>
      <c r="K298" s="133" t="s">
        <v>1709</v>
      </c>
      <c r="L298" s="133" t="s">
        <v>1710</v>
      </c>
      <c r="M298" s="169" t="s">
        <v>1771</v>
      </c>
      <c r="N298" s="182" t="s">
        <v>1772</v>
      </c>
      <c r="O298" s="139">
        <v>11</v>
      </c>
      <c r="P298" s="139"/>
      <c r="Q298" s="133" t="s">
        <v>195</v>
      </c>
      <c r="S298" s="133" t="s">
        <v>1773</v>
      </c>
      <c r="T298" s="133"/>
      <c r="U298" s="139"/>
      <c r="V298" s="139"/>
      <c r="W298" s="139"/>
    </row>
    <row r="299" spans="1:24" s="219" customFormat="1" ht="106.5">
      <c r="A299" s="179">
        <v>300</v>
      </c>
      <c r="B299" s="346" t="s">
        <v>227</v>
      </c>
      <c r="C299" s="179" t="s">
        <v>1774</v>
      </c>
      <c r="D299" s="131" t="s">
        <v>1775</v>
      </c>
      <c r="E299" s="132" t="s">
        <v>1776</v>
      </c>
      <c r="F299" s="198">
        <v>9958314499</v>
      </c>
      <c r="G299" s="198" t="s">
        <v>1777</v>
      </c>
      <c r="H299" s="179" t="s">
        <v>1124</v>
      </c>
      <c r="I299" s="131" t="s">
        <v>10</v>
      </c>
      <c r="J299" s="131" t="s">
        <v>1728</v>
      </c>
      <c r="K299" s="131" t="s">
        <v>1729</v>
      </c>
      <c r="L299" s="131" t="s">
        <v>1730</v>
      </c>
      <c r="M299" s="466" t="s">
        <v>1771</v>
      </c>
      <c r="N299" s="429" t="s">
        <v>1772</v>
      </c>
      <c r="O299" s="179">
        <v>11</v>
      </c>
      <c r="P299" s="179"/>
      <c r="Q299" s="131" t="s">
        <v>195</v>
      </c>
      <c r="S299" s="131" t="s">
        <v>1778</v>
      </c>
      <c r="T299" s="131"/>
      <c r="U299" s="179"/>
      <c r="V299" s="179"/>
      <c r="W299" s="131" t="s">
        <v>1779</v>
      </c>
    </row>
    <row r="300" spans="1:24" s="219" customFormat="1" ht="45.75">
      <c r="A300" s="131">
        <v>301</v>
      </c>
      <c r="B300" s="346" t="s">
        <v>211</v>
      </c>
      <c r="C300" s="179" t="s">
        <v>1780</v>
      </c>
      <c r="D300" s="131" t="s">
        <v>1781</v>
      </c>
      <c r="E300" s="132" t="s">
        <v>1782</v>
      </c>
      <c r="F300" s="198"/>
      <c r="G300" s="198"/>
      <c r="H300" s="179"/>
      <c r="I300" s="131" t="s">
        <v>10</v>
      </c>
      <c r="J300" s="131" t="s">
        <v>1783</v>
      </c>
      <c r="K300" s="131" t="s">
        <v>1784</v>
      </c>
      <c r="L300" s="131" t="s">
        <v>1785</v>
      </c>
      <c r="M300" s="198" t="s">
        <v>1786</v>
      </c>
      <c r="N300" s="198" t="s">
        <v>1787</v>
      </c>
      <c r="O300" s="179">
        <v>11</v>
      </c>
      <c r="P300" s="179"/>
      <c r="Q300" s="131" t="s">
        <v>176</v>
      </c>
      <c r="S300" s="131" t="s">
        <v>1788</v>
      </c>
      <c r="T300" s="131"/>
      <c r="U300" s="179"/>
      <c r="V300" s="179"/>
      <c r="W300" s="179" t="s">
        <v>1714</v>
      </c>
    </row>
    <row r="301" spans="1:24" s="161" customFormat="1" ht="76.5">
      <c r="A301" s="133">
        <v>302</v>
      </c>
      <c r="B301" s="143" t="s">
        <v>1789</v>
      </c>
      <c r="C301" s="139" t="s">
        <v>1790</v>
      </c>
      <c r="D301" s="133" t="s">
        <v>1791</v>
      </c>
      <c r="E301" s="145" t="s">
        <v>1792</v>
      </c>
      <c r="F301" s="141">
        <v>7908398223</v>
      </c>
      <c r="G301" s="141" t="s">
        <v>1793</v>
      </c>
      <c r="H301" s="139" t="s">
        <v>1794</v>
      </c>
      <c r="I301" s="133" t="s">
        <v>10</v>
      </c>
      <c r="J301" s="133" t="s">
        <v>1708</v>
      </c>
      <c r="K301" s="133" t="s">
        <v>1709</v>
      </c>
      <c r="L301" s="133" t="s">
        <v>1710</v>
      </c>
      <c r="M301" s="141" t="s">
        <v>1795</v>
      </c>
      <c r="N301" s="141" t="s">
        <v>1796</v>
      </c>
      <c r="O301" s="139">
        <v>11</v>
      </c>
      <c r="P301" s="139"/>
      <c r="Q301" s="133" t="s">
        <v>195</v>
      </c>
      <c r="S301" s="133" t="s">
        <v>1797</v>
      </c>
      <c r="T301" s="133"/>
      <c r="U301" s="139"/>
      <c r="V301" s="139"/>
      <c r="W301" s="139"/>
    </row>
    <row r="302" spans="1:24" s="219" customFormat="1" ht="60.75">
      <c r="A302" s="179">
        <v>303</v>
      </c>
      <c r="B302" s="346" t="s">
        <v>227</v>
      </c>
      <c r="C302" s="179" t="s">
        <v>1798</v>
      </c>
      <c r="D302" s="131" t="s">
        <v>1799</v>
      </c>
      <c r="E302" s="132" t="s">
        <v>1800</v>
      </c>
      <c r="F302" s="198">
        <v>9769909440</v>
      </c>
      <c r="G302" s="198" t="s">
        <v>1801</v>
      </c>
      <c r="H302" s="179" t="s">
        <v>696</v>
      </c>
      <c r="I302" s="131" t="s">
        <v>10</v>
      </c>
      <c r="J302" s="131" t="s">
        <v>1728</v>
      </c>
      <c r="K302" s="131" t="s">
        <v>1729</v>
      </c>
      <c r="L302" s="131" t="s">
        <v>1730</v>
      </c>
      <c r="M302" s="198" t="s">
        <v>1786</v>
      </c>
      <c r="N302" s="198" t="s">
        <v>1787</v>
      </c>
      <c r="O302" s="179">
        <v>11</v>
      </c>
      <c r="P302" s="179"/>
      <c r="Q302" s="131" t="s">
        <v>195</v>
      </c>
      <c r="S302" s="131" t="s">
        <v>1802</v>
      </c>
      <c r="T302" s="131"/>
      <c r="U302" s="179"/>
      <c r="V302" s="179"/>
      <c r="W302" s="179" t="s">
        <v>243</v>
      </c>
    </row>
    <row r="303" spans="1:24" s="179" customFormat="1" ht="91.5">
      <c r="A303" s="179">
        <v>304</v>
      </c>
      <c r="B303" s="179" t="s">
        <v>227</v>
      </c>
      <c r="C303" s="179" t="s">
        <v>1803</v>
      </c>
      <c r="D303" s="131" t="s">
        <v>1804</v>
      </c>
      <c r="E303" s="131" t="s">
        <v>1805</v>
      </c>
      <c r="F303" s="179">
        <v>9014007478</v>
      </c>
      <c r="G303" s="179" t="s">
        <v>1806</v>
      </c>
      <c r="H303" s="131" t="s">
        <v>395</v>
      </c>
      <c r="I303" s="131" t="s">
        <v>10</v>
      </c>
      <c r="J303" s="131" t="s">
        <v>1699</v>
      </c>
      <c r="K303" s="131" t="s">
        <v>1700</v>
      </c>
      <c r="L303" s="179">
        <v>9220726732</v>
      </c>
      <c r="M303" s="329">
        <v>45892</v>
      </c>
      <c r="N303" s="329">
        <v>45861</v>
      </c>
      <c r="O303" s="179">
        <v>11</v>
      </c>
      <c r="Q303" s="131" t="s">
        <v>176</v>
      </c>
      <c r="S303" s="131" t="s">
        <v>1807</v>
      </c>
      <c r="T303" s="131"/>
      <c r="W303" s="179" t="s">
        <v>243</v>
      </c>
    </row>
    <row r="304" spans="1:24" s="179" customFormat="1" ht="106.5">
      <c r="A304" s="131">
        <v>305</v>
      </c>
      <c r="B304" s="179" t="s">
        <v>227</v>
      </c>
      <c r="C304" s="179" t="s">
        <v>1808</v>
      </c>
      <c r="D304" s="131" t="s">
        <v>1809</v>
      </c>
      <c r="E304" s="131" t="s">
        <v>1810</v>
      </c>
      <c r="F304" s="179">
        <v>9910875424</v>
      </c>
      <c r="G304" s="179" t="s">
        <v>1811</v>
      </c>
      <c r="H304" s="179" t="s">
        <v>261</v>
      </c>
      <c r="I304" s="131" t="s">
        <v>10</v>
      </c>
      <c r="J304" s="131" t="s">
        <v>1783</v>
      </c>
      <c r="K304" s="131" t="s">
        <v>1784</v>
      </c>
      <c r="L304" s="131" t="s">
        <v>1785</v>
      </c>
      <c r="M304" s="329">
        <v>45894</v>
      </c>
      <c r="N304" s="329">
        <v>46228</v>
      </c>
      <c r="O304" s="179">
        <v>11</v>
      </c>
      <c r="Q304" s="131" t="s">
        <v>195</v>
      </c>
      <c r="S304" s="131" t="s">
        <v>1812</v>
      </c>
      <c r="T304" s="131"/>
      <c r="W304" s="179" t="s">
        <v>513</v>
      </c>
    </row>
    <row r="305" spans="1:23" s="198" customFormat="1" ht="60.75">
      <c r="A305" s="131">
        <v>306</v>
      </c>
      <c r="B305" s="179" t="s">
        <v>227</v>
      </c>
      <c r="C305" s="179" t="s">
        <v>1813</v>
      </c>
      <c r="D305" s="131" t="s">
        <v>1814</v>
      </c>
      <c r="E305" s="132" t="s">
        <v>1815</v>
      </c>
      <c r="F305" s="198">
        <v>7275768305</v>
      </c>
      <c r="G305" s="198" t="s">
        <v>1816</v>
      </c>
      <c r="H305" s="179" t="s">
        <v>194</v>
      </c>
      <c r="I305" s="131" t="s">
        <v>10</v>
      </c>
      <c r="J305" s="131" t="s">
        <v>1699</v>
      </c>
      <c r="K305" s="131" t="s">
        <v>1700</v>
      </c>
      <c r="L305" s="179">
        <v>9220726732</v>
      </c>
      <c r="M305" s="329">
        <v>45897</v>
      </c>
      <c r="N305" s="329">
        <v>46205</v>
      </c>
      <c r="O305" s="179">
        <v>11</v>
      </c>
      <c r="P305" s="179"/>
      <c r="Q305" s="131" t="s">
        <v>195</v>
      </c>
      <c r="S305" s="131" t="s">
        <v>1817</v>
      </c>
      <c r="T305" s="131"/>
      <c r="U305" s="179"/>
      <c r="V305" s="179"/>
      <c r="W305" s="179" t="s">
        <v>243</v>
      </c>
    </row>
    <row r="306" spans="1:23" s="139" customFormat="1" ht="45.75">
      <c r="A306" s="139">
        <v>307</v>
      </c>
      <c r="B306" s="139" t="s">
        <v>227</v>
      </c>
      <c r="C306" s="139" t="s">
        <v>1818</v>
      </c>
      <c r="D306" s="133" t="s">
        <v>1819</v>
      </c>
      <c r="E306" s="133" t="s">
        <v>1820</v>
      </c>
      <c r="F306" s="139">
        <v>8307801640</v>
      </c>
      <c r="G306" s="139" t="s">
        <v>1821</v>
      </c>
      <c r="H306" s="139" t="s">
        <v>261</v>
      </c>
      <c r="I306" s="133" t="s">
        <v>10</v>
      </c>
      <c r="J306" s="133" t="s">
        <v>1699</v>
      </c>
      <c r="K306" s="133" t="s">
        <v>1700</v>
      </c>
      <c r="L306" s="139">
        <v>9220726732</v>
      </c>
      <c r="M306" s="142">
        <v>45897</v>
      </c>
      <c r="N306" s="142">
        <v>46205</v>
      </c>
      <c r="O306" s="139">
        <v>11</v>
      </c>
      <c r="Q306" s="133" t="s">
        <v>176</v>
      </c>
      <c r="S306" s="133" t="s">
        <v>1822</v>
      </c>
      <c r="T306" s="133"/>
      <c r="U306" s="131" t="s">
        <v>1823</v>
      </c>
    </row>
    <row r="307" spans="1:23" s="219" customFormat="1" ht="60.75">
      <c r="A307" s="179">
        <v>308</v>
      </c>
      <c r="B307" s="179" t="s">
        <v>227</v>
      </c>
      <c r="C307" s="179" t="s">
        <v>1824</v>
      </c>
      <c r="D307" s="131" t="s">
        <v>1825</v>
      </c>
      <c r="E307" s="132" t="s">
        <v>1826</v>
      </c>
      <c r="F307" s="198">
        <v>9871878155</v>
      </c>
      <c r="G307" s="198" t="s">
        <v>1827</v>
      </c>
      <c r="H307" s="179" t="s">
        <v>1828</v>
      </c>
      <c r="I307" s="131" t="s">
        <v>10</v>
      </c>
      <c r="J307" s="131" t="s">
        <v>1699</v>
      </c>
      <c r="K307" s="131" t="s">
        <v>1700</v>
      </c>
      <c r="L307" s="179">
        <v>9220726732</v>
      </c>
      <c r="M307" s="432">
        <v>45902</v>
      </c>
      <c r="N307" s="329">
        <v>45871</v>
      </c>
      <c r="O307" s="179">
        <v>11</v>
      </c>
      <c r="P307" s="179"/>
      <c r="Q307" s="131" t="s">
        <v>195</v>
      </c>
      <c r="S307" s="131" t="s">
        <v>1829</v>
      </c>
      <c r="T307" s="131"/>
      <c r="U307" s="179"/>
      <c r="V307" s="179"/>
      <c r="W307" s="179" t="s">
        <v>243</v>
      </c>
    </row>
    <row r="308" spans="1:23" s="198" customFormat="1" ht="60.75">
      <c r="A308" s="131">
        <v>309</v>
      </c>
      <c r="B308" s="179" t="s">
        <v>227</v>
      </c>
      <c r="C308" s="179" t="s">
        <v>1830</v>
      </c>
      <c r="D308" s="131" t="s">
        <v>1831</v>
      </c>
      <c r="E308" s="132" t="s">
        <v>1832</v>
      </c>
      <c r="F308" s="198">
        <v>9818276992</v>
      </c>
      <c r="G308" s="198" t="s">
        <v>1833</v>
      </c>
      <c r="H308" s="179" t="s">
        <v>261</v>
      </c>
      <c r="I308" s="131" t="s">
        <v>10</v>
      </c>
      <c r="J308" s="131" t="s">
        <v>1728</v>
      </c>
      <c r="K308" s="131" t="s">
        <v>1729</v>
      </c>
      <c r="L308" s="131" t="s">
        <v>1730</v>
      </c>
      <c r="M308" s="432">
        <v>45902</v>
      </c>
      <c r="N308" s="329">
        <v>45871</v>
      </c>
      <c r="O308" s="179">
        <v>11</v>
      </c>
      <c r="P308" s="179"/>
      <c r="Q308" s="131" t="s">
        <v>195</v>
      </c>
      <c r="S308" s="131" t="s">
        <v>1834</v>
      </c>
      <c r="T308" s="131"/>
      <c r="U308" s="179" t="s">
        <v>1835</v>
      </c>
      <c r="V308" s="179"/>
      <c r="W308" s="179" t="s">
        <v>513</v>
      </c>
    </row>
    <row r="309" spans="1:23" s="161" customFormat="1" ht="76.5">
      <c r="A309" s="133">
        <v>310</v>
      </c>
      <c r="B309" s="139" t="s">
        <v>227</v>
      </c>
      <c r="C309" s="139" t="s">
        <v>1836</v>
      </c>
      <c r="D309" s="133" t="s">
        <v>16</v>
      </c>
      <c r="E309" s="145" t="s">
        <v>1837</v>
      </c>
      <c r="F309" s="141">
        <v>9811379141</v>
      </c>
      <c r="G309" s="141"/>
      <c r="H309" s="139" t="s">
        <v>194</v>
      </c>
      <c r="I309" s="133" t="s">
        <v>10</v>
      </c>
      <c r="J309" s="133" t="s">
        <v>1708</v>
      </c>
      <c r="K309" s="133" t="s">
        <v>1709</v>
      </c>
      <c r="L309" s="133" t="s">
        <v>1710</v>
      </c>
      <c r="M309" s="146">
        <v>45904</v>
      </c>
      <c r="N309" s="146">
        <v>45873</v>
      </c>
      <c r="O309" s="139">
        <v>11</v>
      </c>
      <c r="P309" s="139"/>
      <c r="Q309" s="133" t="s">
        <v>195</v>
      </c>
      <c r="S309" s="133" t="s">
        <v>1838</v>
      </c>
      <c r="T309" s="133"/>
      <c r="U309" s="139"/>
      <c r="V309" s="139"/>
      <c r="W309" s="139"/>
    </row>
    <row r="310" spans="1:23" s="219" customFormat="1" ht="76.5">
      <c r="A310" s="179">
        <v>311</v>
      </c>
      <c r="B310" s="179" t="s">
        <v>227</v>
      </c>
      <c r="C310" s="179" t="s">
        <v>1839</v>
      </c>
      <c r="D310" s="131" t="s">
        <v>1840</v>
      </c>
      <c r="E310" s="132" t="s">
        <v>1841</v>
      </c>
      <c r="F310" s="198">
        <v>9999065557</v>
      </c>
      <c r="G310" s="198" t="s">
        <v>1842</v>
      </c>
      <c r="H310" s="179" t="s">
        <v>241</v>
      </c>
      <c r="I310" s="131" t="s">
        <v>10</v>
      </c>
      <c r="J310" s="131" t="s">
        <v>549</v>
      </c>
      <c r="K310" s="131" t="s">
        <v>1784</v>
      </c>
      <c r="L310" s="179" t="s">
        <v>1843</v>
      </c>
      <c r="M310" s="265">
        <v>45911</v>
      </c>
      <c r="N310" s="265">
        <v>46245</v>
      </c>
      <c r="O310" s="179">
        <v>11</v>
      </c>
      <c r="P310" s="179"/>
      <c r="Q310" s="131" t="s">
        <v>195</v>
      </c>
      <c r="S310" s="131" t="s">
        <v>1844</v>
      </c>
      <c r="T310" s="131"/>
      <c r="U310" s="179"/>
      <c r="V310" s="179"/>
      <c r="W310" s="179" t="s">
        <v>243</v>
      </c>
    </row>
    <row r="311" spans="1:23" s="161" customFormat="1" ht="106.5">
      <c r="A311" s="139">
        <v>312</v>
      </c>
      <c r="B311" s="139" t="s">
        <v>227</v>
      </c>
      <c r="C311" s="139" t="s">
        <v>1845</v>
      </c>
      <c r="D311" s="133" t="s">
        <v>1846</v>
      </c>
      <c r="E311" s="145" t="s">
        <v>1847</v>
      </c>
      <c r="F311" s="141">
        <v>9900999637</v>
      </c>
      <c r="G311" s="141" t="s">
        <v>1848</v>
      </c>
      <c r="H311" s="139" t="s">
        <v>1737</v>
      </c>
      <c r="I311" s="133" t="s">
        <v>10</v>
      </c>
      <c r="J311" s="133" t="s">
        <v>1728</v>
      </c>
      <c r="K311" s="133" t="s">
        <v>1729</v>
      </c>
      <c r="L311" s="133" t="s">
        <v>1730</v>
      </c>
      <c r="M311" s="146">
        <v>45913</v>
      </c>
      <c r="N311" s="146">
        <v>46247</v>
      </c>
      <c r="O311" s="139">
        <v>11</v>
      </c>
      <c r="P311" s="139"/>
      <c r="Q311" s="133" t="s">
        <v>195</v>
      </c>
      <c r="S311" s="133" t="s">
        <v>1849</v>
      </c>
      <c r="T311" s="133"/>
      <c r="U311" s="139"/>
      <c r="V311" s="139"/>
      <c r="W311" s="139"/>
    </row>
    <row r="312" spans="1:23" s="219" customFormat="1" ht="76.5">
      <c r="A312" s="131">
        <v>313</v>
      </c>
      <c r="B312" s="179" t="s">
        <v>227</v>
      </c>
      <c r="C312" s="131" t="s">
        <v>1850</v>
      </c>
      <c r="D312" s="131" t="s">
        <v>191</v>
      </c>
      <c r="E312" s="132" t="s">
        <v>1851</v>
      </c>
      <c r="F312" s="198">
        <v>8178495485</v>
      </c>
      <c r="G312" s="198" t="s">
        <v>193</v>
      </c>
      <c r="H312" s="179" t="s">
        <v>194</v>
      </c>
      <c r="I312" s="131" t="s">
        <v>10</v>
      </c>
      <c r="J312" s="131" t="s">
        <v>1582</v>
      </c>
      <c r="K312" s="131" t="s">
        <v>1784</v>
      </c>
      <c r="L312" s="179">
        <v>9319775809</v>
      </c>
      <c r="M312" s="265">
        <v>45915</v>
      </c>
      <c r="N312" s="265">
        <v>46249</v>
      </c>
      <c r="O312" s="179">
        <v>11</v>
      </c>
      <c r="P312" s="179"/>
      <c r="Q312" s="131" t="s">
        <v>195</v>
      </c>
      <c r="S312" s="131" t="s">
        <v>1852</v>
      </c>
      <c r="T312" s="131"/>
      <c r="U312" s="179"/>
      <c r="V312" s="179" t="s">
        <v>1853</v>
      </c>
      <c r="W312" s="179"/>
    </row>
    <row r="313" spans="1:23" s="161" customFormat="1" ht="91.5">
      <c r="A313" s="133">
        <v>314</v>
      </c>
      <c r="B313" s="139" t="s">
        <v>227</v>
      </c>
      <c r="C313" s="139" t="s">
        <v>1854</v>
      </c>
      <c r="D313" s="133" t="s">
        <v>1855</v>
      </c>
      <c r="E313" s="145" t="s">
        <v>1856</v>
      </c>
      <c r="F313" s="141">
        <v>9820138782</v>
      </c>
      <c r="G313" s="141" t="s">
        <v>1857</v>
      </c>
      <c r="H313" s="139" t="s">
        <v>696</v>
      </c>
      <c r="I313" s="133" t="s">
        <v>10</v>
      </c>
      <c r="J313" s="133" t="s">
        <v>1783</v>
      </c>
      <c r="K313" s="133" t="s">
        <v>1784</v>
      </c>
      <c r="L313" s="133" t="s">
        <v>1858</v>
      </c>
      <c r="M313" s="146">
        <v>45915</v>
      </c>
      <c r="N313" s="146">
        <v>46249</v>
      </c>
      <c r="O313" s="139">
        <v>11</v>
      </c>
      <c r="P313" s="139"/>
      <c r="Q313" s="133" t="s">
        <v>195</v>
      </c>
      <c r="S313" s="133" t="s">
        <v>1859</v>
      </c>
      <c r="T313" s="133"/>
      <c r="U313" s="139"/>
      <c r="V313" s="139"/>
      <c r="W313" s="139"/>
    </row>
    <row r="314" spans="1:23" s="161" customFormat="1" ht="106.5">
      <c r="A314" s="133">
        <v>315</v>
      </c>
      <c r="B314" s="139" t="s">
        <v>227</v>
      </c>
      <c r="C314" s="133" t="s">
        <v>1860</v>
      </c>
      <c r="D314" s="133" t="s">
        <v>1861</v>
      </c>
      <c r="E314" s="145" t="s">
        <v>1862</v>
      </c>
      <c r="F314" s="141">
        <v>9542534254</v>
      </c>
      <c r="G314" s="141" t="s">
        <v>1863</v>
      </c>
      <c r="H314" s="139" t="s">
        <v>1864</v>
      </c>
      <c r="I314" s="133" t="s">
        <v>10</v>
      </c>
      <c r="J314" s="133" t="s">
        <v>1865</v>
      </c>
      <c r="K314" s="133" t="s">
        <v>1709</v>
      </c>
      <c r="L314" s="139" t="s">
        <v>1866</v>
      </c>
      <c r="M314" s="146">
        <v>45918</v>
      </c>
      <c r="N314" s="146">
        <v>46252</v>
      </c>
      <c r="O314" s="139">
        <v>11</v>
      </c>
      <c r="P314" s="139"/>
      <c r="Q314" s="133" t="s">
        <v>195</v>
      </c>
      <c r="S314" s="133" t="s">
        <v>1867</v>
      </c>
      <c r="T314" s="133"/>
      <c r="U314" s="139"/>
      <c r="V314" s="139"/>
      <c r="W314" s="139"/>
    </row>
    <row r="315" spans="1:23" s="161" customFormat="1" ht="106.5">
      <c r="A315" s="133">
        <v>316</v>
      </c>
      <c r="B315" s="139" t="s">
        <v>227</v>
      </c>
      <c r="C315" s="139" t="s">
        <v>1868</v>
      </c>
      <c r="D315" s="133" t="s">
        <v>1869</v>
      </c>
      <c r="E315" s="145" t="s">
        <v>1870</v>
      </c>
      <c r="F315" s="141">
        <v>8106343324</v>
      </c>
      <c r="G315" s="141" t="s">
        <v>1871</v>
      </c>
      <c r="H315" s="139" t="s">
        <v>1872</v>
      </c>
      <c r="I315" s="133" t="s">
        <v>10</v>
      </c>
      <c r="J315" s="133" t="s">
        <v>1873</v>
      </c>
      <c r="K315" s="133" t="s">
        <v>1709</v>
      </c>
      <c r="L315" s="139" t="s">
        <v>1866</v>
      </c>
      <c r="M315" s="146">
        <v>45918</v>
      </c>
      <c r="N315" s="146">
        <v>46252</v>
      </c>
      <c r="O315" s="139">
        <v>11</v>
      </c>
      <c r="P315" s="139"/>
      <c r="Q315" s="133" t="s">
        <v>176</v>
      </c>
      <c r="S315" s="133" t="s">
        <v>1874</v>
      </c>
      <c r="T315" s="133"/>
      <c r="U315" s="139"/>
      <c r="V315" s="139"/>
      <c r="W315" s="139"/>
    </row>
    <row r="316" spans="1:23" s="219" customFormat="1" ht="60.75">
      <c r="A316" s="131">
        <v>317</v>
      </c>
      <c r="B316" s="179" t="s">
        <v>227</v>
      </c>
      <c r="C316" s="179" t="s">
        <v>1875</v>
      </c>
      <c r="D316" s="131" t="s">
        <v>1876</v>
      </c>
      <c r="E316" s="132" t="s">
        <v>1877</v>
      </c>
      <c r="F316" s="198">
        <v>7001970337</v>
      </c>
      <c r="G316" s="198" t="s">
        <v>1878</v>
      </c>
      <c r="H316" s="179" t="s">
        <v>194</v>
      </c>
      <c r="I316" s="131" t="s">
        <v>10</v>
      </c>
      <c r="J316" s="131" t="s">
        <v>1582</v>
      </c>
      <c r="K316" s="131" t="s">
        <v>1784</v>
      </c>
      <c r="L316" s="179">
        <v>9319775809</v>
      </c>
      <c r="M316" s="265">
        <v>45918</v>
      </c>
      <c r="N316" s="265">
        <v>46252</v>
      </c>
      <c r="O316" s="179">
        <v>11</v>
      </c>
      <c r="P316" s="179"/>
      <c r="Q316" s="131" t="s">
        <v>195</v>
      </c>
      <c r="S316" s="131" t="s">
        <v>1879</v>
      </c>
      <c r="T316" s="131"/>
      <c r="U316" s="179"/>
      <c r="V316" s="179"/>
      <c r="W316" s="179" t="s">
        <v>513</v>
      </c>
    </row>
    <row r="317" spans="1:23" s="219" customFormat="1" ht="60.75">
      <c r="A317" s="131">
        <v>318</v>
      </c>
      <c r="B317" s="179" t="s">
        <v>227</v>
      </c>
      <c r="C317" s="179" t="s">
        <v>1880</v>
      </c>
      <c r="D317" s="131" t="s">
        <v>1881</v>
      </c>
      <c r="E317" s="132" t="s">
        <v>1882</v>
      </c>
      <c r="F317" s="198">
        <v>9663560669</v>
      </c>
      <c r="G317" s="198" t="s">
        <v>1883</v>
      </c>
      <c r="H317" s="179" t="s">
        <v>1737</v>
      </c>
      <c r="I317" s="131" t="s">
        <v>10</v>
      </c>
      <c r="J317" s="131" t="s">
        <v>1884</v>
      </c>
      <c r="K317" s="131" t="s">
        <v>1709</v>
      </c>
      <c r="L317" s="179" t="s">
        <v>1885</v>
      </c>
      <c r="M317" s="265">
        <v>45918</v>
      </c>
      <c r="N317" s="265">
        <v>46252</v>
      </c>
      <c r="O317" s="179">
        <v>11</v>
      </c>
      <c r="P317" s="179"/>
      <c r="Q317" s="131" t="s">
        <v>176</v>
      </c>
      <c r="S317" s="131" t="s">
        <v>1886</v>
      </c>
      <c r="T317" s="131"/>
      <c r="U317" s="179"/>
      <c r="V317" s="179"/>
      <c r="W317" s="179" t="s">
        <v>188</v>
      </c>
    </row>
    <row r="318" spans="1:23" s="161" customFormat="1" ht="60.75">
      <c r="A318" s="133">
        <v>319</v>
      </c>
      <c r="B318" s="139" t="s">
        <v>227</v>
      </c>
      <c r="C318" s="139" t="s">
        <v>1887</v>
      </c>
      <c r="D318" s="133" t="s">
        <v>1887</v>
      </c>
      <c r="E318" s="145" t="s">
        <v>1888</v>
      </c>
      <c r="F318" s="141">
        <v>97430411680</v>
      </c>
      <c r="G318" s="141" t="s">
        <v>1889</v>
      </c>
      <c r="H318" s="139" t="s">
        <v>468</v>
      </c>
      <c r="I318" s="133" t="s">
        <v>10</v>
      </c>
      <c r="J318" s="133" t="s">
        <v>1738</v>
      </c>
      <c r="K318" s="133" t="s">
        <v>1709</v>
      </c>
      <c r="L318" s="133" t="s">
        <v>1763</v>
      </c>
      <c r="M318" s="146">
        <v>45918</v>
      </c>
      <c r="N318" s="146">
        <v>46252</v>
      </c>
      <c r="O318" s="139">
        <v>11</v>
      </c>
      <c r="P318" s="139"/>
      <c r="Q318" s="133" t="s">
        <v>195</v>
      </c>
      <c r="S318" s="133" t="s">
        <v>1890</v>
      </c>
      <c r="T318" s="133"/>
      <c r="U318" s="139"/>
      <c r="V318" s="139"/>
      <c r="W318" s="139"/>
    </row>
    <row r="319" spans="1:23" s="161" customFormat="1" ht="76.5">
      <c r="A319" s="133">
        <v>320</v>
      </c>
      <c r="B319" s="139" t="s">
        <v>227</v>
      </c>
      <c r="C319" s="139" t="s">
        <v>1891</v>
      </c>
      <c r="D319" s="133" t="s">
        <v>1892</v>
      </c>
      <c r="E319" s="145" t="s">
        <v>1893</v>
      </c>
      <c r="F319" s="141">
        <v>9148051135</v>
      </c>
      <c r="G319" s="141" t="s">
        <v>1894</v>
      </c>
      <c r="H319" s="139" t="s">
        <v>1895</v>
      </c>
      <c r="I319" s="133" t="s">
        <v>10</v>
      </c>
      <c r="J319" s="133" t="s">
        <v>1873</v>
      </c>
      <c r="K319" s="133" t="s">
        <v>1709</v>
      </c>
      <c r="L319" s="139" t="s">
        <v>1866</v>
      </c>
      <c r="M319" s="146">
        <v>45919</v>
      </c>
      <c r="N319" s="146">
        <v>46253</v>
      </c>
      <c r="O319" s="139">
        <v>11</v>
      </c>
      <c r="P319" s="139"/>
      <c r="Q319" s="133" t="s">
        <v>195</v>
      </c>
      <c r="S319" s="133" t="s">
        <v>1896</v>
      </c>
      <c r="T319" s="133"/>
      <c r="U319" s="139"/>
      <c r="V319" s="139"/>
      <c r="W319" s="139"/>
    </row>
    <row r="320" spans="1:23" s="161" customFormat="1" ht="45.75">
      <c r="A320" s="133">
        <v>321</v>
      </c>
      <c r="B320" s="139" t="s">
        <v>227</v>
      </c>
      <c r="C320" s="139" t="s">
        <v>1897</v>
      </c>
      <c r="D320" s="133" t="s">
        <v>1898</v>
      </c>
      <c r="E320" s="145" t="s">
        <v>1899</v>
      </c>
      <c r="F320" s="139" t="s">
        <v>1900</v>
      </c>
      <c r="G320" s="141" t="s">
        <v>1901</v>
      </c>
      <c r="H320" s="139" t="s">
        <v>1828</v>
      </c>
      <c r="I320" s="133" t="s">
        <v>10</v>
      </c>
      <c r="J320" s="133" t="s">
        <v>1728</v>
      </c>
      <c r="K320" s="133" t="s">
        <v>1729</v>
      </c>
      <c r="L320" s="133" t="s">
        <v>1730</v>
      </c>
      <c r="M320" s="146">
        <v>45919</v>
      </c>
      <c r="N320" s="146">
        <v>46253</v>
      </c>
      <c r="O320" s="139">
        <v>11</v>
      </c>
      <c r="P320" s="139"/>
      <c r="Q320" s="133" t="s">
        <v>195</v>
      </c>
      <c r="S320" s="133" t="s">
        <v>1902</v>
      </c>
      <c r="T320" s="133"/>
      <c r="U320" s="139"/>
      <c r="V320" s="139"/>
      <c r="W320" s="139"/>
    </row>
    <row r="321" spans="1:23" s="161" customFormat="1" ht="45.75">
      <c r="A321" s="133">
        <v>322</v>
      </c>
      <c r="B321" s="139" t="s">
        <v>227</v>
      </c>
      <c r="C321" s="139" t="s">
        <v>1903</v>
      </c>
      <c r="D321" s="133" t="s">
        <v>1904</v>
      </c>
      <c r="E321" s="145" t="s">
        <v>1905</v>
      </c>
      <c r="F321" s="141">
        <v>8318846663</v>
      </c>
      <c r="G321" s="141" t="s">
        <v>1906</v>
      </c>
      <c r="H321" s="139" t="s">
        <v>1828</v>
      </c>
      <c r="I321" s="133" t="s">
        <v>10</v>
      </c>
      <c r="J321" s="133" t="s">
        <v>1873</v>
      </c>
      <c r="K321" s="133" t="s">
        <v>1709</v>
      </c>
      <c r="L321" s="139" t="s">
        <v>1866</v>
      </c>
      <c r="M321" s="146">
        <v>45919</v>
      </c>
      <c r="N321" s="146">
        <v>46253</v>
      </c>
      <c r="O321" s="139">
        <v>11</v>
      </c>
      <c r="P321" s="139"/>
      <c r="Q321" s="133" t="s">
        <v>176</v>
      </c>
      <c r="S321" s="133" t="s">
        <v>1907</v>
      </c>
      <c r="T321" s="133"/>
      <c r="U321" s="139"/>
      <c r="V321" s="139"/>
      <c r="W321" s="139"/>
    </row>
    <row r="322" spans="1:23" s="161" customFormat="1" ht="60.75">
      <c r="A322" s="133">
        <v>323</v>
      </c>
      <c r="B322" s="139" t="s">
        <v>1789</v>
      </c>
      <c r="C322" s="139" t="s">
        <v>1908</v>
      </c>
      <c r="D322" s="133" t="s">
        <v>1909</v>
      </c>
      <c r="E322" s="145" t="s">
        <v>1910</v>
      </c>
      <c r="F322" s="141">
        <v>9633013567</v>
      </c>
      <c r="G322" s="141" t="s">
        <v>1911</v>
      </c>
      <c r="H322" s="139" t="s">
        <v>202</v>
      </c>
      <c r="I322" s="133" t="s">
        <v>10</v>
      </c>
      <c r="J322" s="133" t="s">
        <v>1708</v>
      </c>
      <c r="K322" s="133" t="s">
        <v>1709</v>
      </c>
      <c r="L322" s="133" t="s">
        <v>1710</v>
      </c>
      <c r="M322" s="146">
        <v>45920</v>
      </c>
      <c r="N322" s="146">
        <v>46254</v>
      </c>
      <c r="O322" s="139">
        <v>11</v>
      </c>
      <c r="P322" s="139"/>
      <c r="Q322" s="133" t="s">
        <v>195</v>
      </c>
      <c r="S322" s="133" t="s">
        <v>1912</v>
      </c>
      <c r="T322" s="133"/>
      <c r="U322" s="139"/>
      <c r="V322" s="139"/>
      <c r="W322" s="139"/>
    </row>
    <row r="323" spans="1:23" s="161" customFormat="1" ht="45" customHeight="1">
      <c r="A323" s="133">
        <v>324</v>
      </c>
      <c r="B323" s="139" t="s">
        <v>227</v>
      </c>
      <c r="C323" s="139" t="s">
        <v>1913</v>
      </c>
      <c r="D323" s="133" t="s">
        <v>48</v>
      </c>
      <c r="E323" s="145" t="s">
        <v>1914</v>
      </c>
      <c r="F323" s="141">
        <v>7088087300</v>
      </c>
      <c r="G323" s="141" t="s">
        <v>1915</v>
      </c>
      <c r="H323" s="139" t="s">
        <v>194</v>
      </c>
      <c r="I323" s="133" t="s">
        <v>10</v>
      </c>
      <c r="J323" s="133" t="s">
        <v>1873</v>
      </c>
      <c r="K323" s="133" t="s">
        <v>1709</v>
      </c>
      <c r="L323" s="139" t="s">
        <v>1866</v>
      </c>
      <c r="M323" s="146">
        <v>45920</v>
      </c>
      <c r="N323" s="146">
        <v>46254</v>
      </c>
      <c r="O323" s="139">
        <v>11</v>
      </c>
      <c r="P323" s="139"/>
      <c r="Q323" s="133" t="s">
        <v>195</v>
      </c>
      <c r="S323" s="133" t="s">
        <v>1916</v>
      </c>
      <c r="T323" s="133"/>
      <c r="U323" s="139"/>
      <c r="V323" s="139"/>
      <c r="W323" s="139"/>
    </row>
    <row r="324" spans="1:23" s="161" customFormat="1" ht="45.75">
      <c r="A324" s="133">
        <v>325</v>
      </c>
      <c r="B324" s="139" t="s">
        <v>1789</v>
      </c>
      <c r="C324" s="139" t="s">
        <v>1917</v>
      </c>
      <c r="D324" s="133" t="s">
        <v>1918</v>
      </c>
      <c r="E324" s="145" t="s">
        <v>1919</v>
      </c>
      <c r="F324" s="141">
        <v>8892630858</v>
      </c>
      <c r="G324" s="141" t="s">
        <v>1920</v>
      </c>
      <c r="H324" s="139" t="s">
        <v>512</v>
      </c>
      <c r="I324" s="133" t="s">
        <v>10</v>
      </c>
      <c r="J324" s="133" t="s">
        <v>1738</v>
      </c>
      <c r="K324" s="133" t="s">
        <v>1709</v>
      </c>
      <c r="L324" s="133" t="s">
        <v>1739</v>
      </c>
      <c r="M324" s="146">
        <v>45922</v>
      </c>
      <c r="N324" s="146">
        <v>46256</v>
      </c>
      <c r="O324" s="139">
        <v>11</v>
      </c>
      <c r="P324" s="139"/>
      <c r="Q324" s="133" t="s">
        <v>176</v>
      </c>
      <c r="S324" s="133" t="s">
        <v>1921</v>
      </c>
      <c r="T324" s="133"/>
      <c r="U324" s="139"/>
      <c r="V324" s="139"/>
      <c r="W324" s="179" t="s">
        <v>1922</v>
      </c>
    </row>
    <row r="325" spans="1:23" s="219" customFormat="1" ht="60.75">
      <c r="A325" s="131">
        <v>326</v>
      </c>
      <c r="B325" s="179" t="s">
        <v>227</v>
      </c>
      <c r="C325" s="179" t="s">
        <v>1923</v>
      </c>
      <c r="D325" s="131" t="s">
        <v>1924</v>
      </c>
      <c r="E325" s="132" t="s">
        <v>1925</v>
      </c>
      <c r="F325" s="198">
        <v>9711181070</v>
      </c>
      <c r="G325" s="198" t="s">
        <v>1926</v>
      </c>
      <c r="H325" s="179" t="s">
        <v>194</v>
      </c>
      <c r="I325" s="131" t="s">
        <v>10</v>
      </c>
      <c r="J325" s="131" t="s">
        <v>549</v>
      </c>
      <c r="K325" s="131" t="s">
        <v>1784</v>
      </c>
      <c r="L325" s="179" t="s">
        <v>1843</v>
      </c>
      <c r="M325" s="265">
        <v>45938</v>
      </c>
      <c r="N325" s="265">
        <v>46273</v>
      </c>
      <c r="O325" s="179">
        <v>11</v>
      </c>
      <c r="P325" s="179"/>
      <c r="Q325" s="131" t="s">
        <v>195</v>
      </c>
      <c r="S325" s="131" t="s">
        <v>1927</v>
      </c>
      <c r="T325" s="131"/>
      <c r="U325" s="179"/>
      <c r="V325" s="179"/>
      <c r="W325" s="179" t="s">
        <v>513</v>
      </c>
    </row>
    <row r="326" spans="1:23" s="161" customFormat="1" ht="60.75">
      <c r="A326" s="133">
        <v>327</v>
      </c>
      <c r="B326" s="139" t="s">
        <v>227</v>
      </c>
      <c r="C326" s="133" t="s">
        <v>1928</v>
      </c>
      <c r="D326" s="133" t="s">
        <v>1929</v>
      </c>
      <c r="E326" s="145" t="s">
        <v>1930</v>
      </c>
      <c r="F326" s="141">
        <v>8376968516</v>
      </c>
      <c r="G326" s="141" t="s">
        <v>1931</v>
      </c>
      <c r="H326" s="139" t="s">
        <v>241</v>
      </c>
      <c r="I326" s="133" t="s">
        <v>10</v>
      </c>
      <c r="J326" s="133" t="s">
        <v>1708</v>
      </c>
      <c r="K326" s="133" t="s">
        <v>1709</v>
      </c>
      <c r="L326" s="133" t="s">
        <v>1710</v>
      </c>
      <c r="M326" s="146">
        <v>45934</v>
      </c>
      <c r="N326" s="146">
        <v>46269</v>
      </c>
      <c r="O326" s="139">
        <v>11</v>
      </c>
      <c r="P326" s="139"/>
      <c r="Q326" s="133" t="s">
        <v>195</v>
      </c>
      <c r="S326" s="133" t="s">
        <v>1932</v>
      </c>
      <c r="T326" s="133"/>
      <c r="U326" s="139"/>
      <c r="V326" s="139"/>
      <c r="W326" s="139"/>
    </row>
    <row r="327" spans="1:23" s="219" customFormat="1" ht="45.75">
      <c r="A327" s="131">
        <v>328</v>
      </c>
      <c r="B327" s="179" t="s">
        <v>227</v>
      </c>
      <c r="C327" s="179" t="s">
        <v>1933</v>
      </c>
      <c r="D327" s="131" t="s">
        <v>1934</v>
      </c>
      <c r="E327" s="132" t="s">
        <v>1935</v>
      </c>
      <c r="F327" s="198">
        <v>9811135919</v>
      </c>
      <c r="G327" s="198" t="s">
        <v>1936</v>
      </c>
      <c r="H327" s="179" t="s">
        <v>677</v>
      </c>
      <c r="I327" s="131" t="s">
        <v>10</v>
      </c>
      <c r="J327" s="131" t="s">
        <v>1783</v>
      </c>
      <c r="K327" s="131" t="s">
        <v>1784</v>
      </c>
      <c r="L327" s="131" t="s">
        <v>1858</v>
      </c>
      <c r="M327" s="265">
        <v>45934</v>
      </c>
      <c r="N327" s="265">
        <v>46269</v>
      </c>
      <c r="O327" s="179">
        <v>11</v>
      </c>
      <c r="P327" s="179"/>
      <c r="Q327" s="131" t="s">
        <v>195</v>
      </c>
      <c r="S327" s="131" t="s">
        <v>1937</v>
      </c>
      <c r="T327" s="131"/>
      <c r="U327" s="179"/>
      <c r="V327" s="179"/>
      <c r="W327" s="179" t="s">
        <v>513</v>
      </c>
    </row>
    <row r="328" spans="1:23" s="219" customFormat="1" ht="91.5">
      <c r="A328" s="131">
        <v>329</v>
      </c>
      <c r="B328" s="179" t="s">
        <v>227</v>
      </c>
      <c r="C328" s="179" t="s">
        <v>1938</v>
      </c>
      <c r="D328" s="131" t="s">
        <v>1939</v>
      </c>
      <c r="E328" s="132" t="s">
        <v>1940</v>
      </c>
      <c r="F328" s="198">
        <v>9321131198</v>
      </c>
      <c r="G328" s="198" t="s">
        <v>1941</v>
      </c>
      <c r="H328" s="179" t="s">
        <v>529</v>
      </c>
      <c r="I328" s="131" t="s">
        <v>10</v>
      </c>
      <c r="J328" s="131" t="s">
        <v>1582</v>
      </c>
      <c r="K328" s="131" t="s">
        <v>1784</v>
      </c>
      <c r="L328" s="179">
        <v>9319775809</v>
      </c>
      <c r="M328" s="265">
        <v>45936</v>
      </c>
      <c r="N328" s="265">
        <v>46271</v>
      </c>
      <c r="O328" s="179">
        <v>11</v>
      </c>
      <c r="P328" s="179"/>
      <c r="Q328" s="131" t="s">
        <v>195</v>
      </c>
      <c r="S328" s="131" t="s">
        <v>1942</v>
      </c>
      <c r="T328" s="131"/>
      <c r="U328" s="179"/>
      <c r="V328" s="179"/>
      <c r="W328" s="179" t="s">
        <v>513</v>
      </c>
    </row>
    <row r="329" spans="1:23" s="161" customFormat="1" ht="45.75">
      <c r="A329" s="133">
        <v>330</v>
      </c>
      <c r="B329" s="139" t="s">
        <v>227</v>
      </c>
      <c r="C329" s="139" t="s">
        <v>1943</v>
      </c>
      <c r="D329" s="133" t="s">
        <v>1944</v>
      </c>
      <c r="E329" s="145" t="s">
        <v>1945</v>
      </c>
      <c r="F329" s="141">
        <v>9897062082</v>
      </c>
      <c r="G329" s="141" t="s">
        <v>1946</v>
      </c>
      <c r="H329" s="139" t="s">
        <v>1947</v>
      </c>
      <c r="I329" s="133" t="s">
        <v>10</v>
      </c>
      <c r="J329" s="133" t="s">
        <v>1708</v>
      </c>
      <c r="K329" s="133" t="s">
        <v>1709</v>
      </c>
      <c r="L329" s="133" t="s">
        <v>1710</v>
      </c>
      <c r="M329" s="146">
        <v>45937</v>
      </c>
      <c r="N329" s="146">
        <v>46272</v>
      </c>
      <c r="O329" s="139">
        <v>11</v>
      </c>
      <c r="P329" s="139"/>
      <c r="Q329" s="133" t="s">
        <v>195</v>
      </c>
      <c r="S329" s="133" t="s">
        <v>1948</v>
      </c>
      <c r="T329" s="133"/>
      <c r="U329" s="139"/>
      <c r="V329" s="139"/>
      <c r="W329" s="139"/>
    </row>
    <row r="330" spans="1:23" s="219" customFormat="1" ht="76.5">
      <c r="A330" s="131">
        <v>331</v>
      </c>
      <c r="B330" s="179" t="s">
        <v>227</v>
      </c>
      <c r="C330" s="179" t="s">
        <v>1949</v>
      </c>
      <c r="D330" s="131" t="s">
        <v>1950</v>
      </c>
      <c r="E330" s="132" t="s">
        <v>1951</v>
      </c>
      <c r="F330" s="198">
        <v>9871631273</v>
      </c>
      <c r="G330" s="198" t="s">
        <v>1952</v>
      </c>
      <c r="H330" s="179" t="s">
        <v>261</v>
      </c>
      <c r="I330" s="131" t="s">
        <v>10</v>
      </c>
      <c r="J330" s="131" t="s">
        <v>549</v>
      </c>
      <c r="K330" s="131" t="s">
        <v>1784</v>
      </c>
      <c r="L330" s="179" t="s">
        <v>1843</v>
      </c>
      <c r="M330" s="265">
        <v>45940</v>
      </c>
      <c r="N330" s="265">
        <v>45910</v>
      </c>
      <c r="O330" s="179">
        <v>11</v>
      </c>
      <c r="P330" s="179"/>
      <c r="Q330" s="131" t="s">
        <v>195</v>
      </c>
      <c r="S330" s="131" t="s">
        <v>1953</v>
      </c>
      <c r="T330" s="131"/>
      <c r="U330" s="179"/>
      <c r="V330" s="179"/>
      <c r="W330" s="179" t="s">
        <v>513</v>
      </c>
    </row>
    <row r="331" spans="1:23" s="219" customFormat="1" ht="60.75">
      <c r="A331" s="131">
        <v>332</v>
      </c>
      <c r="B331" s="179" t="s">
        <v>227</v>
      </c>
      <c r="C331" s="179" t="s">
        <v>1954</v>
      </c>
      <c r="D331" s="131" t="s">
        <v>1955</v>
      </c>
      <c r="E331" s="132" t="s">
        <v>1956</v>
      </c>
      <c r="F331" s="198">
        <v>8921456719</v>
      </c>
      <c r="G331" s="198" t="s">
        <v>1957</v>
      </c>
      <c r="H331" s="179" t="s">
        <v>202</v>
      </c>
      <c r="I331" s="131" t="s">
        <v>10</v>
      </c>
      <c r="J331" s="131" t="s">
        <v>1884</v>
      </c>
      <c r="K331" s="131" t="s">
        <v>1709</v>
      </c>
      <c r="L331" s="179" t="s">
        <v>1885</v>
      </c>
      <c r="M331" s="265">
        <v>45943</v>
      </c>
      <c r="N331" s="265">
        <v>46278</v>
      </c>
      <c r="O331" s="179">
        <v>11</v>
      </c>
      <c r="P331" s="179"/>
      <c r="Q331" s="131" t="s">
        <v>195</v>
      </c>
      <c r="S331" s="131" t="s">
        <v>1958</v>
      </c>
      <c r="T331" s="131"/>
      <c r="U331" s="179"/>
      <c r="V331" s="179"/>
      <c r="W331" s="179" t="s">
        <v>513</v>
      </c>
    </row>
    <row r="332" spans="1:23" s="219" customFormat="1" ht="76.5">
      <c r="A332" s="131">
        <v>333</v>
      </c>
      <c r="B332" s="179" t="s">
        <v>227</v>
      </c>
      <c r="C332" s="179" t="s">
        <v>1959</v>
      </c>
      <c r="D332" s="131" t="s">
        <v>89</v>
      </c>
      <c r="E332" s="132" t="s">
        <v>1960</v>
      </c>
      <c r="F332" s="198">
        <v>7030058556</v>
      </c>
      <c r="G332" s="198"/>
      <c r="H332" s="179" t="s">
        <v>1828</v>
      </c>
      <c r="I332" s="131" t="s">
        <v>10</v>
      </c>
      <c r="J332" s="131" t="s">
        <v>1738</v>
      </c>
      <c r="K332" s="131" t="s">
        <v>1709</v>
      </c>
      <c r="L332" s="131" t="s">
        <v>1739</v>
      </c>
      <c r="M332" s="265">
        <v>45943</v>
      </c>
      <c r="N332" s="265">
        <v>46278</v>
      </c>
      <c r="O332" s="179">
        <v>11</v>
      </c>
      <c r="P332" s="179"/>
      <c r="Q332" s="131" t="s">
        <v>195</v>
      </c>
      <c r="S332" s="131" t="s">
        <v>1961</v>
      </c>
      <c r="T332" s="131"/>
      <c r="U332" s="179"/>
      <c r="V332" s="179"/>
      <c r="W332" s="179" t="s">
        <v>513</v>
      </c>
    </row>
    <row r="333" spans="1:23" s="219" customFormat="1" ht="60.75">
      <c r="A333" s="131">
        <v>334</v>
      </c>
      <c r="B333" s="179" t="s">
        <v>227</v>
      </c>
      <c r="C333" s="179" t="s">
        <v>1962</v>
      </c>
      <c r="D333" s="131" t="s">
        <v>1963</v>
      </c>
      <c r="E333" s="132" t="s">
        <v>1964</v>
      </c>
      <c r="F333" s="198">
        <v>9003990522</v>
      </c>
      <c r="G333" s="198" t="s">
        <v>1965</v>
      </c>
      <c r="H333" s="179" t="s">
        <v>1966</v>
      </c>
      <c r="I333" s="131" t="s">
        <v>10</v>
      </c>
      <c r="J333" s="131" t="s">
        <v>1738</v>
      </c>
      <c r="K333" s="131" t="s">
        <v>1709</v>
      </c>
      <c r="L333" s="131" t="s">
        <v>1739</v>
      </c>
      <c r="M333" s="265">
        <v>45946</v>
      </c>
      <c r="N333" s="265">
        <v>46281</v>
      </c>
      <c r="O333" s="179">
        <v>11</v>
      </c>
      <c r="P333" s="179"/>
      <c r="Q333" s="131" t="s">
        <v>195</v>
      </c>
      <c r="S333" s="131" t="s">
        <v>1967</v>
      </c>
      <c r="T333" s="131"/>
      <c r="U333" s="179"/>
      <c r="V333" s="179"/>
      <c r="W333" s="179" t="s">
        <v>513</v>
      </c>
    </row>
    <row r="334" spans="1:23" s="161" customFormat="1" ht="60.75">
      <c r="A334" s="133">
        <v>335</v>
      </c>
      <c r="B334" s="139" t="s">
        <v>227</v>
      </c>
      <c r="C334" s="139" t="s">
        <v>1968</v>
      </c>
      <c r="D334" s="133" t="s">
        <v>1969</v>
      </c>
      <c r="E334" s="145" t="s">
        <v>1970</v>
      </c>
      <c r="F334" s="141">
        <v>7349424455</v>
      </c>
      <c r="G334" s="141" t="s">
        <v>1971</v>
      </c>
      <c r="H334" s="139" t="s">
        <v>444</v>
      </c>
      <c r="I334" s="133" t="s">
        <v>10</v>
      </c>
      <c r="J334" s="133" t="s">
        <v>1738</v>
      </c>
      <c r="K334" s="133" t="s">
        <v>1709</v>
      </c>
      <c r="L334" s="133" t="s">
        <v>1739</v>
      </c>
      <c r="M334" s="141"/>
      <c r="N334" s="141"/>
      <c r="O334" s="139">
        <v>11</v>
      </c>
      <c r="P334" s="139"/>
      <c r="Q334" s="133" t="s">
        <v>195</v>
      </c>
      <c r="S334" s="133" t="s">
        <v>1972</v>
      </c>
      <c r="T334" s="133"/>
      <c r="U334" s="139"/>
      <c r="V334" s="139"/>
      <c r="W334" s="139"/>
    </row>
    <row r="335" spans="1:23" s="161" customFormat="1" ht="76.5">
      <c r="A335" s="133">
        <v>336</v>
      </c>
      <c r="B335" s="139" t="s">
        <v>227</v>
      </c>
      <c r="C335" s="139" t="s">
        <v>1973</v>
      </c>
      <c r="D335" s="133" t="s">
        <v>1974</v>
      </c>
      <c r="E335" s="145" t="s">
        <v>1975</v>
      </c>
      <c r="F335" s="141">
        <v>9340139227</v>
      </c>
      <c r="G335" s="145" t="s">
        <v>1976</v>
      </c>
      <c r="H335" s="139" t="s">
        <v>1794</v>
      </c>
      <c r="I335" s="133" t="s">
        <v>10</v>
      </c>
      <c r="J335" s="133" t="s">
        <v>1728</v>
      </c>
      <c r="K335" s="133" t="s">
        <v>1729</v>
      </c>
      <c r="L335" s="133" t="s">
        <v>1730</v>
      </c>
      <c r="M335" s="141"/>
      <c r="N335" s="141"/>
      <c r="O335" s="139">
        <v>11</v>
      </c>
      <c r="P335" s="139"/>
      <c r="Q335" s="133" t="s">
        <v>176</v>
      </c>
      <c r="S335" s="133" t="s">
        <v>1977</v>
      </c>
      <c r="T335" s="133"/>
      <c r="U335" s="139"/>
      <c r="V335" s="139"/>
      <c r="W335" s="139"/>
    </row>
    <row r="336" spans="1:23" s="161" customFormat="1" ht="60.75">
      <c r="A336" s="133">
        <v>337</v>
      </c>
      <c r="B336" s="139" t="s">
        <v>227</v>
      </c>
      <c r="C336" s="139" t="s">
        <v>1978</v>
      </c>
      <c r="D336" s="133" t="s">
        <v>1979</v>
      </c>
      <c r="E336" s="145" t="s">
        <v>1980</v>
      </c>
      <c r="F336" s="141">
        <v>9871336968</v>
      </c>
      <c r="G336" s="141" t="s">
        <v>1981</v>
      </c>
      <c r="H336" s="139" t="s">
        <v>677</v>
      </c>
      <c r="I336" s="133" t="s">
        <v>10</v>
      </c>
      <c r="J336" s="133" t="s">
        <v>1728</v>
      </c>
      <c r="K336" s="133" t="s">
        <v>1729</v>
      </c>
      <c r="L336" s="133" t="s">
        <v>1730</v>
      </c>
      <c r="M336" s="141"/>
      <c r="N336" s="141"/>
      <c r="O336" s="139">
        <v>11</v>
      </c>
      <c r="P336" s="139"/>
      <c r="Q336" s="133" t="s">
        <v>195</v>
      </c>
      <c r="S336" s="133" t="s">
        <v>1982</v>
      </c>
      <c r="T336" s="133"/>
      <c r="U336" s="139"/>
      <c r="V336" s="139"/>
      <c r="W336" s="139"/>
    </row>
    <row r="337" spans="1:30" s="161" customFormat="1" ht="60.75">
      <c r="A337" s="133">
        <v>338</v>
      </c>
      <c r="B337" s="139" t="s">
        <v>227</v>
      </c>
      <c r="C337" s="139" t="s">
        <v>1983</v>
      </c>
      <c r="D337" s="133" t="s">
        <v>1984</v>
      </c>
      <c r="E337" s="145" t="s">
        <v>1985</v>
      </c>
      <c r="F337" s="141">
        <v>7905981040</v>
      </c>
      <c r="G337" s="141" t="s">
        <v>1986</v>
      </c>
      <c r="H337" s="139" t="s">
        <v>241</v>
      </c>
      <c r="I337" s="133" t="s">
        <v>10</v>
      </c>
      <c r="J337" s="133" t="s">
        <v>1873</v>
      </c>
      <c r="K337" s="133" t="s">
        <v>1709</v>
      </c>
      <c r="L337" s="139" t="s">
        <v>1866</v>
      </c>
      <c r="M337" s="141"/>
      <c r="N337" s="141"/>
      <c r="O337" s="139">
        <v>11</v>
      </c>
      <c r="P337" s="139"/>
      <c r="Q337" s="133" t="s">
        <v>176</v>
      </c>
      <c r="S337" s="133" t="s">
        <v>1987</v>
      </c>
      <c r="T337" s="133"/>
      <c r="U337" s="139"/>
      <c r="V337" s="139"/>
      <c r="W337" s="139"/>
    </row>
    <row r="338" spans="1:30" s="219" customFormat="1" ht="60.75">
      <c r="A338" s="131">
        <v>339</v>
      </c>
      <c r="B338" s="179" t="s">
        <v>227</v>
      </c>
      <c r="C338" s="179" t="s">
        <v>244</v>
      </c>
      <c r="D338" s="131" t="s">
        <v>245</v>
      </c>
      <c r="E338" s="132" t="s">
        <v>1988</v>
      </c>
      <c r="F338" s="198">
        <v>7755047992</v>
      </c>
      <c r="G338" s="198" t="s">
        <v>247</v>
      </c>
      <c r="H338" s="179" t="s">
        <v>248</v>
      </c>
      <c r="I338" s="131" t="s">
        <v>10</v>
      </c>
      <c r="J338" s="131" t="s">
        <v>1582</v>
      </c>
      <c r="K338" s="131" t="s">
        <v>1784</v>
      </c>
      <c r="L338" s="179">
        <v>9319775809</v>
      </c>
      <c r="M338" s="265">
        <v>45953</v>
      </c>
      <c r="N338" s="265">
        <v>46288</v>
      </c>
      <c r="O338" s="179">
        <v>11</v>
      </c>
      <c r="P338" s="179"/>
      <c r="Q338" s="131" t="s">
        <v>195</v>
      </c>
      <c r="S338" s="131" t="s">
        <v>1989</v>
      </c>
      <c r="T338" s="131"/>
      <c r="U338" s="179"/>
      <c r="V338" s="179" t="s">
        <v>1990</v>
      </c>
      <c r="W338" s="179" t="s">
        <v>1991</v>
      </c>
    </row>
    <row r="339" spans="1:30" s="219" customFormat="1" ht="39" customHeight="1">
      <c r="A339" s="131">
        <v>340</v>
      </c>
      <c r="B339" s="179" t="s">
        <v>227</v>
      </c>
      <c r="C339" s="179" t="s">
        <v>1992</v>
      </c>
      <c r="D339" s="131" t="s">
        <v>1993</v>
      </c>
      <c r="E339" s="132" t="s">
        <v>1994</v>
      </c>
      <c r="F339" s="198">
        <v>9645331047</v>
      </c>
      <c r="G339" s="198" t="s">
        <v>1995</v>
      </c>
      <c r="H339" s="179" t="s">
        <v>202</v>
      </c>
      <c r="I339" s="131" t="s">
        <v>10</v>
      </c>
      <c r="J339" s="131" t="s">
        <v>1708</v>
      </c>
      <c r="K339" s="131" t="s">
        <v>1709</v>
      </c>
      <c r="L339" s="131" t="s">
        <v>1710</v>
      </c>
      <c r="M339" s="265">
        <v>45955</v>
      </c>
      <c r="N339" s="265">
        <v>46290</v>
      </c>
      <c r="O339" s="179">
        <v>11</v>
      </c>
      <c r="P339" s="179"/>
      <c r="Q339" s="131" t="s">
        <v>176</v>
      </c>
      <c r="S339" s="131" t="s">
        <v>1996</v>
      </c>
      <c r="T339" s="131"/>
      <c r="U339" s="179"/>
      <c r="V339" s="179"/>
      <c r="W339" s="179" t="s">
        <v>513</v>
      </c>
    </row>
    <row r="340" spans="1:30" s="219" customFormat="1" ht="76.5">
      <c r="A340" s="131">
        <v>341</v>
      </c>
      <c r="B340" s="179" t="s">
        <v>227</v>
      </c>
      <c r="C340" s="179" t="s">
        <v>1997</v>
      </c>
      <c r="D340" s="131" t="s">
        <v>1998</v>
      </c>
      <c r="E340" s="132" t="s">
        <v>1999</v>
      </c>
      <c r="F340" s="198">
        <v>9582807311</v>
      </c>
      <c r="G340" s="198" t="s">
        <v>2000</v>
      </c>
      <c r="H340" s="179" t="s">
        <v>194</v>
      </c>
      <c r="I340" s="131" t="s">
        <v>10</v>
      </c>
      <c r="J340" s="131" t="s">
        <v>1738</v>
      </c>
      <c r="K340" s="131" t="s">
        <v>1709</v>
      </c>
      <c r="L340" s="131" t="s">
        <v>1739</v>
      </c>
      <c r="M340" s="265">
        <v>45959</v>
      </c>
      <c r="N340" s="265">
        <v>46294</v>
      </c>
      <c r="O340" s="179">
        <v>11</v>
      </c>
      <c r="P340" s="179"/>
      <c r="Q340" s="131" t="s">
        <v>195</v>
      </c>
      <c r="S340" s="131" t="s">
        <v>2001</v>
      </c>
      <c r="T340" s="131"/>
      <c r="U340" s="179"/>
      <c r="V340" s="179"/>
      <c r="W340" s="179" t="s">
        <v>513</v>
      </c>
    </row>
    <row r="341" spans="1:30" s="161" customFormat="1" ht="76.5">
      <c r="A341" s="133">
        <v>342</v>
      </c>
      <c r="B341" s="139" t="s">
        <v>227</v>
      </c>
      <c r="C341" s="139" t="s">
        <v>2002</v>
      </c>
      <c r="D341" s="133" t="s">
        <v>2003</v>
      </c>
      <c r="E341" s="145" t="s">
        <v>2004</v>
      </c>
      <c r="F341" s="141">
        <v>7738219351</v>
      </c>
      <c r="G341" s="141" t="s">
        <v>2005</v>
      </c>
      <c r="H341" s="139" t="s">
        <v>1737</v>
      </c>
      <c r="I341" s="133" t="s">
        <v>10</v>
      </c>
      <c r="J341" s="133" t="s">
        <v>1873</v>
      </c>
      <c r="K341" s="133" t="s">
        <v>1709</v>
      </c>
      <c r="L341" s="139" t="s">
        <v>1866</v>
      </c>
      <c r="M341" s="146">
        <v>45960</v>
      </c>
      <c r="N341" s="146">
        <v>46295</v>
      </c>
      <c r="O341" s="139">
        <v>11</v>
      </c>
      <c r="P341" s="139"/>
      <c r="Q341" s="133" t="s">
        <v>176</v>
      </c>
      <c r="S341" s="133" t="s">
        <v>2006</v>
      </c>
      <c r="T341" s="133"/>
      <c r="U341" s="139"/>
      <c r="V341" s="139"/>
      <c r="W341" s="139"/>
    </row>
    <row r="342" spans="1:30" s="161" customFormat="1" ht="60.75">
      <c r="A342" s="133">
        <v>343</v>
      </c>
      <c r="B342" s="139" t="s">
        <v>227</v>
      </c>
      <c r="C342" s="139" t="s">
        <v>2007</v>
      </c>
      <c r="D342" s="133" t="s">
        <v>2008</v>
      </c>
      <c r="E342" s="145" t="s">
        <v>2009</v>
      </c>
      <c r="F342" s="141">
        <v>8122201231</v>
      </c>
      <c r="G342" s="141" t="s">
        <v>2010</v>
      </c>
      <c r="H342" s="139" t="s">
        <v>1966</v>
      </c>
      <c r="I342" s="133" t="s">
        <v>10</v>
      </c>
      <c r="J342" s="133" t="s">
        <v>1728</v>
      </c>
      <c r="K342" s="133" t="s">
        <v>1729</v>
      </c>
      <c r="L342" s="133" t="s">
        <v>1730</v>
      </c>
      <c r="M342" s="146">
        <v>45961</v>
      </c>
      <c r="N342" s="146">
        <v>46295</v>
      </c>
      <c r="O342" s="139">
        <v>11</v>
      </c>
      <c r="P342" s="139"/>
      <c r="Q342" s="133" t="s">
        <v>195</v>
      </c>
      <c r="S342" s="133" t="s">
        <v>2011</v>
      </c>
      <c r="T342" s="133"/>
      <c r="U342" s="139"/>
      <c r="V342" s="139"/>
      <c r="W342" s="179" t="s">
        <v>2012</v>
      </c>
    </row>
    <row r="343" spans="1:30" s="161" customFormat="1" ht="45.75">
      <c r="A343" s="133">
        <v>344</v>
      </c>
      <c r="B343" s="139" t="s">
        <v>227</v>
      </c>
      <c r="C343" s="139" t="s">
        <v>228</v>
      </c>
      <c r="D343" s="133" t="s">
        <v>229</v>
      </c>
      <c r="E343" s="145" t="s">
        <v>2013</v>
      </c>
      <c r="F343" s="141">
        <v>9480454011</v>
      </c>
      <c r="G343" s="141" t="s">
        <v>231</v>
      </c>
      <c r="H343" s="139" t="s">
        <v>2014</v>
      </c>
      <c r="I343" s="133" t="s">
        <v>10</v>
      </c>
      <c r="J343" s="133" t="s">
        <v>1783</v>
      </c>
      <c r="K343" s="133" t="s">
        <v>1784</v>
      </c>
      <c r="L343" s="133" t="s">
        <v>1858</v>
      </c>
      <c r="M343" s="146">
        <v>45964</v>
      </c>
      <c r="N343" s="146">
        <v>46298</v>
      </c>
      <c r="O343" s="139">
        <v>11</v>
      </c>
      <c r="P343" s="139"/>
      <c r="Q343" s="133" t="s">
        <v>176</v>
      </c>
      <c r="S343" s="133" t="s">
        <v>2015</v>
      </c>
      <c r="T343" s="133"/>
      <c r="U343" s="139"/>
      <c r="V343" s="179" t="s">
        <v>1990</v>
      </c>
      <c r="W343" s="139"/>
    </row>
    <row r="344" spans="1:30" s="161" customFormat="1" ht="60.75">
      <c r="A344" s="133">
        <v>345</v>
      </c>
      <c r="B344" s="139" t="s">
        <v>227</v>
      </c>
      <c r="C344" s="139" t="s">
        <v>2016</v>
      </c>
      <c r="D344" s="133" t="s">
        <v>2017</v>
      </c>
      <c r="E344" s="145" t="s">
        <v>2018</v>
      </c>
      <c r="F344" s="145" t="s">
        <v>2019</v>
      </c>
      <c r="G344" s="141" t="s">
        <v>2020</v>
      </c>
      <c r="H344" s="139" t="s">
        <v>194</v>
      </c>
      <c r="I344" s="133" t="s">
        <v>10</v>
      </c>
      <c r="J344" s="133" t="s">
        <v>1728</v>
      </c>
      <c r="K344" s="133" t="s">
        <v>1729</v>
      </c>
      <c r="L344" s="133" t="s">
        <v>1730</v>
      </c>
      <c r="M344" s="146">
        <v>45968</v>
      </c>
      <c r="N344" s="146">
        <v>46302</v>
      </c>
      <c r="O344" s="139">
        <v>11</v>
      </c>
      <c r="P344" s="139"/>
      <c r="Q344" s="133" t="s">
        <v>195</v>
      </c>
      <c r="S344" s="133" t="s">
        <v>2021</v>
      </c>
      <c r="T344" s="133"/>
      <c r="U344" s="139"/>
      <c r="V344" s="139"/>
      <c r="W344" s="139"/>
    </row>
    <row r="345" spans="1:30" s="161" customFormat="1" ht="91.5">
      <c r="A345" s="133">
        <v>346</v>
      </c>
      <c r="B345" s="139" t="s">
        <v>227</v>
      </c>
      <c r="C345" s="139" t="s">
        <v>2022</v>
      </c>
      <c r="D345" s="133" t="s">
        <v>2023</v>
      </c>
      <c r="E345" s="145" t="s">
        <v>2024</v>
      </c>
      <c r="F345" s="141">
        <v>9263949286</v>
      </c>
      <c r="G345" s="141" t="s">
        <v>2025</v>
      </c>
      <c r="H345" s="139" t="s">
        <v>248</v>
      </c>
      <c r="I345" s="133" t="s">
        <v>10</v>
      </c>
      <c r="J345" s="133" t="s">
        <v>1873</v>
      </c>
      <c r="K345" s="133" t="s">
        <v>1709</v>
      </c>
      <c r="L345" s="139" t="s">
        <v>1866</v>
      </c>
      <c r="M345" s="146">
        <v>45968</v>
      </c>
      <c r="N345" s="146">
        <v>46302</v>
      </c>
      <c r="O345" s="139">
        <v>11</v>
      </c>
      <c r="P345" s="139"/>
      <c r="Q345" s="133" t="s">
        <v>195</v>
      </c>
      <c r="S345" s="133" t="s">
        <v>2026</v>
      </c>
      <c r="T345" s="133"/>
      <c r="U345" s="139"/>
      <c r="V345" s="139"/>
      <c r="W345" s="139"/>
    </row>
    <row r="346" spans="1:30" s="161" customFormat="1" ht="121.5">
      <c r="A346" s="133">
        <v>347</v>
      </c>
      <c r="B346" s="139" t="s">
        <v>227</v>
      </c>
      <c r="C346" s="139" t="s">
        <v>2027</v>
      </c>
      <c r="D346" s="133" t="s">
        <v>2028</v>
      </c>
      <c r="E346" s="145" t="s">
        <v>2029</v>
      </c>
      <c r="F346" s="141">
        <v>9217141567</v>
      </c>
      <c r="G346" s="141" t="s">
        <v>2030</v>
      </c>
      <c r="H346" s="139" t="s">
        <v>194</v>
      </c>
      <c r="I346" s="133" t="s">
        <v>10</v>
      </c>
      <c r="J346" s="133" t="s">
        <v>1728</v>
      </c>
      <c r="K346" s="133" t="s">
        <v>1729</v>
      </c>
      <c r="L346" s="133" t="s">
        <v>1730</v>
      </c>
      <c r="M346" s="146">
        <v>45972</v>
      </c>
      <c r="N346" s="146">
        <v>46306</v>
      </c>
      <c r="O346" s="139">
        <v>11</v>
      </c>
      <c r="P346" s="139"/>
      <c r="Q346" s="133" t="s">
        <v>195</v>
      </c>
      <c r="S346" s="133" t="s">
        <v>2031</v>
      </c>
      <c r="T346" s="133"/>
      <c r="U346" s="139"/>
      <c r="V346" s="139"/>
      <c r="W346" s="139"/>
    </row>
    <row r="347" spans="1:30" s="161" customFormat="1" ht="45.75">
      <c r="A347" s="133">
        <v>348</v>
      </c>
      <c r="B347" s="139" t="s">
        <v>167</v>
      </c>
      <c r="C347" s="139" t="s">
        <v>206</v>
      </c>
      <c r="D347" s="133" t="s">
        <v>207</v>
      </c>
      <c r="E347" s="140" t="s">
        <v>208</v>
      </c>
      <c r="F347" s="141">
        <v>8868908134</v>
      </c>
      <c r="G347" s="141" t="s">
        <v>209</v>
      </c>
      <c r="H347" s="139" t="s">
        <v>194</v>
      </c>
      <c r="I347" s="133" t="s">
        <v>10</v>
      </c>
      <c r="J347" s="133" t="s">
        <v>1783</v>
      </c>
      <c r="K347" s="133" t="s">
        <v>1784</v>
      </c>
      <c r="L347" s="133" t="s">
        <v>1858</v>
      </c>
      <c r="M347" s="146">
        <v>45972</v>
      </c>
      <c r="N347" s="146">
        <v>46306</v>
      </c>
      <c r="O347" s="139">
        <v>11</v>
      </c>
      <c r="P347" s="139"/>
      <c r="Q347" s="133" t="s">
        <v>195</v>
      </c>
      <c r="R347" s="139" t="s">
        <v>177</v>
      </c>
      <c r="S347" s="133" t="s">
        <v>2032</v>
      </c>
      <c r="T347" s="133"/>
      <c r="U347" s="133"/>
      <c r="V347" s="179" t="s">
        <v>1990</v>
      </c>
      <c r="W347" s="133"/>
      <c r="X347" s="133"/>
      <c r="Y347" s="141"/>
      <c r="Z347" s="141"/>
      <c r="AA347" s="141"/>
      <c r="AB347" s="141"/>
      <c r="AC347" s="141"/>
      <c r="AD347" s="141" t="s">
        <v>203</v>
      </c>
    </row>
    <row r="348" spans="1:30" s="161" customFormat="1" ht="76.5">
      <c r="A348" s="133">
        <v>349</v>
      </c>
      <c r="B348" s="139" t="s">
        <v>167</v>
      </c>
      <c r="C348" s="139" t="s">
        <v>2033</v>
      </c>
      <c r="D348" s="133" t="s">
        <v>2034</v>
      </c>
      <c r="E348" s="145" t="s">
        <v>2035</v>
      </c>
      <c r="F348" s="141">
        <v>9786769053</v>
      </c>
      <c r="G348" s="141" t="s">
        <v>2036</v>
      </c>
      <c r="H348" s="139" t="s">
        <v>2037</v>
      </c>
      <c r="I348" s="133" t="s">
        <v>10</v>
      </c>
      <c r="J348" s="133" t="s">
        <v>1884</v>
      </c>
      <c r="K348" s="133" t="s">
        <v>1709</v>
      </c>
      <c r="L348" s="139" t="s">
        <v>1885</v>
      </c>
      <c r="M348" s="146">
        <v>45972</v>
      </c>
      <c r="N348" s="146">
        <v>46306</v>
      </c>
      <c r="O348" s="139">
        <v>11</v>
      </c>
      <c r="P348" s="139"/>
      <c r="Q348" s="133" t="s">
        <v>195</v>
      </c>
      <c r="S348" s="133" t="s">
        <v>2038</v>
      </c>
      <c r="T348" s="133"/>
      <c r="U348" s="139"/>
      <c r="V348" s="139"/>
      <c r="W348" s="139"/>
    </row>
    <row r="349" spans="1:30" s="161" customFormat="1" ht="60.75">
      <c r="A349" s="133">
        <v>350</v>
      </c>
      <c r="B349" s="139" t="s">
        <v>167</v>
      </c>
      <c r="C349" s="139" t="s">
        <v>2039</v>
      </c>
      <c r="D349" s="133" t="s">
        <v>2040</v>
      </c>
      <c r="E349" s="145" t="s">
        <v>2041</v>
      </c>
      <c r="F349" s="141">
        <v>9820848308</v>
      </c>
      <c r="G349" s="141" t="s">
        <v>2042</v>
      </c>
      <c r="H349" s="139" t="s">
        <v>529</v>
      </c>
      <c r="I349" s="133" t="s">
        <v>10</v>
      </c>
      <c r="J349" s="133" t="s">
        <v>1738</v>
      </c>
      <c r="K349" s="133" t="s">
        <v>1709</v>
      </c>
      <c r="L349" s="133" t="s">
        <v>1739</v>
      </c>
      <c r="M349" s="146">
        <v>45974</v>
      </c>
      <c r="N349" s="146">
        <v>46308</v>
      </c>
      <c r="O349" s="139">
        <v>11</v>
      </c>
      <c r="P349" s="139"/>
      <c r="Q349" s="133" t="s">
        <v>195</v>
      </c>
      <c r="S349" s="133" t="s">
        <v>2043</v>
      </c>
      <c r="T349" s="133"/>
      <c r="U349" s="139"/>
      <c r="V349" s="139"/>
      <c r="W349" s="139"/>
    </row>
    <row r="350" spans="1:30" s="161" customFormat="1" ht="60.75">
      <c r="A350" s="133">
        <v>351</v>
      </c>
      <c r="B350" s="139" t="s">
        <v>167</v>
      </c>
      <c r="C350" s="139" t="s">
        <v>2044</v>
      </c>
      <c r="D350" s="133" t="s">
        <v>2045</v>
      </c>
      <c r="E350" s="145" t="s">
        <v>2046</v>
      </c>
      <c r="F350" s="141">
        <v>8587097652</v>
      </c>
      <c r="G350" s="141" t="s">
        <v>2047</v>
      </c>
      <c r="H350" s="139" t="s">
        <v>261</v>
      </c>
      <c r="I350" s="133" t="s">
        <v>10</v>
      </c>
      <c r="J350" s="133" t="s">
        <v>1873</v>
      </c>
      <c r="K350" s="133" t="s">
        <v>1709</v>
      </c>
      <c r="L350" s="139" t="s">
        <v>1866</v>
      </c>
      <c r="M350" s="146">
        <v>45975</v>
      </c>
      <c r="N350" s="146">
        <v>46309</v>
      </c>
      <c r="O350" s="139">
        <v>11</v>
      </c>
      <c r="P350" s="139"/>
      <c r="Q350" s="133" t="s">
        <v>195</v>
      </c>
      <c r="S350" s="133" t="s">
        <v>2048</v>
      </c>
      <c r="T350" s="133"/>
      <c r="U350" s="139"/>
      <c r="V350" s="139"/>
      <c r="W350" s="139"/>
    </row>
    <row r="351" spans="1:30" s="161" customFormat="1" ht="60.75">
      <c r="A351" s="133">
        <v>352</v>
      </c>
      <c r="B351" s="139" t="s">
        <v>167</v>
      </c>
      <c r="C351" s="139" t="s">
        <v>1532</v>
      </c>
      <c r="D351" s="133" t="s">
        <v>2049</v>
      </c>
      <c r="E351" s="145" t="s">
        <v>2050</v>
      </c>
      <c r="F351" s="141">
        <v>9605674234</v>
      </c>
      <c r="G351" s="141" t="s">
        <v>2051</v>
      </c>
      <c r="H351" s="139" t="s">
        <v>202</v>
      </c>
      <c r="I351" s="133" t="s">
        <v>10</v>
      </c>
      <c r="J351" s="133" t="s">
        <v>1728</v>
      </c>
      <c r="K351" s="133" t="s">
        <v>1729</v>
      </c>
      <c r="L351" s="133" t="s">
        <v>1730</v>
      </c>
      <c r="M351" s="146">
        <v>45976</v>
      </c>
      <c r="N351" s="146">
        <v>46310</v>
      </c>
      <c r="O351" s="139">
        <v>11</v>
      </c>
      <c r="P351" s="139"/>
      <c r="Q351" s="133" t="s">
        <v>195</v>
      </c>
      <c r="S351" s="133" t="s">
        <v>2052</v>
      </c>
      <c r="T351" s="133"/>
      <c r="U351" s="139"/>
      <c r="V351" s="139"/>
      <c r="W351" s="139"/>
    </row>
    <row r="352" spans="1:30" s="161" customFormat="1" ht="60.75">
      <c r="A352" s="133">
        <v>353</v>
      </c>
      <c r="B352" s="139" t="s">
        <v>167</v>
      </c>
      <c r="C352" s="139" t="s">
        <v>2053</v>
      </c>
      <c r="D352" s="133" t="s">
        <v>2054</v>
      </c>
      <c r="E352" s="145" t="s">
        <v>2055</v>
      </c>
      <c r="F352" s="141">
        <v>7301051000</v>
      </c>
      <c r="G352" s="141" t="s">
        <v>2056</v>
      </c>
      <c r="H352" s="139" t="s">
        <v>261</v>
      </c>
      <c r="I352" s="133" t="s">
        <v>10</v>
      </c>
      <c r="J352" s="133" t="s">
        <v>1738</v>
      </c>
      <c r="K352" s="133" t="s">
        <v>1709</v>
      </c>
      <c r="L352" s="133" t="s">
        <v>2057</v>
      </c>
      <c r="M352" s="146">
        <v>45976</v>
      </c>
      <c r="N352" s="146">
        <v>46310</v>
      </c>
      <c r="O352" s="139">
        <v>11</v>
      </c>
      <c r="P352" s="139"/>
      <c r="Q352" s="133" t="s">
        <v>195</v>
      </c>
      <c r="S352" s="133" t="s">
        <v>2058</v>
      </c>
      <c r="T352" s="133"/>
      <c r="U352" s="139"/>
      <c r="V352" s="139"/>
      <c r="W352" s="139"/>
    </row>
    <row r="353" spans="1:24" s="161" customFormat="1" ht="45.75">
      <c r="A353" s="133">
        <v>354</v>
      </c>
      <c r="B353" s="139" t="s">
        <v>167</v>
      </c>
      <c r="C353" s="139" t="s">
        <v>2059</v>
      </c>
      <c r="D353" s="133" t="s">
        <v>2060</v>
      </c>
      <c r="E353" s="145" t="s">
        <v>2061</v>
      </c>
      <c r="F353" s="141">
        <v>9920536869</v>
      </c>
      <c r="G353" s="141" t="s">
        <v>2062</v>
      </c>
      <c r="H353" s="139" t="s">
        <v>529</v>
      </c>
      <c r="I353" s="133" t="s">
        <v>10</v>
      </c>
      <c r="J353" s="133" t="s">
        <v>549</v>
      </c>
      <c r="K353" s="133" t="s">
        <v>1784</v>
      </c>
      <c r="L353" s="139" t="s">
        <v>550</v>
      </c>
      <c r="M353" s="146">
        <v>45976</v>
      </c>
      <c r="N353" s="146">
        <v>46310</v>
      </c>
      <c r="O353" s="139">
        <v>60</v>
      </c>
      <c r="P353" s="139"/>
      <c r="Q353" s="133" t="s">
        <v>176</v>
      </c>
      <c r="S353" s="133" t="s">
        <v>2063</v>
      </c>
      <c r="T353" s="133"/>
      <c r="U353" s="139"/>
      <c r="V353" s="139"/>
      <c r="W353" s="139"/>
    </row>
    <row r="354" spans="1:24" s="161" customFormat="1" ht="60.75">
      <c r="A354" s="133">
        <v>355</v>
      </c>
      <c r="B354" s="139" t="s">
        <v>167</v>
      </c>
      <c r="C354" s="139" t="s">
        <v>2064</v>
      </c>
      <c r="D354" s="133" t="s">
        <v>2065</v>
      </c>
      <c r="E354" s="145" t="s">
        <v>2066</v>
      </c>
      <c r="F354" s="141">
        <v>8956531480</v>
      </c>
      <c r="G354" s="141" t="s">
        <v>2067</v>
      </c>
      <c r="H354" s="139" t="s">
        <v>2068</v>
      </c>
      <c r="I354" s="133" t="s">
        <v>10</v>
      </c>
      <c r="J354" s="133" t="s">
        <v>1783</v>
      </c>
      <c r="K354" s="133" t="s">
        <v>1784</v>
      </c>
      <c r="L354" s="133" t="s">
        <v>1858</v>
      </c>
      <c r="M354" s="146">
        <v>45979</v>
      </c>
      <c r="N354" s="146">
        <v>46313</v>
      </c>
      <c r="O354" s="139">
        <v>11</v>
      </c>
      <c r="P354" s="139"/>
      <c r="Q354" s="133" t="s">
        <v>2069</v>
      </c>
      <c r="S354" s="133" t="s">
        <v>2070</v>
      </c>
      <c r="T354" s="133"/>
      <c r="U354" s="139"/>
      <c r="V354" s="139"/>
      <c r="W354" s="139"/>
    </row>
    <row r="355" spans="1:24" s="161" customFormat="1" ht="45.75">
      <c r="A355" s="133">
        <v>356</v>
      </c>
      <c r="B355" s="139" t="s">
        <v>167</v>
      </c>
      <c r="C355" s="139" t="s">
        <v>2071</v>
      </c>
      <c r="D355" s="133" t="s">
        <v>2072</v>
      </c>
      <c r="E355" s="145" t="s">
        <v>2073</v>
      </c>
      <c r="F355" s="141">
        <v>9980365674</v>
      </c>
      <c r="G355" s="141"/>
      <c r="H355" s="139"/>
      <c r="I355" s="133" t="s">
        <v>10</v>
      </c>
      <c r="J355" s="133" t="s">
        <v>1873</v>
      </c>
      <c r="K355" s="133" t="s">
        <v>1709</v>
      </c>
      <c r="L355" s="139" t="s">
        <v>1866</v>
      </c>
      <c r="M355" s="146">
        <v>45979</v>
      </c>
      <c r="N355" s="146">
        <v>46313</v>
      </c>
      <c r="O355" s="139">
        <v>11</v>
      </c>
      <c r="P355" s="139"/>
      <c r="Q355" s="133" t="s">
        <v>2069</v>
      </c>
      <c r="S355" s="133" t="s">
        <v>2074</v>
      </c>
      <c r="T355" s="133"/>
      <c r="U355" s="139"/>
      <c r="V355" s="133" t="s">
        <v>2075</v>
      </c>
      <c r="W355" s="139"/>
    </row>
    <row r="356" spans="1:24" s="161" customFormat="1" ht="91.5">
      <c r="A356" s="133">
        <v>357</v>
      </c>
      <c r="B356" s="139" t="s">
        <v>167</v>
      </c>
      <c r="C356" s="133" t="s">
        <v>2076</v>
      </c>
      <c r="D356" s="133" t="s">
        <v>2076</v>
      </c>
      <c r="E356" s="145" t="s">
        <v>2077</v>
      </c>
      <c r="F356" s="141">
        <v>8050666287</v>
      </c>
      <c r="G356" s="141" t="s">
        <v>2078</v>
      </c>
      <c r="H356" s="139" t="s">
        <v>1737</v>
      </c>
      <c r="I356" s="133" t="s">
        <v>10</v>
      </c>
      <c r="J356" s="133" t="s">
        <v>1873</v>
      </c>
      <c r="K356" s="133" t="s">
        <v>1709</v>
      </c>
      <c r="L356" s="139" t="s">
        <v>1866</v>
      </c>
      <c r="M356" s="146">
        <v>45980</v>
      </c>
      <c r="N356" s="146">
        <v>46314</v>
      </c>
      <c r="O356" s="139">
        <v>11</v>
      </c>
      <c r="P356" s="139"/>
      <c r="Q356" s="133" t="s">
        <v>195</v>
      </c>
      <c r="S356" s="133" t="s">
        <v>2079</v>
      </c>
      <c r="T356" s="133"/>
      <c r="U356" s="139"/>
      <c r="V356" s="139"/>
      <c r="W356" s="139"/>
    </row>
    <row r="357" spans="1:24" s="161" customFormat="1" ht="91.5">
      <c r="A357" s="133">
        <v>358</v>
      </c>
      <c r="B357" s="139" t="s">
        <v>167</v>
      </c>
      <c r="C357" s="139" t="s">
        <v>2080</v>
      </c>
      <c r="D357" s="133" t="s">
        <v>2081</v>
      </c>
      <c r="E357" s="145" t="s">
        <v>2082</v>
      </c>
      <c r="F357" s="141">
        <v>8898904659</v>
      </c>
      <c r="G357" s="141" t="s">
        <v>2083</v>
      </c>
      <c r="H357" s="139" t="s">
        <v>354</v>
      </c>
      <c r="I357" s="133" t="s">
        <v>10</v>
      </c>
      <c r="J357" s="133" t="s">
        <v>1873</v>
      </c>
      <c r="K357" s="133" t="s">
        <v>1709</v>
      </c>
      <c r="L357" s="139" t="s">
        <v>1866</v>
      </c>
      <c r="M357" s="146">
        <v>45980</v>
      </c>
      <c r="N357" s="146">
        <v>46314</v>
      </c>
      <c r="O357" s="139">
        <v>11</v>
      </c>
      <c r="P357" s="139"/>
      <c r="Q357" s="133" t="s">
        <v>195</v>
      </c>
      <c r="S357" s="133" t="s">
        <v>2084</v>
      </c>
      <c r="T357" s="133"/>
      <c r="U357" s="139"/>
      <c r="V357" s="139"/>
      <c r="W357" s="139"/>
    </row>
    <row r="358" spans="1:24" s="161" customFormat="1" ht="137.25">
      <c r="A358" s="133">
        <v>359</v>
      </c>
      <c r="B358" s="139" t="s">
        <v>167</v>
      </c>
      <c r="C358" s="139" t="s">
        <v>2085</v>
      </c>
      <c r="D358" s="133" t="s">
        <v>2086</v>
      </c>
      <c r="E358" s="145" t="s">
        <v>2087</v>
      </c>
      <c r="F358" s="141">
        <v>9027120950</v>
      </c>
      <c r="G358" s="141" t="s">
        <v>2088</v>
      </c>
      <c r="H358" s="139" t="s">
        <v>1665</v>
      </c>
      <c r="I358" s="133" t="s">
        <v>10</v>
      </c>
      <c r="J358" s="133" t="s">
        <v>1728</v>
      </c>
      <c r="K358" s="133" t="s">
        <v>1729</v>
      </c>
      <c r="L358" s="133" t="s">
        <v>1730</v>
      </c>
      <c r="M358" s="146">
        <v>45981</v>
      </c>
      <c r="N358" s="146">
        <v>46315</v>
      </c>
      <c r="O358" s="139">
        <v>11</v>
      </c>
      <c r="P358" s="139"/>
      <c r="Q358" s="133" t="s">
        <v>195</v>
      </c>
      <c r="S358" s="133" t="s">
        <v>2089</v>
      </c>
      <c r="T358" s="133"/>
      <c r="U358" s="139"/>
      <c r="V358" s="139"/>
      <c r="W358" s="139"/>
    </row>
    <row r="359" spans="1:24" s="161" customFormat="1" ht="76.5">
      <c r="A359" s="133">
        <v>360</v>
      </c>
      <c r="B359" s="139" t="s">
        <v>227</v>
      </c>
      <c r="C359" s="139" t="s">
        <v>374</v>
      </c>
      <c r="D359" s="133" t="s">
        <v>375</v>
      </c>
      <c r="E359" s="145" t="s">
        <v>376</v>
      </c>
      <c r="F359" s="141">
        <v>9769768196</v>
      </c>
      <c r="G359" s="141" t="s">
        <v>377</v>
      </c>
      <c r="H359" s="139" t="s">
        <v>354</v>
      </c>
      <c r="I359" s="133" t="s">
        <v>10</v>
      </c>
      <c r="J359" s="133" t="s">
        <v>1783</v>
      </c>
      <c r="K359" s="133" t="s">
        <v>1784</v>
      </c>
      <c r="L359" s="133" t="s">
        <v>1858</v>
      </c>
      <c r="M359" s="146">
        <v>45981</v>
      </c>
      <c r="N359" s="146">
        <v>46315</v>
      </c>
      <c r="O359" s="139">
        <v>11</v>
      </c>
      <c r="P359" s="139"/>
      <c r="Q359" s="133" t="s">
        <v>195</v>
      </c>
      <c r="R359" s="139" t="s">
        <v>177</v>
      </c>
      <c r="S359" s="133" t="s">
        <v>2090</v>
      </c>
      <c r="T359" s="133"/>
      <c r="U359" s="133"/>
      <c r="V359" s="179" t="s">
        <v>1990</v>
      </c>
      <c r="W359" s="133"/>
      <c r="X359" s="133"/>
    </row>
    <row r="360" spans="1:24" s="161" customFormat="1" ht="60.75">
      <c r="A360" s="133">
        <v>361</v>
      </c>
      <c r="B360" s="139" t="s">
        <v>227</v>
      </c>
      <c r="C360" s="139" t="s">
        <v>2091</v>
      </c>
      <c r="D360" s="133" t="s">
        <v>2092</v>
      </c>
      <c r="E360" s="145" t="s">
        <v>2093</v>
      </c>
      <c r="F360" s="141">
        <v>9545795655</v>
      </c>
      <c r="G360" s="141" t="s">
        <v>2094</v>
      </c>
      <c r="H360" s="139" t="s">
        <v>2095</v>
      </c>
      <c r="I360" s="133" t="s">
        <v>10</v>
      </c>
      <c r="J360" s="133" t="s">
        <v>1873</v>
      </c>
      <c r="K360" s="133" t="s">
        <v>1709</v>
      </c>
      <c r="L360" s="139" t="s">
        <v>1866</v>
      </c>
      <c r="M360" s="146">
        <v>45982</v>
      </c>
      <c r="N360" s="146">
        <v>46316</v>
      </c>
      <c r="O360" s="139">
        <v>11</v>
      </c>
      <c r="P360" s="139"/>
      <c r="Q360" s="133" t="s">
        <v>195</v>
      </c>
      <c r="S360" s="133" t="s">
        <v>2096</v>
      </c>
      <c r="T360" s="133"/>
      <c r="U360" s="139"/>
      <c r="V360" s="139"/>
      <c r="W360" s="139"/>
    </row>
    <row r="361" spans="1:24" s="161" customFormat="1" ht="91.5">
      <c r="A361" s="133">
        <v>362</v>
      </c>
      <c r="B361" s="139" t="s">
        <v>227</v>
      </c>
      <c r="C361" s="139" t="s">
        <v>2097</v>
      </c>
      <c r="D361" s="133" t="s">
        <v>94</v>
      </c>
      <c r="E361" s="145" t="s">
        <v>2098</v>
      </c>
      <c r="F361" s="141">
        <v>9880301757</v>
      </c>
      <c r="G361" s="141" t="s">
        <v>2099</v>
      </c>
      <c r="H361" s="139" t="s">
        <v>1737</v>
      </c>
      <c r="I361" s="133" t="s">
        <v>10</v>
      </c>
      <c r="J361" s="133" t="s">
        <v>1783</v>
      </c>
      <c r="K361" s="133" t="s">
        <v>1784</v>
      </c>
      <c r="L361" s="133" t="s">
        <v>1858</v>
      </c>
      <c r="M361" s="146">
        <v>45982</v>
      </c>
      <c r="N361" s="146">
        <v>46316</v>
      </c>
      <c r="O361" s="139">
        <v>11</v>
      </c>
      <c r="P361" s="139"/>
      <c r="Q361" s="133" t="s">
        <v>195</v>
      </c>
      <c r="S361" s="133" t="s">
        <v>2100</v>
      </c>
      <c r="T361" s="133"/>
      <c r="U361" s="139" t="s">
        <v>2101</v>
      </c>
      <c r="V361" s="139"/>
      <c r="W361" s="139"/>
    </row>
    <row r="362" spans="1:24" s="161" customFormat="1" ht="121.5">
      <c r="A362" s="133">
        <v>363</v>
      </c>
      <c r="B362" s="139" t="s">
        <v>227</v>
      </c>
      <c r="C362" s="139" t="s">
        <v>397</v>
      </c>
      <c r="D362" s="133" t="s">
        <v>398</v>
      </c>
      <c r="E362" s="145" t="s">
        <v>399</v>
      </c>
      <c r="F362" s="141">
        <v>9599885047</v>
      </c>
      <c r="G362" s="141" t="s">
        <v>400</v>
      </c>
      <c r="H362" s="139" t="s">
        <v>194</v>
      </c>
      <c r="I362" s="133" t="s">
        <v>10</v>
      </c>
      <c r="J362" s="133" t="s">
        <v>1783</v>
      </c>
      <c r="K362" s="133" t="s">
        <v>1784</v>
      </c>
      <c r="L362" s="133" t="s">
        <v>1858</v>
      </c>
      <c r="M362" s="146">
        <v>45982</v>
      </c>
      <c r="N362" s="146">
        <v>46316</v>
      </c>
      <c r="O362" s="139">
        <v>11</v>
      </c>
      <c r="P362" s="139"/>
      <c r="Q362" s="133" t="s">
        <v>195</v>
      </c>
      <c r="R362" s="139"/>
      <c r="S362" s="133" t="s">
        <v>2102</v>
      </c>
      <c r="T362" s="133"/>
      <c r="U362" s="133"/>
      <c r="V362" s="179" t="s">
        <v>1990</v>
      </c>
      <c r="W362" s="133"/>
      <c r="X362" s="133"/>
    </row>
    <row r="363" spans="1:24" s="161" customFormat="1" ht="76.5">
      <c r="A363" s="133">
        <v>364</v>
      </c>
      <c r="B363" s="139" t="s">
        <v>227</v>
      </c>
      <c r="C363" s="139" t="s">
        <v>328</v>
      </c>
      <c r="D363" s="133" t="s">
        <v>329</v>
      </c>
      <c r="E363" s="145" t="s">
        <v>330</v>
      </c>
      <c r="F363" s="141">
        <v>9847845649</v>
      </c>
      <c r="G363" s="141" t="s">
        <v>331</v>
      </c>
      <c r="H363" s="139" t="s">
        <v>202</v>
      </c>
      <c r="I363" s="133" t="s">
        <v>10</v>
      </c>
      <c r="J363" s="133" t="s">
        <v>1783</v>
      </c>
      <c r="K363" s="133" t="s">
        <v>1784</v>
      </c>
      <c r="L363" s="133" t="s">
        <v>1858</v>
      </c>
      <c r="M363" s="146">
        <v>45983</v>
      </c>
      <c r="N363" s="146">
        <v>46317</v>
      </c>
      <c r="O363" s="139">
        <v>11</v>
      </c>
      <c r="P363" s="139"/>
      <c r="Q363" s="133" t="s">
        <v>176</v>
      </c>
      <c r="R363" s="139" t="s">
        <v>177</v>
      </c>
      <c r="S363" s="133" t="s">
        <v>2103</v>
      </c>
      <c r="T363" s="133"/>
      <c r="U363" s="133"/>
      <c r="V363" s="179" t="s">
        <v>1990</v>
      </c>
      <c r="W363" s="133"/>
      <c r="X363" s="133"/>
    </row>
    <row r="364" spans="1:24" s="161" customFormat="1" ht="42.75" customHeight="1">
      <c r="A364" s="133">
        <v>365</v>
      </c>
      <c r="B364" s="139" t="s">
        <v>227</v>
      </c>
      <c r="C364" s="139" t="s">
        <v>2104</v>
      </c>
      <c r="D364" s="133" t="s">
        <v>2105</v>
      </c>
      <c r="E364" s="145" t="s">
        <v>2106</v>
      </c>
      <c r="F364" s="141"/>
      <c r="G364" s="141" t="s">
        <v>2107</v>
      </c>
      <c r="H364" s="139" t="s">
        <v>275</v>
      </c>
      <c r="I364" s="133" t="s">
        <v>10</v>
      </c>
      <c r="J364" s="133" t="s">
        <v>549</v>
      </c>
      <c r="K364" s="133" t="s">
        <v>1784</v>
      </c>
      <c r="L364" s="139" t="s">
        <v>550</v>
      </c>
      <c r="M364" s="146">
        <v>45985</v>
      </c>
      <c r="N364" s="146">
        <v>46319</v>
      </c>
      <c r="O364" s="139">
        <v>11</v>
      </c>
      <c r="P364" s="139"/>
      <c r="Q364" s="133" t="s">
        <v>195</v>
      </c>
      <c r="S364" s="133" t="s">
        <v>2108</v>
      </c>
      <c r="T364" s="133"/>
      <c r="U364" s="139"/>
      <c r="V364" s="139"/>
      <c r="W364" s="139"/>
    </row>
    <row r="365" spans="1:24" s="161" customFormat="1" ht="91.5">
      <c r="A365" s="139">
        <v>366</v>
      </c>
      <c r="B365" s="139" t="s">
        <v>227</v>
      </c>
      <c r="C365" s="139" t="s">
        <v>344</v>
      </c>
      <c r="D365" s="133" t="s">
        <v>345</v>
      </c>
      <c r="E365" s="145" t="s">
        <v>346</v>
      </c>
      <c r="F365" s="141">
        <v>8438620809</v>
      </c>
      <c r="G365" s="141" t="s">
        <v>347</v>
      </c>
      <c r="H365" s="139" t="s">
        <v>348</v>
      </c>
      <c r="I365" s="133" t="s">
        <v>10</v>
      </c>
      <c r="J365" s="133" t="s">
        <v>1783</v>
      </c>
      <c r="K365" s="133" t="s">
        <v>1784</v>
      </c>
      <c r="L365" s="133" t="s">
        <v>1858</v>
      </c>
      <c r="M365" s="146">
        <v>45985</v>
      </c>
      <c r="N365" s="146">
        <v>46319</v>
      </c>
      <c r="O365" s="139">
        <v>22</v>
      </c>
      <c r="P365" s="139"/>
      <c r="Q365" s="133" t="s">
        <v>195</v>
      </c>
      <c r="R365" s="139" t="s">
        <v>177</v>
      </c>
      <c r="S365" s="133" t="s">
        <v>2109</v>
      </c>
      <c r="T365" s="133"/>
      <c r="U365" s="133"/>
      <c r="V365" s="179" t="s">
        <v>1990</v>
      </c>
      <c r="W365" s="133"/>
      <c r="X365" s="133"/>
    </row>
    <row r="366" spans="1:24" s="161" customFormat="1" ht="76.5">
      <c r="A366" s="139">
        <v>367</v>
      </c>
      <c r="B366" s="139" t="s">
        <v>227</v>
      </c>
      <c r="C366" s="139" t="s">
        <v>2110</v>
      </c>
      <c r="D366" s="133" t="s">
        <v>2111</v>
      </c>
      <c r="E366" s="145" t="s">
        <v>2112</v>
      </c>
      <c r="F366" s="141">
        <v>8764163630</v>
      </c>
      <c r="G366" s="141" t="s">
        <v>2113</v>
      </c>
      <c r="H366" s="139" t="s">
        <v>444</v>
      </c>
      <c r="I366" s="133" t="s">
        <v>10</v>
      </c>
      <c r="J366" s="133" t="s">
        <v>1873</v>
      </c>
      <c r="K366" s="133" t="s">
        <v>1709</v>
      </c>
      <c r="L366" s="139" t="s">
        <v>1866</v>
      </c>
      <c r="M366" s="146">
        <v>45987</v>
      </c>
      <c r="N366" s="146">
        <v>46321</v>
      </c>
      <c r="O366" s="139">
        <v>11</v>
      </c>
      <c r="P366" s="139"/>
      <c r="Q366" s="133" t="s">
        <v>195</v>
      </c>
      <c r="S366" s="133" t="s">
        <v>2114</v>
      </c>
      <c r="T366" s="133"/>
      <c r="U366" s="139"/>
      <c r="V366" s="139"/>
      <c r="W366" s="139"/>
    </row>
    <row r="367" spans="1:24" s="161" customFormat="1" ht="39.75" customHeight="1">
      <c r="A367" s="133">
        <v>368</v>
      </c>
      <c r="B367" s="139" t="s">
        <v>227</v>
      </c>
      <c r="C367" s="139" t="s">
        <v>2115</v>
      </c>
      <c r="D367" s="133" t="s">
        <v>2116</v>
      </c>
      <c r="E367" s="145" t="s">
        <v>2117</v>
      </c>
      <c r="F367" s="141">
        <v>9562670329</v>
      </c>
      <c r="G367" s="141" t="s">
        <v>2118</v>
      </c>
      <c r="H367" s="139" t="s">
        <v>202</v>
      </c>
      <c r="I367" s="133" t="s">
        <v>10</v>
      </c>
      <c r="J367" s="133" t="s">
        <v>1738</v>
      </c>
      <c r="K367" s="133" t="s">
        <v>1709</v>
      </c>
      <c r="L367" s="133" t="s">
        <v>2057</v>
      </c>
      <c r="M367" s="146">
        <v>45987</v>
      </c>
      <c r="N367" s="146">
        <v>46321</v>
      </c>
      <c r="O367" s="139">
        <v>11</v>
      </c>
      <c r="P367" s="139"/>
      <c r="Q367" s="133" t="s">
        <v>195</v>
      </c>
      <c r="S367" s="133" t="s">
        <v>2119</v>
      </c>
      <c r="T367" s="133"/>
      <c r="U367" s="139"/>
      <c r="V367" s="139"/>
      <c r="W367" s="139"/>
    </row>
    <row r="368" spans="1:24" s="161" customFormat="1" ht="60.75">
      <c r="A368" s="133">
        <v>369</v>
      </c>
      <c r="B368" s="139" t="s">
        <v>227</v>
      </c>
      <c r="C368" s="139" t="s">
        <v>2120</v>
      </c>
      <c r="D368" s="133" t="s">
        <v>2121</v>
      </c>
      <c r="E368" s="145" t="s">
        <v>2122</v>
      </c>
      <c r="F368" s="141">
        <v>9873808379</v>
      </c>
      <c r="G368" s="141" t="s">
        <v>1698</v>
      </c>
      <c r="H368" s="139" t="s">
        <v>261</v>
      </c>
      <c r="I368" s="133" t="s">
        <v>10</v>
      </c>
      <c r="J368" s="133" t="s">
        <v>1884</v>
      </c>
      <c r="K368" s="133" t="s">
        <v>1709</v>
      </c>
      <c r="L368" s="139" t="s">
        <v>1885</v>
      </c>
      <c r="M368" s="146">
        <v>45987</v>
      </c>
      <c r="N368" s="146">
        <v>46321</v>
      </c>
      <c r="O368" s="139">
        <v>11</v>
      </c>
      <c r="P368" s="139"/>
      <c r="Q368" s="133" t="s">
        <v>195</v>
      </c>
      <c r="S368" s="133" t="s">
        <v>2123</v>
      </c>
      <c r="T368" s="133"/>
      <c r="U368" s="139"/>
      <c r="V368" s="139"/>
      <c r="W368" s="139"/>
    </row>
    <row r="369" spans="1:30" s="161" customFormat="1" ht="76.5">
      <c r="A369" s="133">
        <v>370</v>
      </c>
      <c r="B369" s="139" t="s">
        <v>227</v>
      </c>
      <c r="C369" s="139" t="s">
        <v>2124</v>
      </c>
      <c r="D369" s="133" t="s">
        <v>2125</v>
      </c>
      <c r="E369" s="145" t="s">
        <v>2126</v>
      </c>
      <c r="F369" s="141">
        <v>7483158818</v>
      </c>
      <c r="G369" s="141" t="s">
        <v>2127</v>
      </c>
      <c r="H369" s="139" t="s">
        <v>1737</v>
      </c>
      <c r="I369" s="133" t="s">
        <v>10</v>
      </c>
      <c r="J369" s="133" t="s">
        <v>1884</v>
      </c>
      <c r="K369" s="133" t="s">
        <v>1709</v>
      </c>
      <c r="L369" s="139" t="s">
        <v>1885</v>
      </c>
      <c r="M369" s="146">
        <v>45987</v>
      </c>
      <c r="N369" s="146">
        <v>46321</v>
      </c>
      <c r="O369" s="139">
        <v>11</v>
      </c>
      <c r="P369" s="139"/>
      <c r="Q369" s="133" t="s">
        <v>195</v>
      </c>
      <c r="S369" s="133" t="s">
        <v>2128</v>
      </c>
      <c r="T369" s="133"/>
      <c r="U369" s="139"/>
      <c r="V369" s="139"/>
      <c r="W369" s="139"/>
    </row>
    <row r="370" spans="1:30" s="161" customFormat="1" ht="76.5">
      <c r="A370" s="133">
        <v>371</v>
      </c>
      <c r="B370" s="139" t="s">
        <v>227</v>
      </c>
      <c r="C370" s="139" t="s">
        <v>379</v>
      </c>
      <c r="D370" s="133" t="s">
        <v>380</v>
      </c>
      <c r="E370" s="145" t="s">
        <v>381</v>
      </c>
      <c r="F370" s="141">
        <v>7840094903</v>
      </c>
      <c r="G370" s="141" t="s">
        <v>382</v>
      </c>
      <c r="H370" s="139" t="s">
        <v>194</v>
      </c>
      <c r="I370" s="133" t="s">
        <v>10</v>
      </c>
      <c r="J370" s="133" t="s">
        <v>1582</v>
      </c>
      <c r="K370" s="133" t="s">
        <v>1784</v>
      </c>
      <c r="L370" s="180">
        <v>9319775809</v>
      </c>
      <c r="M370" s="146">
        <v>45989</v>
      </c>
      <c r="N370" s="146">
        <v>46323</v>
      </c>
      <c r="O370" s="139">
        <v>11</v>
      </c>
      <c r="P370" s="139"/>
      <c r="Q370" s="133" t="s">
        <v>195</v>
      </c>
      <c r="R370" s="133"/>
      <c r="S370" s="133" t="s">
        <v>2129</v>
      </c>
      <c r="T370" s="133"/>
      <c r="U370" s="139"/>
      <c r="V370" s="179" t="s">
        <v>1990</v>
      </c>
      <c r="W370" s="139"/>
      <c r="X370" s="219" t="s">
        <v>2130</v>
      </c>
    </row>
    <row r="371" spans="1:30" s="161" customFormat="1" ht="52.5" customHeight="1">
      <c r="A371" s="133">
        <v>372</v>
      </c>
      <c r="B371" s="139" t="s">
        <v>227</v>
      </c>
      <c r="C371" s="139" t="s">
        <v>2131</v>
      </c>
      <c r="D371" s="133" t="s">
        <v>2132</v>
      </c>
      <c r="E371" s="145" t="s">
        <v>2133</v>
      </c>
      <c r="F371" s="141">
        <v>9913783620</v>
      </c>
      <c r="G371" s="141" t="s">
        <v>2134</v>
      </c>
      <c r="H371" s="139" t="s">
        <v>2135</v>
      </c>
      <c r="I371" s="133" t="s">
        <v>10</v>
      </c>
      <c r="J371" s="133" t="s">
        <v>1884</v>
      </c>
      <c r="K371" s="133" t="s">
        <v>1709</v>
      </c>
      <c r="L371" s="139" t="s">
        <v>1885</v>
      </c>
      <c r="M371" s="146" t="s">
        <v>2136</v>
      </c>
      <c r="N371" s="146">
        <v>46367</v>
      </c>
      <c r="O371" s="139">
        <v>11</v>
      </c>
      <c r="P371" s="139"/>
      <c r="Q371" s="133" t="s">
        <v>176</v>
      </c>
      <c r="R371" s="133"/>
      <c r="S371" s="133" t="s">
        <v>2137</v>
      </c>
      <c r="T371" s="133"/>
      <c r="U371" s="139"/>
      <c r="V371" s="179"/>
      <c r="W371" s="139"/>
    </row>
    <row r="372" spans="1:30" s="161" customFormat="1" ht="68.25" customHeight="1">
      <c r="A372" s="133">
        <v>373</v>
      </c>
      <c r="B372" s="139" t="s">
        <v>227</v>
      </c>
      <c r="C372" s="139" t="s">
        <v>2138</v>
      </c>
      <c r="D372" s="159" t="s">
        <v>2139</v>
      </c>
      <c r="E372" s="145" t="s">
        <v>2140</v>
      </c>
      <c r="F372" s="141">
        <v>9535507454</v>
      </c>
      <c r="G372" s="141" t="s">
        <v>2141</v>
      </c>
      <c r="H372" s="139" t="s">
        <v>1737</v>
      </c>
      <c r="I372" s="133" t="s">
        <v>10</v>
      </c>
      <c r="J372" s="133" t="s">
        <v>1783</v>
      </c>
      <c r="K372" s="133" t="s">
        <v>1784</v>
      </c>
      <c r="L372" s="133" t="s">
        <v>1858</v>
      </c>
      <c r="M372" s="146"/>
      <c r="N372" s="146"/>
      <c r="O372" s="139">
        <v>11</v>
      </c>
      <c r="P372" s="139"/>
      <c r="Q372" s="133" t="s">
        <v>2142</v>
      </c>
      <c r="R372" s="133"/>
      <c r="S372" s="133" t="s">
        <v>2143</v>
      </c>
      <c r="T372" s="133"/>
      <c r="U372" s="139" t="s">
        <v>2144</v>
      </c>
      <c r="V372" s="179"/>
      <c r="W372" s="139"/>
    </row>
    <row r="373" spans="1:30" s="161" customFormat="1" ht="60.75">
      <c r="A373" s="133">
        <v>374</v>
      </c>
      <c r="B373" s="139" t="s">
        <v>227</v>
      </c>
      <c r="C373" s="139" t="s">
        <v>2145</v>
      </c>
      <c r="D373" s="133" t="s">
        <v>2146</v>
      </c>
      <c r="E373" s="145" t="s">
        <v>2147</v>
      </c>
      <c r="F373" s="141">
        <v>8559071764</v>
      </c>
      <c r="G373" s="141" t="s">
        <v>2148</v>
      </c>
      <c r="H373" s="139" t="s">
        <v>2149</v>
      </c>
      <c r="I373" s="133" t="s">
        <v>10</v>
      </c>
      <c r="J373" s="133" t="s">
        <v>1884</v>
      </c>
      <c r="K373" s="133" t="s">
        <v>1709</v>
      </c>
      <c r="L373" s="139" t="s">
        <v>1885</v>
      </c>
      <c r="M373" s="146">
        <v>45999</v>
      </c>
      <c r="N373" s="146">
        <v>46334</v>
      </c>
      <c r="O373" s="139">
        <v>11</v>
      </c>
      <c r="P373" s="139"/>
      <c r="Q373" s="133" t="s">
        <v>195</v>
      </c>
      <c r="R373" s="133"/>
      <c r="S373" s="133" t="s">
        <v>2150</v>
      </c>
      <c r="T373" s="133"/>
      <c r="U373" s="139"/>
      <c r="V373" s="179"/>
      <c r="W373" s="139"/>
    </row>
    <row r="374" spans="1:30" s="161" customFormat="1" ht="60.75">
      <c r="A374" s="133">
        <v>375</v>
      </c>
      <c r="B374" s="139" t="s">
        <v>227</v>
      </c>
      <c r="C374" s="139" t="s">
        <v>2151</v>
      </c>
      <c r="D374" s="133" t="s">
        <v>2152</v>
      </c>
      <c r="E374" s="145" t="s">
        <v>2153</v>
      </c>
      <c r="F374" s="141">
        <v>9880411008</v>
      </c>
      <c r="G374" s="141" t="s">
        <v>2154</v>
      </c>
      <c r="H374" s="139" t="s">
        <v>268</v>
      </c>
      <c r="I374" s="133" t="s">
        <v>10</v>
      </c>
      <c r="J374" s="133" t="s">
        <v>1873</v>
      </c>
      <c r="K374" s="133" t="s">
        <v>1709</v>
      </c>
      <c r="L374" s="139" t="s">
        <v>1866</v>
      </c>
      <c r="M374" s="146">
        <v>45999</v>
      </c>
      <c r="N374" s="146">
        <v>46334</v>
      </c>
      <c r="O374" s="139">
        <v>11</v>
      </c>
      <c r="P374" s="139"/>
      <c r="Q374" s="133" t="s">
        <v>195</v>
      </c>
      <c r="R374" s="133"/>
      <c r="S374" s="133" t="s">
        <v>2155</v>
      </c>
      <c r="T374" s="133"/>
      <c r="U374" s="139"/>
      <c r="V374" s="179"/>
      <c r="W374" s="139"/>
    </row>
    <row r="375" spans="1:30" s="161" customFormat="1" ht="106.5">
      <c r="A375" s="133">
        <v>378</v>
      </c>
      <c r="B375" s="139" t="s">
        <v>227</v>
      </c>
      <c r="C375" s="139" t="s">
        <v>2156</v>
      </c>
      <c r="D375" s="133" t="s">
        <v>2157</v>
      </c>
      <c r="E375" s="145" t="s">
        <v>2158</v>
      </c>
      <c r="F375" s="141">
        <v>7022566277</v>
      </c>
      <c r="G375" s="141" t="s">
        <v>2159</v>
      </c>
      <c r="H375" s="139" t="s">
        <v>268</v>
      </c>
      <c r="I375" s="133" t="s">
        <v>10</v>
      </c>
      <c r="J375" s="133" t="s">
        <v>1873</v>
      </c>
      <c r="K375" s="133" t="s">
        <v>1709</v>
      </c>
      <c r="L375" s="139" t="s">
        <v>1866</v>
      </c>
      <c r="M375" s="146">
        <v>45999</v>
      </c>
      <c r="N375" s="146">
        <v>46334</v>
      </c>
      <c r="O375" s="139">
        <v>11</v>
      </c>
      <c r="P375" s="139"/>
      <c r="Q375" s="133" t="s">
        <v>195</v>
      </c>
      <c r="R375" s="133"/>
      <c r="S375" s="133" t="s">
        <v>2160</v>
      </c>
      <c r="T375" s="133"/>
      <c r="U375" s="139"/>
      <c r="V375" s="179"/>
      <c r="W375" s="139"/>
    </row>
    <row r="376" spans="1:30" s="161" customFormat="1" ht="76.5">
      <c r="A376" s="133">
        <v>379</v>
      </c>
      <c r="B376" s="139" t="s">
        <v>227</v>
      </c>
      <c r="C376" s="139" t="s">
        <v>2161</v>
      </c>
      <c r="D376" s="133" t="s">
        <v>2162</v>
      </c>
      <c r="E376" s="145" t="s">
        <v>2163</v>
      </c>
      <c r="F376" s="141">
        <v>9820063968</v>
      </c>
      <c r="G376" s="141" t="s">
        <v>2164</v>
      </c>
      <c r="H376" s="139" t="s">
        <v>529</v>
      </c>
      <c r="I376" s="133" t="s">
        <v>10</v>
      </c>
      <c r="J376" s="133" t="s">
        <v>1783</v>
      </c>
      <c r="K376" s="133" t="s">
        <v>1784</v>
      </c>
      <c r="L376" s="133" t="s">
        <v>1858</v>
      </c>
      <c r="M376" s="146">
        <v>46000</v>
      </c>
      <c r="N376" s="146">
        <v>46335</v>
      </c>
      <c r="O376" s="139">
        <v>11</v>
      </c>
      <c r="P376" s="139"/>
      <c r="Q376" s="133" t="s">
        <v>195</v>
      </c>
      <c r="R376" s="133"/>
      <c r="S376" s="133" t="s">
        <v>2165</v>
      </c>
      <c r="T376" s="133"/>
      <c r="U376" s="139"/>
      <c r="V376" s="179"/>
      <c r="W376" s="139"/>
    </row>
    <row r="377" spans="1:30" s="161" customFormat="1" ht="106.5">
      <c r="A377" s="133">
        <v>380</v>
      </c>
      <c r="B377" s="139" t="s">
        <v>227</v>
      </c>
      <c r="C377" s="139" t="s">
        <v>2166</v>
      </c>
      <c r="D377" s="133" t="s">
        <v>2167</v>
      </c>
      <c r="E377" s="145" t="s">
        <v>2168</v>
      </c>
      <c r="F377" s="141">
        <v>8971310626</v>
      </c>
      <c r="G377" s="141" t="s">
        <v>2169</v>
      </c>
      <c r="H377" s="139" t="s">
        <v>1737</v>
      </c>
      <c r="I377" s="133" t="s">
        <v>10</v>
      </c>
      <c r="J377" s="133" t="s">
        <v>1873</v>
      </c>
      <c r="K377" s="133" t="s">
        <v>1709</v>
      </c>
      <c r="L377" s="139" t="s">
        <v>1866</v>
      </c>
      <c r="M377" s="146">
        <v>46000</v>
      </c>
      <c r="N377" s="146">
        <v>46335</v>
      </c>
      <c r="O377" s="139">
        <v>11</v>
      </c>
      <c r="P377" s="139"/>
      <c r="Q377" s="133" t="s">
        <v>195</v>
      </c>
      <c r="R377" s="133"/>
      <c r="S377" s="133" t="s">
        <v>2170</v>
      </c>
      <c r="T377" s="133"/>
      <c r="U377" s="139"/>
      <c r="V377" s="179"/>
      <c r="W377" s="139"/>
    </row>
    <row r="378" spans="1:30" s="161" customFormat="1" ht="91.5">
      <c r="A378" s="133">
        <v>381</v>
      </c>
      <c r="B378" s="139" t="s">
        <v>227</v>
      </c>
      <c r="C378" s="139" t="s">
        <v>2171</v>
      </c>
      <c r="D378" s="133" t="s">
        <v>2172</v>
      </c>
      <c r="E378" s="145" t="s">
        <v>2173</v>
      </c>
      <c r="F378" s="141">
        <v>8595507357</v>
      </c>
      <c r="G378" s="141" t="s">
        <v>2174</v>
      </c>
      <c r="H378" s="139" t="s">
        <v>194</v>
      </c>
      <c r="I378" s="133" t="s">
        <v>10</v>
      </c>
      <c r="J378" s="133" t="s">
        <v>1873</v>
      </c>
      <c r="K378" s="133" t="s">
        <v>1709</v>
      </c>
      <c r="L378" s="139" t="s">
        <v>1866</v>
      </c>
      <c r="M378" s="146">
        <v>46000</v>
      </c>
      <c r="N378" s="146">
        <v>46335</v>
      </c>
      <c r="O378" s="139">
        <v>11</v>
      </c>
      <c r="P378" s="139"/>
      <c r="Q378" s="133" t="s">
        <v>195</v>
      </c>
      <c r="R378" s="133"/>
      <c r="S378" s="133" t="s">
        <v>2175</v>
      </c>
      <c r="T378" s="133"/>
      <c r="U378" s="139"/>
      <c r="V378" s="179"/>
      <c r="W378" s="139"/>
    </row>
    <row r="379" spans="1:30" s="161" customFormat="1" ht="106.5">
      <c r="A379" s="139">
        <v>382</v>
      </c>
      <c r="B379" s="139" t="s">
        <v>227</v>
      </c>
      <c r="C379" s="133" t="s">
        <v>368</v>
      </c>
      <c r="D379" s="133" t="s">
        <v>369</v>
      </c>
      <c r="E379" s="145" t="s">
        <v>370</v>
      </c>
      <c r="F379" s="141">
        <v>9493802665</v>
      </c>
      <c r="G379" s="141" t="s">
        <v>371</v>
      </c>
      <c r="H379" s="139" t="s">
        <v>372</v>
      </c>
      <c r="I379" s="133" t="s">
        <v>10</v>
      </c>
      <c r="J379" s="133" t="s">
        <v>549</v>
      </c>
      <c r="K379" s="133" t="s">
        <v>1784</v>
      </c>
      <c r="L379" s="180" t="s">
        <v>550</v>
      </c>
      <c r="M379" s="146">
        <v>46001</v>
      </c>
      <c r="N379" s="146">
        <v>46336</v>
      </c>
      <c r="O379" s="139">
        <v>11</v>
      </c>
      <c r="P379" s="139"/>
      <c r="Q379" s="133" t="s">
        <v>195</v>
      </c>
      <c r="R379" s="139" t="s">
        <v>177</v>
      </c>
      <c r="S379" s="133" t="s">
        <v>2176</v>
      </c>
      <c r="T379" s="133"/>
      <c r="U379" s="133"/>
      <c r="V379" s="131" t="s">
        <v>1990</v>
      </c>
      <c r="W379" s="131"/>
      <c r="X379" s="133"/>
    </row>
    <row r="380" spans="1:30" s="161" customFormat="1" ht="60.75">
      <c r="A380" s="133">
        <v>383</v>
      </c>
      <c r="B380" s="139" t="s">
        <v>227</v>
      </c>
      <c r="C380" s="139" t="s">
        <v>2177</v>
      </c>
      <c r="D380" s="133" t="s">
        <v>2178</v>
      </c>
      <c r="E380" s="145" t="s">
        <v>2179</v>
      </c>
      <c r="F380" s="141">
        <v>9910820078</v>
      </c>
      <c r="G380" s="141" t="s">
        <v>2180</v>
      </c>
      <c r="H380" s="139" t="s">
        <v>194</v>
      </c>
      <c r="I380" s="133" t="s">
        <v>10</v>
      </c>
      <c r="J380" s="133" t="s">
        <v>1582</v>
      </c>
      <c r="K380" s="133" t="s">
        <v>1784</v>
      </c>
      <c r="L380" s="180">
        <v>9319775809</v>
      </c>
      <c r="M380" s="146">
        <v>46002</v>
      </c>
      <c r="N380" s="146">
        <v>46337</v>
      </c>
      <c r="O380" s="139">
        <v>11</v>
      </c>
      <c r="P380" s="139"/>
      <c r="Q380" s="133" t="s">
        <v>195</v>
      </c>
      <c r="R380" s="133"/>
      <c r="S380" s="133" t="s">
        <v>2181</v>
      </c>
      <c r="T380" s="133"/>
      <c r="U380" s="139"/>
      <c r="V380" s="179"/>
      <c r="W380" s="139"/>
    </row>
    <row r="381" spans="1:30" s="161" customFormat="1" ht="76.5">
      <c r="A381" s="133">
        <v>384</v>
      </c>
      <c r="B381" s="139" t="s">
        <v>227</v>
      </c>
      <c r="C381" s="139" t="s">
        <v>2182</v>
      </c>
      <c r="D381" s="133" t="s">
        <v>2183</v>
      </c>
      <c r="E381" s="145" t="s">
        <v>2184</v>
      </c>
      <c r="F381" s="141">
        <v>7795359663</v>
      </c>
      <c r="G381" s="141" t="s">
        <v>2185</v>
      </c>
      <c r="H381" s="139" t="s">
        <v>1737</v>
      </c>
      <c r="I381" s="133" t="s">
        <v>10</v>
      </c>
      <c r="J381" s="133" t="s">
        <v>1873</v>
      </c>
      <c r="K381" s="133" t="s">
        <v>1709</v>
      </c>
      <c r="L381" s="139" t="s">
        <v>1866</v>
      </c>
      <c r="M381" s="146">
        <v>46001</v>
      </c>
      <c r="N381" s="146">
        <v>46336</v>
      </c>
      <c r="O381" s="139">
        <v>11</v>
      </c>
      <c r="P381" s="139"/>
      <c r="Q381" s="133" t="s">
        <v>195</v>
      </c>
      <c r="R381" s="133"/>
      <c r="S381" s="133" t="s">
        <v>2186</v>
      </c>
      <c r="T381" s="133"/>
      <c r="U381" s="139"/>
      <c r="V381" s="179"/>
      <c r="W381" s="139"/>
    </row>
    <row r="382" spans="1:30" s="161" customFormat="1" ht="76.5">
      <c r="A382" s="133">
        <v>385</v>
      </c>
      <c r="B382" s="139" t="s">
        <v>227</v>
      </c>
      <c r="C382" s="139" t="s">
        <v>264</v>
      </c>
      <c r="D382" s="133" t="s">
        <v>265</v>
      </c>
      <c r="E382" s="137" t="s">
        <v>266</v>
      </c>
      <c r="F382" s="141">
        <v>9901540217</v>
      </c>
      <c r="G382" s="141" t="s">
        <v>267</v>
      </c>
      <c r="H382" s="139" t="s">
        <v>268</v>
      </c>
      <c r="I382" s="133" t="s">
        <v>10</v>
      </c>
      <c r="J382" s="133" t="s">
        <v>233</v>
      </c>
      <c r="K382" s="133" t="s">
        <v>174</v>
      </c>
      <c r="L382" s="180" t="s">
        <v>234</v>
      </c>
      <c r="M382" s="142">
        <v>46003</v>
      </c>
      <c r="N382" s="142">
        <v>46338</v>
      </c>
      <c r="O382" s="139">
        <v>11</v>
      </c>
      <c r="P382" s="139"/>
      <c r="Q382" s="133" t="s">
        <v>176</v>
      </c>
      <c r="R382" s="139" t="s">
        <v>177</v>
      </c>
      <c r="S382" s="133" t="s">
        <v>2187</v>
      </c>
      <c r="T382" s="133"/>
      <c r="U382" s="133" t="s">
        <v>270</v>
      </c>
      <c r="V382" s="131" t="s">
        <v>1990</v>
      </c>
      <c r="W382" s="131"/>
      <c r="X382" s="133"/>
      <c r="Y382" s="141"/>
      <c r="Z382" s="141"/>
      <c r="AA382" s="141"/>
      <c r="AB382" s="141"/>
      <c r="AC382" s="141"/>
      <c r="AD382" s="141"/>
    </row>
    <row r="383" spans="1:30" s="161" customFormat="1" ht="76.5">
      <c r="A383" s="133">
        <v>386</v>
      </c>
      <c r="B383" s="139" t="s">
        <v>227</v>
      </c>
      <c r="C383" s="139" t="s">
        <v>2188</v>
      </c>
      <c r="D383" s="133" t="s">
        <v>2189</v>
      </c>
      <c r="E383" s="145" t="s">
        <v>2190</v>
      </c>
      <c r="F383" s="141">
        <v>9582037555</v>
      </c>
      <c r="G383" s="141" t="s">
        <v>2191</v>
      </c>
      <c r="H383" s="139" t="s">
        <v>241</v>
      </c>
      <c r="I383" s="133" t="s">
        <v>10</v>
      </c>
      <c r="J383" s="133" t="s">
        <v>1738</v>
      </c>
      <c r="K383" s="133" t="s">
        <v>1709</v>
      </c>
      <c r="L383" s="133" t="s">
        <v>2057</v>
      </c>
      <c r="M383" s="146">
        <v>46007</v>
      </c>
      <c r="N383" s="146">
        <v>46342</v>
      </c>
      <c r="O383" s="139">
        <v>11</v>
      </c>
      <c r="P383" s="139"/>
      <c r="Q383" s="133" t="s">
        <v>195</v>
      </c>
      <c r="R383" s="133"/>
      <c r="S383" s="133" t="s">
        <v>2192</v>
      </c>
      <c r="T383" s="133"/>
      <c r="U383" s="139"/>
      <c r="V383" s="179"/>
      <c r="W383" s="139"/>
    </row>
    <row r="384" spans="1:30" s="161" customFormat="1" ht="76.5">
      <c r="A384" s="133">
        <v>387</v>
      </c>
      <c r="B384" s="139"/>
      <c r="C384" s="139"/>
      <c r="D384" s="133" t="s">
        <v>2193</v>
      </c>
      <c r="E384" s="145" t="s">
        <v>2194</v>
      </c>
      <c r="F384" s="141">
        <v>8800898965</v>
      </c>
      <c r="G384" s="141"/>
      <c r="H384" s="139" t="s">
        <v>194</v>
      </c>
      <c r="I384" s="133" t="s">
        <v>10</v>
      </c>
      <c r="J384" s="133" t="s">
        <v>2195</v>
      </c>
      <c r="K384" s="133"/>
      <c r="L384" s="180"/>
      <c r="M384" s="141" t="s">
        <v>2196</v>
      </c>
      <c r="N384" s="141" t="s">
        <v>2197</v>
      </c>
      <c r="O384" s="139">
        <v>11</v>
      </c>
      <c r="P384" s="139"/>
      <c r="Q384" s="133" t="s">
        <v>195</v>
      </c>
      <c r="R384" s="133"/>
      <c r="S384" s="133" t="s">
        <v>2198</v>
      </c>
      <c r="T384" s="133"/>
      <c r="U384" s="139"/>
      <c r="V384" s="139"/>
      <c r="W384" s="139"/>
    </row>
    <row r="385" spans="1:27" s="161" customFormat="1" ht="106.5">
      <c r="A385" s="133">
        <v>388</v>
      </c>
      <c r="B385" s="139"/>
      <c r="C385" s="139"/>
      <c r="D385" s="133" t="s">
        <v>334</v>
      </c>
      <c r="E385" s="145"/>
      <c r="F385" s="141"/>
      <c r="G385" s="141"/>
      <c r="H385" s="139"/>
      <c r="I385" s="133"/>
      <c r="J385" s="133"/>
      <c r="K385" s="133"/>
      <c r="L385" s="180"/>
      <c r="M385" s="146" t="s">
        <v>2199</v>
      </c>
      <c r="N385" s="146" t="s">
        <v>2200</v>
      </c>
      <c r="O385" s="139"/>
      <c r="P385" s="139"/>
      <c r="Q385" s="133" t="s">
        <v>195</v>
      </c>
      <c r="R385" s="133"/>
      <c r="S385" s="133" t="s">
        <v>2201</v>
      </c>
      <c r="T385" s="133"/>
      <c r="U385" s="139"/>
      <c r="V385" s="131" t="s">
        <v>1990</v>
      </c>
      <c r="W385" s="139"/>
    </row>
    <row r="386" spans="1:27" s="161" customFormat="1" ht="106.5">
      <c r="A386" s="133">
        <v>389</v>
      </c>
      <c r="B386" s="139"/>
      <c r="C386" s="139"/>
      <c r="D386" s="133" t="s">
        <v>2202</v>
      </c>
      <c r="E386" s="145"/>
      <c r="F386" s="141"/>
      <c r="G386" s="141"/>
      <c r="H386" s="139"/>
      <c r="I386" s="133"/>
      <c r="J386" s="133"/>
      <c r="K386" s="133"/>
      <c r="L386" s="180"/>
      <c r="M386" s="146" t="s">
        <v>2203</v>
      </c>
      <c r="N386" s="146" t="s">
        <v>2204</v>
      </c>
      <c r="O386" s="139">
        <v>11</v>
      </c>
      <c r="P386" s="139"/>
      <c r="Q386" s="133" t="s">
        <v>176</v>
      </c>
      <c r="R386" s="133"/>
      <c r="S386" s="133" t="s">
        <v>2205</v>
      </c>
      <c r="T386" s="133"/>
      <c r="U386" s="139"/>
      <c r="V386" s="131" t="s">
        <v>1990</v>
      </c>
      <c r="W386" s="139"/>
    </row>
    <row r="387" spans="1:27" s="161" customFormat="1" ht="45.75">
      <c r="A387" s="139">
        <v>390</v>
      </c>
      <c r="B387" s="143"/>
      <c r="C387" s="139" t="s">
        <v>2206</v>
      </c>
      <c r="D387" s="133" t="s">
        <v>2207</v>
      </c>
      <c r="E387" s="145"/>
      <c r="F387" s="141"/>
      <c r="G387" s="141"/>
      <c r="H387" s="139"/>
      <c r="I387" s="133"/>
      <c r="J387" s="133"/>
      <c r="K387" s="133"/>
      <c r="L387" s="180"/>
      <c r="M387" s="146" t="s">
        <v>2208</v>
      </c>
      <c r="N387" s="146" t="s">
        <v>2209</v>
      </c>
      <c r="O387" s="139">
        <v>11</v>
      </c>
      <c r="P387" s="139"/>
      <c r="Q387" s="133" t="s">
        <v>195</v>
      </c>
      <c r="R387" s="133"/>
      <c r="S387" s="133" t="s">
        <v>127</v>
      </c>
      <c r="T387" s="133"/>
      <c r="U387" s="139"/>
      <c r="V387" s="179"/>
      <c r="W387" s="139"/>
    </row>
    <row r="388" spans="1:27" s="161" customFormat="1" ht="45.75">
      <c r="A388" s="133">
        <v>391</v>
      </c>
      <c r="B388" s="139"/>
      <c r="C388" s="139"/>
      <c r="D388" s="133" t="s">
        <v>2210</v>
      </c>
      <c r="E388" s="145"/>
      <c r="F388" s="141"/>
      <c r="G388" s="141"/>
      <c r="H388" s="139"/>
      <c r="I388" s="133"/>
      <c r="J388" s="133"/>
      <c r="K388" s="133"/>
      <c r="L388" s="180"/>
      <c r="M388" s="146" t="s">
        <v>2211</v>
      </c>
      <c r="N388" s="146" t="s">
        <v>2212</v>
      </c>
      <c r="O388" s="139">
        <v>11</v>
      </c>
      <c r="P388" s="139"/>
      <c r="Q388" s="133" t="s">
        <v>195</v>
      </c>
      <c r="R388" s="133"/>
      <c r="S388" s="133" t="s">
        <v>2213</v>
      </c>
      <c r="T388" s="133"/>
      <c r="U388" s="139"/>
      <c r="V388" s="179"/>
      <c r="W388" s="179" t="s">
        <v>2214</v>
      </c>
    </row>
    <row r="389" spans="1:27" s="161" customFormat="1" ht="106.5">
      <c r="A389" s="133">
        <v>392</v>
      </c>
      <c r="B389" s="139"/>
      <c r="C389" s="133" t="s">
        <v>2215</v>
      </c>
      <c r="D389" s="133" t="s">
        <v>2216</v>
      </c>
      <c r="E389" s="145"/>
      <c r="F389" s="141"/>
      <c r="G389" s="141"/>
      <c r="H389" s="139"/>
      <c r="I389" s="133"/>
      <c r="J389" s="133"/>
      <c r="K389" s="133"/>
      <c r="L389" s="180"/>
      <c r="M389" s="146">
        <v>46054</v>
      </c>
      <c r="N389" s="146">
        <v>46034</v>
      </c>
      <c r="O389" s="139">
        <v>24</v>
      </c>
      <c r="P389" s="139"/>
      <c r="Q389" s="133" t="s">
        <v>176</v>
      </c>
      <c r="R389" s="133"/>
      <c r="S389" s="133" t="s">
        <v>2217</v>
      </c>
      <c r="T389" s="133"/>
      <c r="U389" s="139"/>
      <c r="V389" s="131" t="s">
        <v>1990</v>
      </c>
      <c r="W389" s="139"/>
    </row>
    <row r="390" spans="1:27" s="161" customFormat="1" ht="45.75">
      <c r="A390" s="133">
        <v>394</v>
      </c>
      <c r="B390" s="139"/>
      <c r="C390" s="133" t="s">
        <v>2218</v>
      </c>
      <c r="D390" s="133" t="s">
        <v>2219</v>
      </c>
      <c r="E390" s="145"/>
      <c r="F390" s="141"/>
      <c r="G390" s="141"/>
      <c r="H390" s="139"/>
      <c r="I390" s="133"/>
      <c r="J390" s="133"/>
      <c r="K390" s="133"/>
      <c r="L390" s="180"/>
      <c r="M390" s="146">
        <v>46143</v>
      </c>
      <c r="N390" s="146">
        <v>46124</v>
      </c>
      <c r="O390" s="139">
        <v>24</v>
      </c>
      <c r="P390" s="139"/>
      <c r="Q390" s="133" t="s">
        <v>195</v>
      </c>
      <c r="R390" s="133"/>
      <c r="S390" s="133" t="s">
        <v>2220</v>
      </c>
      <c r="T390" s="133"/>
      <c r="U390" s="139"/>
      <c r="V390" s="179"/>
      <c r="W390" s="139"/>
    </row>
    <row r="391" spans="1:27" s="161" customFormat="1" ht="45.75">
      <c r="A391" s="133">
        <v>395</v>
      </c>
      <c r="B391" s="139"/>
      <c r="C391" s="139"/>
      <c r="D391" s="133" t="s">
        <v>2221</v>
      </c>
      <c r="E391" s="145"/>
      <c r="F391" s="141"/>
      <c r="G391" s="141"/>
      <c r="H391" s="139"/>
      <c r="I391" s="133"/>
      <c r="J391" s="133"/>
      <c r="K391" s="133"/>
      <c r="L391" s="139"/>
      <c r="M391" s="146">
        <v>46174</v>
      </c>
      <c r="N391" s="146">
        <v>46154</v>
      </c>
      <c r="O391" s="139">
        <v>11</v>
      </c>
      <c r="P391" s="139"/>
      <c r="Q391" s="133" t="s">
        <v>195</v>
      </c>
      <c r="S391" s="133" t="s">
        <v>2222</v>
      </c>
      <c r="T391" s="133"/>
      <c r="U391" s="139"/>
      <c r="V391" s="139"/>
      <c r="W391" s="139"/>
    </row>
    <row r="392" spans="1:27" s="161" customFormat="1" ht="91.5">
      <c r="A392" s="222">
        <v>396</v>
      </c>
      <c r="B392" s="227" t="s">
        <v>2223</v>
      </c>
      <c r="C392" s="227" t="s">
        <v>506</v>
      </c>
      <c r="D392" s="414" t="s">
        <v>507</v>
      </c>
      <c r="E392" s="222" t="s">
        <v>2223</v>
      </c>
      <c r="F392" s="415" t="s">
        <v>2223</v>
      </c>
      <c r="G392" s="415" t="s">
        <v>2223</v>
      </c>
      <c r="H392" s="227" t="s">
        <v>2223</v>
      </c>
      <c r="I392" s="222" t="s">
        <v>2223</v>
      </c>
      <c r="J392" s="222" t="s">
        <v>2223</v>
      </c>
      <c r="K392" s="222" t="s">
        <v>2223</v>
      </c>
      <c r="L392" s="416" t="s">
        <v>2223</v>
      </c>
      <c r="M392" s="146">
        <v>46174</v>
      </c>
      <c r="N392" s="146">
        <v>46154</v>
      </c>
      <c r="O392" s="227">
        <v>11</v>
      </c>
      <c r="P392" s="227"/>
      <c r="Q392" s="222" t="s">
        <v>195</v>
      </c>
      <c r="R392" s="222" t="s">
        <v>2223</v>
      </c>
      <c r="S392" s="222" t="s">
        <v>2224</v>
      </c>
      <c r="T392" s="222"/>
      <c r="U392" s="222"/>
      <c r="V392" s="131" t="s">
        <v>1990</v>
      </c>
      <c r="W392" s="227"/>
      <c r="X392" s="227"/>
      <c r="Y392" s="227"/>
      <c r="Z392" s="227"/>
      <c r="AA392" s="227"/>
    </row>
    <row r="393" spans="1:27" s="161" customFormat="1" ht="45.75">
      <c r="A393" s="133">
        <v>397</v>
      </c>
      <c r="B393" s="143"/>
      <c r="C393" s="139"/>
      <c r="D393" s="133" t="s">
        <v>2225</v>
      </c>
      <c r="E393" s="145"/>
      <c r="F393" s="141"/>
      <c r="G393" s="141"/>
      <c r="H393" s="139"/>
      <c r="I393" s="143"/>
      <c r="J393" s="133"/>
      <c r="K393" s="133"/>
      <c r="L393" s="139"/>
      <c r="M393" s="146">
        <v>46204</v>
      </c>
      <c r="N393" s="146">
        <v>46185</v>
      </c>
      <c r="O393" s="139">
        <v>11</v>
      </c>
      <c r="P393" s="139"/>
      <c r="Q393" s="222" t="s">
        <v>195</v>
      </c>
      <c r="S393" s="133" t="s">
        <v>2226</v>
      </c>
      <c r="T393" s="133"/>
      <c r="U393" s="139"/>
      <c r="V393" s="139"/>
      <c r="W393" s="139"/>
    </row>
    <row r="394" spans="1:27" s="161" customFormat="1" ht="106.5">
      <c r="A394" s="133">
        <v>398</v>
      </c>
      <c r="B394" s="143"/>
      <c r="C394" s="139" t="s">
        <v>2227</v>
      </c>
      <c r="D394" s="133" t="s">
        <v>2228</v>
      </c>
      <c r="E394" s="145" t="s">
        <v>2229</v>
      </c>
      <c r="F394" s="141">
        <v>9810789591</v>
      </c>
      <c r="G394" s="141"/>
      <c r="H394" s="139"/>
      <c r="I394" s="143"/>
      <c r="J394" s="133"/>
      <c r="K394" s="133"/>
      <c r="L394" s="139"/>
      <c r="M394" s="146">
        <v>46235</v>
      </c>
      <c r="N394" s="146">
        <v>46215</v>
      </c>
      <c r="O394" s="139">
        <v>11</v>
      </c>
      <c r="P394" s="139"/>
      <c r="Q394" s="222" t="s">
        <v>195</v>
      </c>
      <c r="S394" s="133" t="s">
        <v>2230</v>
      </c>
      <c r="T394" s="133"/>
      <c r="U394" s="139"/>
      <c r="V394" s="131" t="s">
        <v>1990</v>
      </c>
      <c r="W394" s="139"/>
    </row>
    <row r="395" spans="1:27" s="161" customFormat="1" ht="45.75">
      <c r="A395" s="133">
        <v>399</v>
      </c>
      <c r="B395" s="143"/>
      <c r="C395" s="139" t="s">
        <v>2231</v>
      </c>
      <c r="D395" s="133" t="s">
        <v>2232</v>
      </c>
      <c r="E395" s="145"/>
      <c r="F395" s="141"/>
      <c r="G395" s="141"/>
      <c r="H395" s="139"/>
      <c r="I395" s="143"/>
      <c r="J395" s="133"/>
      <c r="K395" s="133"/>
      <c r="L395" s="139"/>
      <c r="M395" s="146">
        <v>46235</v>
      </c>
      <c r="N395" s="146">
        <v>46215</v>
      </c>
      <c r="O395" s="139">
        <v>11</v>
      </c>
      <c r="P395" s="139"/>
      <c r="Q395" s="222" t="s">
        <v>195</v>
      </c>
      <c r="S395" s="133" t="s">
        <v>2233</v>
      </c>
      <c r="T395" s="133"/>
      <c r="U395" s="139"/>
      <c r="V395" s="139"/>
      <c r="W395" s="139"/>
    </row>
    <row r="396" spans="1:27" s="161" customFormat="1" ht="121.5">
      <c r="A396" s="139">
        <v>400</v>
      </c>
      <c r="B396" s="143"/>
      <c r="C396" s="133" t="s">
        <v>2234</v>
      </c>
      <c r="D396" s="133" t="s">
        <v>2235</v>
      </c>
      <c r="E396" s="145"/>
      <c r="F396" s="141"/>
      <c r="G396" s="141"/>
      <c r="H396" s="139"/>
      <c r="I396" s="143"/>
      <c r="J396" s="133"/>
      <c r="K396" s="133"/>
      <c r="L396" s="139"/>
      <c r="M396" s="146">
        <v>46235</v>
      </c>
      <c r="N396" s="146">
        <v>46215</v>
      </c>
      <c r="O396" s="139">
        <v>11</v>
      </c>
      <c r="P396" s="139"/>
      <c r="Q396" s="222" t="s">
        <v>195</v>
      </c>
      <c r="S396" s="133" t="s">
        <v>2236</v>
      </c>
      <c r="T396" s="133"/>
      <c r="U396" s="139"/>
      <c r="V396" s="131" t="s">
        <v>1990</v>
      </c>
      <c r="W396" s="139"/>
    </row>
    <row r="397" spans="1:27" s="161" customFormat="1" ht="106.5">
      <c r="A397" s="222">
        <v>401</v>
      </c>
      <c r="B397" s="227" t="s">
        <v>2223</v>
      </c>
      <c r="C397" s="227" t="s">
        <v>474</v>
      </c>
      <c r="D397" s="222" t="s">
        <v>2237</v>
      </c>
      <c r="E397" s="222" t="s">
        <v>2223</v>
      </c>
      <c r="F397" s="227" t="s">
        <v>2223</v>
      </c>
      <c r="G397" s="227" t="s">
        <v>2223</v>
      </c>
      <c r="H397" s="227" t="s">
        <v>2223</v>
      </c>
      <c r="I397" s="222" t="s">
        <v>2223</v>
      </c>
      <c r="J397" s="222" t="s">
        <v>2223</v>
      </c>
      <c r="K397" s="222" t="s">
        <v>2223</v>
      </c>
      <c r="L397" s="417" t="s">
        <v>2223</v>
      </c>
      <c r="M397" s="227" t="s">
        <v>2238</v>
      </c>
      <c r="N397" s="227" t="s">
        <v>2239</v>
      </c>
      <c r="O397" s="227">
        <v>11</v>
      </c>
      <c r="P397" s="227"/>
      <c r="Q397" s="222" t="s">
        <v>195</v>
      </c>
      <c r="R397" s="238" t="s">
        <v>1990</v>
      </c>
      <c r="S397" s="222" t="s">
        <v>2240</v>
      </c>
      <c r="T397" s="222"/>
      <c r="U397" s="227"/>
      <c r="V397" s="131" t="s">
        <v>1990</v>
      </c>
      <c r="W397" s="227"/>
      <c r="X397" s="227"/>
      <c r="Y397" s="227"/>
      <c r="Z397" s="227"/>
      <c r="AA397" s="227"/>
    </row>
    <row r="398" spans="1:27" s="161" customFormat="1" ht="121.5">
      <c r="A398" s="139">
        <v>402</v>
      </c>
      <c r="B398" s="143"/>
      <c r="C398" s="139" t="s">
        <v>2241</v>
      </c>
      <c r="D398" s="133" t="s">
        <v>2242</v>
      </c>
      <c r="E398" s="145"/>
      <c r="F398" s="141"/>
      <c r="G398" s="141"/>
      <c r="H398" s="139"/>
      <c r="I398" s="143"/>
      <c r="J398" s="133"/>
      <c r="K398" s="133"/>
      <c r="L398" s="139"/>
      <c r="M398" s="146">
        <v>46174</v>
      </c>
      <c r="N398" s="146">
        <v>46154</v>
      </c>
      <c r="O398" s="139">
        <v>11</v>
      </c>
      <c r="P398" s="139"/>
      <c r="Q398" s="222" t="s">
        <v>195</v>
      </c>
      <c r="S398" s="133" t="s">
        <v>2243</v>
      </c>
      <c r="T398" s="133"/>
      <c r="U398" s="139"/>
      <c r="V398" s="131" t="s">
        <v>1990</v>
      </c>
      <c r="W398" s="224"/>
    </row>
    <row r="399" spans="1:27" s="161" customFormat="1" ht="121.5">
      <c r="A399" s="139">
        <v>403</v>
      </c>
      <c r="B399" s="143"/>
      <c r="C399" s="139" t="s">
        <v>2241</v>
      </c>
      <c r="D399" s="133" t="s">
        <v>2244</v>
      </c>
      <c r="E399" s="145"/>
      <c r="F399" s="141"/>
      <c r="G399" s="141"/>
      <c r="H399" s="139"/>
      <c r="I399" s="143"/>
      <c r="J399" s="133"/>
      <c r="K399" s="133"/>
      <c r="L399" s="139"/>
      <c r="M399" s="146">
        <v>46174</v>
      </c>
      <c r="N399" s="146">
        <v>46154</v>
      </c>
      <c r="O399" s="139">
        <v>11</v>
      </c>
      <c r="P399" s="139"/>
      <c r="Q399" s="222" t="s">
        <v>195</v>
      </c>
      <c r="S399" s="133" t="s">
        <v>2245</v>
      </c>
      <c r="T399" s="133"/>
      <c r="U399" s="139"/>
      <c r="V399" s="131" t="s">
        <v>1990</v>
      </c>
      <c r="W399" s="224"/>
    </row>
    <row r="400" spans="1:27" s="161" customFormat="1" ht="106.5">
      <c r="A400" s="139">
        <v>404</v>
      </c>
      <c r="B400" s="143"/>
      <c r="C400" s="139" t="s">
        <v>2246</v>
      </c>
      <c r="D400" s="133" t="s">
        <v>2247</v>
      </c>
      <c r="E400" s="145"/>
      <c r="F400" s="141"/>
      <c r="G400" s="141"/>
      <c r="H400" s="139"/>
      <c r="I400" s="143"/>
      <c r="J400" s="133"/>
      <c r="K400" s="133"/>
      <c r="L400" s="139"/>
      <c r="M400" s="141" t="s">
        <v>2248</v>
      </c>
      <c r="N400" s="141" t="s">
        <v>2249</v>
      </c>
      <c r="O400" s="139">
        <v>11</v>
      </c>
      <c r="P400" s="139"/>
      <c r="Q400" s="222" t="s">
        <v>195</v>
      </c>
      <c r="S400" s="133" t="s">
        <v>2250</v>
      </c>
      <c r="T400" s="133"/>
      <c r="U400" s="139"/>
      <c r="V400" s="131" t="s">
        <v>1990</v>
      </c>
      <c r="W400" s="224"/>
    </row>
    <row r="401" spans="1:27" s="161" customFormat="1" ht="106.5">
      <c r="A401" s="139">
        <v>405</v>
      </c>
      <c r="B401" s="143"/>
      <c r="C401" s="139" t="s">
        <v>2251</v>
      </c>
      <c r="D401" s="133" t="s">
        <v>2252</v>
      </c>
      <c r="E401" s="145" t="s">
        <v>2253</v>
      </c>
      <c r="F401" s="141">
        <v>8827479999</v>
      </c>
      <c r="G401" s="141" t="s">
        <v>2254</v>
      </c>
      <c r="H401" s="139"/>
      <c r="I401" s="143"/>
      <c r="J401" s="133"/>
      <c r="K401" s="133"/>
      <c r="L401" s="139"/>
      <c r="M401" s="146">
        <v>46266</v>
      </c>
      <c r="N401" s="146">
        <v>46246</v>
      </c>
      <c r="O401" s="139">
        <v>11</v>
      </c>
      <c r="P401" s="139"/>
      <c r="Q401" s="222" t="s">
        <v>195</v>
      </c>
      <c r="S401" s="133" t="s">
        <v>2255</v>
      </c>
      <c r="T401" s="133"/>
      <c r="U401" s="139"/>
      <c r="V401" s="139"/>
      <c r="W401" s="224"/>
    </row>
    <row r="402" spans="1:27" s="161" customFormat="1" ht="45.75">
      <c r="A402" s="139">
        <v>406</v>
      </c>
      <c r="B402" s="143"/>
      <c r="C402" s="139"/>
      <c r="D402" s="133" t="s">
        <v>2256</v>
      </c>
      <c r="E402" s="145"/>
      <c r="F402" s="141"/>
      <c r="G402" s="141"/>
      <c r="H402" s="139"/>
      <c r="I402" s="143"/>
      <c r="J402" s="133"/>
      <c r="K402" s="133"/>
      <c r="L402" s="139"/>
      <c r="M402" s="146">
        <v>46296</v>
      </c>
      <c r="N402" s="146">
        <v>46277</v>
      </c>
      <c r="O402" s="139">
        <v>11</v>
      </c>
      <c r="P402" s="139"/>
      <c r="Q402" s="222" t="s">
        <v>195</v>
      </c>
      <c r="S402" s="133" t="s">
        <v>2257</v>
      </c>
      <c r="T402" s="133"/>
      <c r="U402" s="139"/>
      <c r="V402" s="139"/>
      <c r="W402" s="224"/>
    </row>
    <row r="403" spans="1:27" s="161" customFormat="1" ht="106.5">
      <c r="A403" s="139">
        <v>407</v>
      </c>
      <c r="B403" s="143"/>
      <c r="C403" s="139" t="s">
        <v>2258</v>
      </c>
      <c r="D403" s="133" t="s">
        <v>2259</v>
      </c>
      <c r="E403" s="145"/>
      <c r="F403" s="141"/>
      <c r="G403" s="141"/>
      <c r="H403" s="139"/>
      <c r="I403" s="143"/>
      <c r="J403" s="133"/>
      <c r="K403" s="133"/>
      <c r="L403" s="139"/>
      <c r="M403" s="146">
        <v>46327</v>
      </c>
      <c r="N403" s="146">
        <v>46307</v>
      </c>
      <c r="O403" s="139">
        <v>11</v>
      </c>
      <c r="P403" s="139"/>
      <c r="Q403" s="222" t="s">
        <v>195</v>
      </c>
      <c r="S403" s="133" t="s">
        <v>2260</v>
      </c>
      <c r="T403" s="133"/>
      <c r="U403" s="139"/>
      <c r="V403" s="139"/>
      <c r="W403" s="224"/>
    </row>
    <row r="404" spans="1:27" s="161" customFormat="1" ht="45.75">
      <c r="A404" s="139">
        <v>408</v>
      </c>
      <c r="B404" s="143"/>
      <c r="C404" s="139"/>
      <c r="D404" s="133" t="s">
        <v>2261</v>
      </c>
      <c r="E404" s="145"/>
      <c r="F404" s="141"/>
      <c r="G404" s="141"/>
      <c r="H404" s="139"/>
      <c r="I404" s="143"/>
      <c r="J404" s="133"/>
      <c r="K404" s="133"/>
      <c r="L404" s="139"/>
      <c r="M404" s="141" t="s">
        <v>2262</v>
      </c>
      <c r="N404" s="141" t="s">
        <v>2263</v>
      </c>
      <c r="O404" s="139">
        <v>11</v>
      </c>
      <c r="P404" s="139"/>
      <c r="Q404" s="222" t="s">
        <v>195</v>
      </c>
      <c r="S404" s="133" t="s">
        <v>2264</v>
      </c>
      <c r="T404" s="133"/>
      <c r="U404" s="139"/>
      <c r="V404" s="139"/>
      <c r="W404" s="224"/>
    </row>
    <row r="405" spans="1:27" s="161" customFormat="1" ht="45.75">
      <c r="A405" s="139">
        <v>409</v>
      </c>
      <c r="B405" s="143"/>
      <c r="C405" s="139"/>
      <c r="D405" s="133" t="s">
        <v>2265</v>
      </c>
      <c r="E405" s="145"/>
      <c r="F405" s="141"/>
      <c r="G405" s="141"/>
      <c r="H405" s="139"/>
      <c r="I405" s="143"/>
      <c r="J405" s="133"/>
      <c r="K405" s="133"/>
      <c r="L405" s="139"/>
      <c r="M405" s="141" t="s">
        <v>2266</v>
      </c>
      <c r="N405" s="141" t="s">
        <v>2267</v>
      </c>
      <c r="O405" s="139">
        <v>11</v>
      </c>
      <c r="P405" s="139"/>
      <c r="Q405" s="222" t="s">
        <v>195</v>
      </c>
      <c r="S405" s="133" t="s">
        <v>2268</v>
      </c>
      <c r="T405" s="133"/>
      <c r="U405" s="139"/>
      <c r="V405" s="139"/>
      <c r="W405" s="224"/>
    </row>
    <row r="406" spans="1:27" s="161" customFormat="1" ht="60.75">
      <c r="A406" s="139">
        <v>410</v>
      </c>
      <c r="B406" s="143"/>
      <c r="C406" s="139"/>
      <c r="D406" s="133" t="s">
        <v>2269</v>
      </c>
      <c r="E406" s="145"/>
      <c r="F406" s="141"/>
      <c r="G406" s="141"/>
      <c r="H406" s="139"/>
      <c r="I406" s="143"/>
      <c r="J406" s="133"/>
      <c r="K406" s="133"/>
      <c r="L406" s="139"/>
      <c r="M406" s="141"/>
      <c r="N406" s="141"/>
      <c r="O406" s="139"/>
      <c r="P406" s="139"/>
      <c r="S406" s="133"/>
      <c r="T406" s="133"/>
      <c r="U406" s="139"/>
      <c r="V406" s="139"/>
      <c r="W406" s="224"/>
    </row>
    <row r="407" spans="1:27" s="161" customFormat="1" ht="137.25">
      <c r="A407" s="139">
        <v>411</v>
      </c>
      <c r="B407" s="139" t="s">
        <v>227</v>
      </c>
      <c r="C407" s="133" t="s">
        <v>2270</v>
      </c>
      <c r="D407" s="133" t="s">
        <v>532</v>
      </c>
      <c r="E407" s="145" t="s">
        <v>533</v>
      </c>
      <c r="F407" s="160" t="s">
        <v>2271</v>
      </c>
      <c r="G407" s="154" t="s">
        <v>534</v>
      </c>
      <c r="H407" s="139" t="s">
        <v>529</v>
      </c>
      <c r="I407" s="133" t="s">
        <v>10</v>
      </c>
      <c r="J407" s="133" t="s">
        <v>445</v>
      </c>
      <c r="K407" s="133" t="s">
        <v>174</v>
      </c>
      <c r="L407" s="180" t="s">
        <v>446</v>
      </c>
      <c r="M407" s="146" t="s">
        <v>2272</v>
      </c>
      <c r="N407" s="146" t="s">
        <v>2273</v>
      </c>
      <c r="O407" s="139">
        <v>11</v>
      </c>
      <c r="P407" s="139"/>
      <c r="Q407" s="157" t="s">
        <v>535</v>
      </c>
      <c r="R407" s="139"/>
      <c r="S407" s="133" t="s">
        <v>2274</v>
      </c>
      <c r="T407" s="133"/>
      <c r="U407" s="133">
        <v>100</v>
      </c>
      <c r="V407" s="133"/>
      <c r="W407" s="131" t="s">
        <v>513</v>
      </c>
      <c r="X407" s="133"/>
    </row>
    <row r="408" spans="1:27" s="161" customFormat="1" ht="106.5">
      <c r="A408" s="139">
        <v>412</v>
      </c>
      <c r="B408" s="139" t="s">
        <v>227</v>
      </c>
      <c r="C408" s="133" t="s">
        <v>584</v>
      </c>
      <c r="D408" s="133" t="s">
        <v>585</v>
      </c>
      <c r="E408" s="145" t="s">
        <v>586</v>
      </c>
      <c r="F408" s="154">
        <v>9821278995</v>
      </c>
      <c r="G408" s="154" t="s">
        <v>587</v>
      </c>
      <c r="H408" s="139" t="s">
        <v>529</v>
      </c>
      <c r="I408" s="133" t="s">
        <v>10</v>
      </c>
      <c r="J408" s="133" t="s">
        <v>417</v>
      </c>
      <c r="K408" s="133" t="s">
        <v>174</v>
      </c>
      <c r="L408" s="180" t="s">
        <v>418</v>
      </c>
      <c r="M408" s="146">
        <v>46267</v>
      </c>
      <c r="N408" s="146">
        <v>46600</v>
      </c>
      <c r="O408" s="139">
        <v>24</v>
      </c>
      <c r="P408" s="139"/>
      <c r="Q408" s="133" t="s">
        <v>195</v>
      </c>
      <c r="R408" s="139"/>
      <c r="S408" s="133" t="s">
        <v>2275</v>
      </c>
      <c r="T408" s="133"/>
      <c r="U408" s="133">
        <v>100</v>
      </c>
      <c r="V408" s="133"/>
      <c r="W408" s="131" t="s">
        <v>243</v>
      </c>
      <c r="X408" s="133"/>
    </row>
    <row r="409" spans="1:27" s="161" customFormat="1" ht="106.5">
      <c r="A409" s="133">
        <v>413</v>
      </c>
      <c r="B409" s="139" t="s">
        <v>227</v>
      </c>
      <c r="C409" s="133" t="s">
        <v>544</v>
      </c>
      <c r="D409" s="133" t="s">
        <v>545</v>
      </c>
      <c r="E409" s="145" t="s">
        <v>546</v>
      </c>
      <c r="F409" s="154" t="s">
        <v>547</v>
      </c>
      <c r="G409" s="154" t="s">
        <v>548</v>
      </c>
      <c r="H409" s="139" t="s">
        <v>529</v>
      </c>
      <c r="I409" s="133" t="s">
        <v>10</v>
      </c>
      <c r="J409" s="133" t="s">
        <v>549</v>
      </c>
      <c r="K409" s="133" t="s">
        <v>174</v>
      </c>
      <c r="L409" s="180" t="s">
        <v>550</v>
      </c>
      <c r="M409" s="146" t="s">
        <v>2276</v>
      </c>
      <c r="N409" s="146" t="s">
        <v>2277</v>
      </c>
      <c r="O409" s="139">
        <v>11</v>
      </c>
      <c r="P409" s="139"/>
      <c r="Q409" s="133" t="s">
        <v>195</v>
      </c>
      <c r="R409" s="139"/>
      <c r="S409" s="133" t="s">
        <v>2278</v>
      </c>
      <c r="T409" s="133"/>
      <c r="U409" s="133">
        <v>100</v>
      </c>
      <c r="V409" s="133"/>
      <c r="W409" s="131" t="s">
        <v>243</v>
      </c>
      <c r="X409" s="133"/>
      <c r="Y409" s="161" t="s">
        <v>552</v>
      </c>
    </row>
    <row r="410" spans="1:27" s="161" customFormat="1" ht="106.5">
      <c r="A410" s="222">
        <v>414</v>
      </c>
      <c r="B410" s="227" t="s">
        <v>227</v>
      </c>
      <c r="C410" s="227" t="s">
        <v>573</v>
      </c>
      <c r="D410" s="222" t="s">
        <v>2279</v>
      </c>
      <c r="E410" s="222" t="s">
        <v>575</v>
      </c>
      <c r="F410" s="415">
        <v>9416045944</v>
      </c>
      <c r="G410" s="415" t="s">
        <v>576</v>
      </c>
      <c r="H410" s="227" t="s">
        <v>577</v>
      </c>
      <c r="I410" s="222" t="s">
        <v>10</v>
      </c>
      <c r="J410" s="222" t="s">
        <v>417</v>
      </c>
      <c r="K410" s="222" t="s">
        <v>174</v>
      </c>
      <c r="L410" s="417" t="s">
        <v>418</v>
      </c>
      <c r="M410" s="418">
        <v>46144</v>
      </c>
      <c r="N410" s="418">
        <v>46478</v>
      </c>
      <c r="O410" s="227">
        <v>11</v>
      </c>
      <c r="P410" s="227"/>
      <c r="Q410" s="222" t="s">
        <v>195</v>
      </c>
      <c r="R410" s="222" t="s">
        <v>2223</v>
      </c>
      <c r="S410" s="133" t="s">
        <v>2280</v>
      </c>
      <c r="T410" s="133"/>
      <c r="U410" s="222"/>
      <c r="V410" s="227"/>
      <c r="W410" s="238" t="s">
        <v>243</v>
      </c>
      <c r="X410" s="227"/>
      <c r="Y410" s="227"/>
      <c r="Z410" s="227"/>
      <c r="AA410" s="227"/>
    </row>
    <row r="411" spans="1:27" s="161" customFormat="1" ht="45.75">
      <c r="A411" s="139">
        <v>415</v>
      </c>
      <c r="B411" s="227" t="s">
        <v>227</v>
      </c>
      <c r="C411" s="139"/>
      <c r="D411" s="133" t="s">
        <v>2281</v>
      </c>
      <c r="E411" s="145"/>
      <c r="F411" s="141"/>
      <c r="G411" s="141"/>
      <c r="H411" s="139"/>
      <c r="I411" s="143"/>
      <c r="J411" s="133"/>
      <c r="K411" s="133"/>
      <c r="L411" s="139"/>
      <c r="M411" s="141" t="s">
        <v>2276</v>
      </c>
      <c r="N411" s="141" t="s">
        <v>2277</v>
      </c>
      <c r="O411" s="139">
        <v>11</v>
      </c>
      <c r="P411" s="139"/>
      <c r="Q411" s="222" t="s">
        <v>195</v>
      </c>
      <c r="S411" s="161" t="s">
        <v>2282</v>
      </c>
      <c r="U411" s="139"/>
      <c r="V411" s="139"/>
      <c r="W411" s="224"/>
    </row>
    <row r="412" spans="1:27" s="161" customFormat="1" ht="45.75">
      <c r="A412" s="139">
        <v>416</v>
      </c>
      <c r="B412" s="227" t="s">
        <v>227</v>
      </c>
      <c r="C412" s="147" t="s">
        <v>2283</v>
      </c>
      <c r="D412" s="133" t="s">
        <v>2284</v>
      </c>
      <c r="E412" s="145"/>
      <c r="F412" s="141"/>
      <c r="G412" s="141"/>
      <c r="H412" s="139"/>
      <c r="I412" s="143"/>
      <c r="J412" s="133"/>
      <c r="K412" s="133"/>
      <c r="L412" s="139"/>
      <c r="M412" s="141" t="s">
        <v>98</v>
      </c>
      <c r="N412" s="141" t="s">
        <v>2285</v>
      </c>
      <c r="O412" s="139">
        <v>11</v>
      </c>
      <c r="P412" s="139"/>
      <c r="Q412" s="222" t="s">
        <v>195</v>
      </c>
      <c r="S412" s="133" t="s">
        <v>2286</v>
      </c>
      <c r="T412" s="133"/>
      <c r="U412" s="139"/>
      <c r="V412" s="139"/>
      <c r="W412" s="224"/>
    </row>
    <row r="413" spans="1:27" s="161" customFormat="1" ht="45.75">
      <c r="A413" s="139">
        <v>417</v>
      </c>
      <c r="B413" s="227" t="s">
        <v>227</v>
      </c>
      <c r="C413" s="139"/>
      <c r="D413" s="133" t="s">
        <v>2287</v>
      </c>
      <c r="E413" s="145"/>
      <c r="F413" s="141"/>
      <c r="G413" s="141"/>
      <c r="H413" s="139"/>
      <c r="I413" s="143"/>
      <c r="J413" s="133"/>
      <c r="K413" s="133"/>
      <c r="L413" s="139"/>
      <c r="M413" s="141" t="s">
        <v>2288</v>
      </c>
      <c r="N413" s="141" t="s">
        <v>2289</v>
      </c>
      <c r="O413" s="139">
        <v>11</v>
      </c>
      <c r="P413" s="139"/>
      <c r="Q413" s="222" t="s">
        <v>195</v>
      </c>
      <c r="S413" s="133" t="s">
        <v>2290</v>
      </c>
      <c r="T413" s="133"/>
      <c r="U413" s="139"/>
      <c r="V413" s="139"/>
      <c r="W413" s="224"/>
    </row>
    <row r="414" spans="1:27" s="161" customFormat="1" ht="45.75">
      <c r="A414" s="139">
        <v>418</v>
      </c>
      <c r="B414" s="227" t="s">
        <v>227</v>
      </c>
      <c r="C414" s="133" t="s">
        <v>2291</v>
      </c>
      <c r="D414" s="133" t="s">
        <v>2292</v>
      </c>
      <c r="E414" s="145"/>
      <c r="F414" s="141"/>
      <c r="G414" s="141"/>
      <c r="H414" s="139"/>
      <c r="I414" s="143"/>
      <c r="J414" s="133"/>
      <c r="K414" s="133"/>
      <c r="L414" s="139"/>
      <c r="M414" s="141" t="s">
        <v>101</v>
      </c>
      <c r="N414" s="141" t="s">
        <v>2293</v>
      </c>
      <c r="O414" s="139">
        <v>11</v>
      </c>
      <c r="P414" s="139"/>
      <c r="Q414" s="133" t="s">
        <v>176</v>
      </c>
      <c r="S414" s="133" t="s">
        <v>2294</v>
      </c>
      <c r="T414" s="133"/>
      <c r="U414" s="139"/>
      <c r="V414" s="139"/>
      <c r="W414" s="224"/>
    </row>
    <row r="415" spans="1:27" s="161" customFormat="1" ht="45.75">
      <c r="A415" s="139">
        <v>419</v>
      </c>
      <c r="B415" s="227" t="s">
        <v>227</v>
      </c>
      <c r="C415" s="133" t="s">
        <v>2295</v>
      </c>
      <c r="D415" s="133"/>
      <c r="E415" s="145"/>
      <c r="F415" s="141"/>
      <c r="G415" s="141"/>
      <c r="H415" s="139"/>
      <c r="I415" s="143"/>
      <c r="J415" s="133"/>
      <c r="K415" s="133"/>
      <c r="L415" s="139"/>
      <c r="M415" s="141" t="s">
        <v>101</v>
      </c>
      <c r="N415" s="141" t="s">
        <v>2293</v>
      </c>
      <c r="O415" s="139">
        <v>11</v>
      </c>
      <c r="P415" s="139"/>
      <c r="Q415" s="222" t="s">
        <v>195</v>
      </c>
      <c r="S415" s="133" t="s">
        <v>2296</v>
      </c>
      <c r="T415" s="133"/>
      <c r="U415" s="139"/>
      <c r="V415" s="139"/>
      <c r="W415" s="224"/>
    </row>
    <row r="416" spans="1:27" s="161" customFormat="1" ht="76.5">
      <c r="A416" s="139">
        <v>420</v>
      </c>
      <c r="B416" s="139" t="s">
        <v>227</v>
      </c>
      <c r="C416" s="139" t="s">
        <v>558</v>
      </c>
      <c r="D416" s="133" t="s">
        <v>559</v>
      </c>
      <c r="E416" s="145" t="s">
        <v>560</v>
      </c>
      <c r="F416" s="154">
        <v>8925309825</v>
      </c>
      <c r="G416" s="154" t="s">
        <v>561</v>
      </c>
      <c r="H416" s="139" t="s">
        <v>492</v>
      </c>
      <c r="I416" s="133" t="s">
        <v>10</v>
      </c>
      <c r="J416" s="133" t="s">
        <v>417</v>
      </c>
      <c r="K416" s="133" t="s">
        <v>174</v>
      </c>
      <c r="L416" s="180" t="s">
        <v>418</v>
      </c>
      <c r="M416" s="146">
        <v>46055</v>
      </c>
      <c r="N416" s="146">
        <v>46388</v>
      </c>
      <c r="O416" s="139">
        <v>11</v>
      </c>
      <c r="P416" s="139"/>
      <c r="Q416" s="133" t="s">
        <v>176</v>
      </c>
      <c r="R416" s="139"/>
      <c r="S416" s="133" t="s">
        <v>2297</v>
      </c>
      <c r="T416" s="133"/>
      <c r="U416" s="133">
        <v>100</v>
      </c>
      <c r="V416" s="133"/>
      <c r="W416" s="131" t="s">
        <v>243</v>
      </c>
      <c r="X416" s="133"/>
    </row>
    <row r="417" spans="1:25" s="161" customFormat="1" ht="45.75">
      <c r="A417" s="139">
        <v>421</v>
      </c>
      <c r="B417" s="139" t="s">
        <v>227</v>
      </c>
      <c r="C417" s="139" t="s">
        <v>2298</v>
      </c>
      <c r="D417" s="133" t="s">
        <v>2299</v>
      </c>
      <c r="E417" s="145"/>
      <c r="F417" s="141"/>
      <c r="G417" s="141"/>
      <c r="H417" s="139"/>
      <c r="I417" s="143"/>
      <c r="J417" s="133"/>
      <c r="K417" s="133"/>
      <c r="L417" s="139"/>
      <c r="M417" s="146">
        <v>46114</v>
      </c>
      <c r="N417" s="146">
        <v>46447</v>
      </c>
      <c r="O417" s="139">
        <v>11</v>
      </c>
      <c r="P417" s="139"/>
      <c r="Q417" s="222" t="s">
        <v>195</v>
      </c>
      <c r="S417" s="133" t="s">
        <v>2300</v>
      </c>
      <c r="T417" s="133"/>
      <c r="U417" s="139"/>
      <c r="V417" s="139"/>
      <c r="W417" s="224"/>
    </row>
    <row r="418" spans="1:25" s="161" customFormat="1" ht="60.75">
      <c r="A418" s="133">
        <v>422</v>
      </c>
      <c r="B418" s="139" t="s">
        <v>227</v>
      </c>
      <c r="C418" s="133" t="s">
        <v>2301</v>
      </c>
      <c r="D418" s="133" t="s">
        <v>238</v>
      </c>
      <c r="E418" s="137" t="s">
        <v>239</v>
      </c>
      <c r="F418" s="145">
        <v>8936922096</v>
      </c>
      <c r="G418" s="145" t="s">
        <v>240</v>
      </c>
      <c r="H418" s="133" t="s">
        <v>241</v>
      </c>
      <c r="I418" s="133" t="s">
        <v>10</v>
      </c>
      <c r="J418" s="133" t="s">
        <v>173</v>
      </c>
      <c r="K418" s="133" t="s">
        <v>174</v>
      </c>
      <c r="L418" s="180" t="s">
        <v>175</v>
      </c>
      <c r="M418" s="142">
        <v>45609</v>
      </c>
      <c r="N418" s="142">
        <v>45973</v>
      </c>
      <c r="O418" s="139">
        <v>11</v>
      </c>
      <c r="P418" s="139"/>
      <c r="Q418" s="133" t="s">
        <v>195</v>
      </c>
      <c r="R418" s="139" t="s">
        <v>177</v>
      </c>
      <c r="S418" s="133" t="s">
        <v>2302</v>
      </c>
      <c r="T418" s="133"/>
      <c r="U418" s="133"/>
      <c r="V418" s="133"/>
      <c r="W418" s="131" t="s">
        <v>243</v>
      </c>
      <c r="X418" s="207"/>
    </row>
    <row r="419" spans="1:25" s="161" customFormat="1" ht="60.75">
      <c r="A419" s="179">
        <v>423</v>
      </c>
      <c r="B419" s="139" t="s">
        <v>227</v>
      </c>
      <c r="C419" s="179" t="s">
        <v>508</v>
      </c>
      <c r="D419" s="398" t="s">
        <v>509</v>
      </c>
      <c r="E419" s="132" t="s">
        <v>510</v>
      </c>
      <c r="F419" s="263">
        <v>8638060164</v>
      </c>
      <c r="G419" s="263" t="s">
        <v>511</v>
      </c>
      <c r="H419" s="179" t="s">
        <v>512</v>
      </c>
      <c r="I419" s="131"/>
      <c r="J419" s="131"/>
      <c r="K419" s="131"/>
      <c r="L419" s="264"/>
      <c r="M419" s="265">
        <v>46327</v>
      </c>
      <c r="N419" s="265">
        <v>46307</v>
      </c>
      <c r="O419" s="179">
        <v>11</v>
      </c>
      <c r="P419" s="179"/>
      <c r="Q419" s="131" t="s">
        <v>176</v>
      </c>
      <c r="R419" s="131" t="s">
        <v>513</v>
      </c>
      <c r="S419" s="131" t="s">
        <v>2303</v>
      </c>
      <c r="T419" s="131"/>
      <c r="U419" s="131">
        <v>100</v>
      </c>
      <c r="V419" s="131" t="s">
        <v>513</v>
      </c>
      <c r="W419" s="131" t="s">
        <v>513</v>
      </c>
      <c r="X419" s="131"/>
      <c r="Y419" s="219"/>
    </row>
    <row r="420" spans="1:25" s="161" customFormat="1" ht="61.5">
      <c r="A420" s="139">
        <v>424</v>
      </c>
      <c r="B420" s="139" t="s">
        <v>227</v>
      </c>
      <c r="C420" s="139" t="s">
        <v>2304</v>
      </c>
      <c r="D420" s="208" t="s">
        <v>2305</v>
      </c>
      <c r="E420" s="145" t="s">
        <v>2306</v>
      </c>
      <c r="F420" s="154">
        <v>9199764487</v>
      </c>
      <c r="G420" s="154" t="s">
        <v>2307</v>
      </c>
      <c r="H420" s="139"/>
      <c r="I420" s="133"/>
      <c r="J420" s="133"/>
      <c r="K420" s="133"/>
      <c r="L420" s="138"/>
      <c r="M420" s="146" t="s">
        <v>2308</v>
      </c>
      <c r="N420" s="146">
        <v>46722</v>
      </c>
      <c r="O420" s="139">
        <v>11</v>
      </c>
      <c r="P420" s="139"/>
      <c r="Q420" s="133" t="s">
        <v>176</v>
      </c>
      <c r="R420" s="133"/>
      <c r="S420" s="133" t="s">
        <v>2309</v>
      </c>
      <c r="T420" s="133"/>
      <c r="U420" s="133"/>
      <c r="V420" s="133"/>
      <c r="W420" s="133"/>
      <c r="X420" s="133"/>
    </row>
    <row r="421" spans="1:25" s="161" customFormat="1" ht="45.75">
      <c r="A421" s="139">
        <v>425</v>
      </c>
      <c r="B421" s="139" t="s">
        <v>227</v>
      </c>
      <c r="C421" s="139" t="s">
        <v>502</v>
      </c>
      <c r="D421" s="133" t="s">
        <v>503</v>
      </c>
      <c r="E421" s="145"/>
      <c r="F421" s="154"/>
      <c r="G421" s="154"/>
      <c r="H421" s="139"/>
      <c r="I421" s="133"/>
      <c r="J421" s="133"/>
      <c r="K421" s="133"/>
      <c r="L421" s="138"/>
      <c r="M421" s="146">
        <v>45696</v>
      </c>
      <c r="N421" s="146">
        <v>46029</v>
      </c>
      <c r="O421" s="139">
        <v>11</v>
      </c>
      <c r="P421" s="139"/>
      <c r="Q421" s="133" t="s">
        <v>176</v>
      </c>
      <c r="R421" s="139"/>
      <c r="S421" s="133" t="s">
        <v>2310</v>
      </c>
      <c r="T421" s="133"/>
      <c r="U421" s="133">
        <v>100</v>
      </c>
      <c r="V421" s="133"/>
      <c r="W421" s="131" t="s">
        <v>188</v>
      </c>
      <c r="X421" s="131" t="s">
        <v>188</v>
      </c>
    </row>
    <row r="422" spans="1:25" s="161" customFormat="1" ht="45.75">
      <c r="A422" s="133">
        <v>426</v>
      </c>
      <c r="B422" s="139" t="s">
        <v>227</v>
      </c>
      <c r="C422" s="139" t="s">
        <v>673</v>
      </c>
      <c r="D422" s="133" t="s">
        <v>674</v>
      </c>
      <c r="E422" s="145" t="s">
        <v>675</v>
      </c>
      <c r="F422" s="154">
        <v>9810554892</v>
      </c>
      <c r="G422" s="154" t="s">
        <v>676</v>
      </c>
      <c r="H422" s="139" t="s">
        <v>677</v>
      </c>
      <c r="I422" s="133" t="s">
        <v>10</v>
      </c>
      <c r="J422" s="133" t="s">
        <v>445</v>
      </c>
      <c r="K422" s="133"/>
      <c r="L422" s="180"/>
      <c r="M422" s="146" t="s">
        <v>2311</v>
      </c>
      <c r="N422" s="146" t="s">
        <v>2312</v>
      </c>
      <c r="O422" s="139">
        <v>11</v>
      </c>
      <c r="P422" s="139"/>
      <c r="Q422" s="133" t="s">
        <v>195</v>
      </c>
      <c r="R422" s="139"/>
      <c r="S422" s="133" t="s">
        <v>2313</v>
      </c>
      <c r="T422" s="133"/>
      <c r="U422" s="133">
        <v>100</v>
      </c>
      <c r="V422" s="133" t="s">
        <v>243</v>
      </c>
      <c r="W422" s="133" t="s">
        <v>243</v>
      </c>
      <c r="X422" s="133" t="s">
        <v>243</v>
      </c>
    </row>
    <row r="423" spans="1:25" s="161" customFormat="1" ht="91.5">
      <c r="A423" s="133">
        <v>427</v>
      </c>
      <c r="B423" s="139" t="s">
        <v>227</v>
      </c>
      <c r="C423" s="133" t="s">
        <v>520</v>
      </c>
      <c r="D423" s="133" t="s">
        <v>521</v>
      </c>
      <c r="E423" s="145" t="s">
        <v>522</v>
      </c>
      <c r="F423" s="154">
        <v>8826087478</v>
      </c>
      <c r="G423" s="154" t="s">
        <v>523</v>
      </c>
      <c r="H423" s="139" t="s">
        <v>194</v>
      </c>
      <c r="I423" s="133" t="s">
        <v>10</v>
      </c>
      <c r="J423" s="133" t="s">
        <v>417</v>
      </c>
      <c r="K423" s="133" t="s">
        <v>2314</v>
      </c>
      <c r="L423" s="180" t="s">
        <v>418</v>
      </c>
      <c r="M423" s="146" t="s">
        <v>104</v>
      </c>
      <c r="N423" s="146" t="s">
        <v>2315</v>
      </c>
      <c r="O423" s="139">
        <v>24</v>
      </c>
      <c r="P423" s="139"/>
      <c r="Q423" s="133" t="s">
        <v>195</v>
      </c>
      <c r="R423" s="139"/>
      <c r="S423" s="133" t="s">
        <v>2316</v>
      </c>
      <c r="T423" s="133"/>
      <c r="U423" s="133">
        <v>100</v>
      </c>
      <c r="V423" s="133" t="s">
        <v>513</v>
      </c>
      <c r="W423" s="133" t="s">
        <v>513</v>
      </c>
      <c r="X423" s="133" t="s">
        <v>513</v>
      </c>
    </row>
    <row r="424" spans="1:25" s="161" customFormat="1" ht="121.5">
      <c r="A424" s="139">
        <v>428</v>
      </c>
      <c r="B424" s="139" t="s">
        <v>227</v>
      </c>
      <c r="C424" s="133" t="s">
        <v>407</v>
      </c>
      <c r="D424" s="133" t="s">
        <v>408</v>
      </c>
      <c r="E424" s="145" t="s">
        <v>409</v>
      </c>
      <c r="F424" s="141">
        <v>8976533970</v>
      </c>
      <c r="G424" s="141" t="s">
        <v>410</v>
      </c>
      <c r="H424" s="139" t="s">
        <v>354</v>
      </c>
      <c r="I424" s="133" t="s">
        <v>10</v>
      </c>
      <c r="J424" s="133" t="s">
        <v>233</v>
      </c>
      <c r="K424" s="133" t="s">
        <v>2314</v>
      </c>
      <c r="L424" s="180" t="s">
        <v>234</v>
      </c>
      <c r="M424" s="146" t="s">
        <v>104</v>
      </c>
      <c r="N424" s="146" t="s">
        <v>2317</v>
      </c>
      <c r="O424" s="139">
        <v>11</v>
      </c>
      <c r="P424" s="139"/>
      <c r="Q424" s="133" t="s">
        <v>195</v>
      </c>
      <c r="R424" s="139" t="s">
        <v>177</v>
      </c>
      <c r="S424" s="133" t="s">
        <v>2318</v>
      </c>
      <c r="T424" s="133"/>
      <c r="U424" s="133">
        <v>100</v>
      </c>
      <c r="V424" s="133"/>
      <c r="W424" s="133" t="s">
        <v>188</v>
      </c>
      <c r="X424" s="133"/>
    </row>
    <row r="425" spans="1:25" s="161" customFormat="1" ht="60.75">
      <c r="A425" s="139">
        <v>429</v>
      </c>
      <c r="B425" s="139" t="s">
        <v>227</v>
      </c>
      <c r="C425" s="133" t="s">
        <v>2319</v>
      </c>
      <c r="D425" s="133" t="s">
        <v>2320</v>
      </c>
      <c r="E425" s="145"/>
      <c r="F425" s="141"/>
      <c r="G425" s="141"/>
      <c r="H425" s="139"/>
      <c r="I425" s="143"/>
      <c r="J425" s="133"/>
      <c r="K425" s="133"/>
      <c r="L425" s="139"/>
      <c r="M425" s="141" t="s">
        <v>104</v>
      </c>
      <c r="N425" s="141" t="s">
        <v>2321</v>
      </c>
      <c r="O425" s="139">
        <v>11</v>
      </c>
      <c r="P425" s="139"/>
      <c r="Q425" s="133" t="s">
        <v>195</v>
      </c>
      <c r="S425" s="133" t="s">
        <v>2322</v>
      </c>
      <c r="T425" s="133"/>
      <c r="U425" s="139"/>
      <c r="V425" s="139"/>
      <c r="W425" s="224"/>
    </row>
    <row r="426" spans="1:25" s="161" customFormat="1" ht="45.75">
      <c r="A426" s="139">
        <v>430</v>
      </c>
      <c r="B426" s="139" t="s">
        <v>227</v>
      </c>
      <c r="C426" s="133" t="s">
        <v>2323</v>
      </c>
      <c r="D426" s="133" t="s">
        <v>2324</v>
      </c>
      <c r="E426" s="145"/>
      <c r="F426" s="141"/>
      <c r="G426" s="141"/>
      <c r="H426" s="139"/>
      <c r="I426" s="143"/>
      <c r="J426" s="133"/>
      <c r="K426" s="133"/>
      <c r="L426" s="139"/>
      <c r="M426" s="141" t="s">
        <v>2325</v>
      </c>
      <c r="N426" s="141" t="s">
        <v>2326</v>
      </c>
      <c r="O426" s="139">
        <v>11</v>
      </c>
      <c r="P426" s="139"/>
      <c r="Q426" s="133" t="s">
        <v>195</v>
      </c>
      <c r="S426" s="133" t="s">
        <v>2327</v>
      </c>
      <c r="T426" s="133"/>
      <c r="U426" s="139"/>
      <c r="V426" s="139"/>
      <c r="W426" s="224"/>
    </row>
    <row r="427" spans="1:25" s="161" customFormat="1" ht="45.75">
      <c r="A427" s="139">
        <v>431</v>
      </c>
      <c r="B427" s="139" t="s">
        <v>227</v>
      </c>
      <c r="C427" s="133" t="s">
        <v>2328</v>
      </c>
      <c r="D427" s="133" t="s">
        <v>2329</v>
      </c>
      <c r="E427" s="145"/>
      <c r="F427" s="141"/>
      <c r="G427" s="141"/>
      <c r="H427" s="139"/>
      <c r="I427" s="143"/>
      <c r="J427" s="133"/>
      <c r="K427" s="133"/>
      <c r="L427" s="139"/>
      <c r="M427" s="141" t="s">
        <v>2330</v>
      </c>
      <c r="N427" s="141" t="s">
        <v>2331</v>
      </c>
      <c r="O427" s="139">
        <v>11</v>
      </c>
      <c r="P427" s="139"/>
      <c r="Q427" s="133" t="s">
        <v>195</v>
      </c>
      <c r="S427" s="133" t="s">
        <v>2332</v>
      </c>
      <c r="T427" s="133"/>
      <c r="U427" s="139"/>
      <c r="V427" s="139"/>
      <c r="W427" s="224"/>
    </row>
    <row r="428" spans="1:25" s="161" customFormat="1" ht="60.75">
      <c r="A428" s="133">
        <v>432</v>
      </c>
      <c r="B428" s="139" t="s">
        <v>227</v>
      </c>
      <c r="C428" s="139" t="s">
        <v>286</v>
      </c>
      <c r="D428" s="133" t="s">
        <v>287</v>
      </c>
      <c r="E428" s="145" t="s">
        <v>288</v>
      </c>
      <c r="F428" s="141">
        <v>9830070871</v>
      </c>
      <c r="G428" s="141" t="s">
        <v>289</v>
      </c>
      <c r="H428" s="133" t="s">
        <v>290</v>
      </c>
      <c r="I428" s="133" t="s">
        <v>10</v>
      </c>
      <c r="J428" s="133" t="s">
        <v>185</v>
      </c>
      <c r="K428" s="133" t="s">
        <v>2314</v>
      </c>
      <c r="L428" s="138" t="s">
        <v>186</v>
      </c>
      <c r="M428" s="146" t="s">
        <v>2333</v>
      </c>
      <c r="N428" s="146">
        <v>46275</v>
      </c>
      <c r="O428" s="139">
        <v>11</v>
      </c>
      <c r="P428" s="139"/>
      <c r="Q428" s="133" t="s">
        <v>195</v>
      </c>
      <c r="R428" s="139" t="s">
        <v>177</v>
      </c>
      <c r="S428" s="133" t="s">
        <v>2334</v>
      </c>
      <c r="T428" s="133"/>
      <c r="U428" s="133" t="s">
        <v>292</v>
      </c>
      <c r="V428" s="133"/>
      <c r="W428" s="133" t="s">
        <v>188</v>
      </c>
      <c r="X428" s="133"/>
    </row>
    <row r="429" spans="1:25" s="161" customFormat="1" ht="45.75">
      <c r="A429" s="139">
        <v>433</v>
      </c>
      <c r="B429" s="139" t="s">
        <v>227</v>
      </c>
      <c r="C429" s="133" t="s">
        <v>2335</v>
      </c>
      <c r="D429" s="133" t="s">
        <v>2336</v>
      </c>
      <c r="E429" s="145"/>
      <c r="F429" s="141"/>
      <c r="G429" s="141"/>
      <c r="H429" s="139"/>
      <c r="I429" s="143"/>
      <c r="J429" s="133"/>
      <c r="K429" s="133"/>
      <c r="L429" s="139"/>
      <c r="M429" s="141" t="s">
        <v>2333</v>
      </c>
      <c r="N429" s="141" t="s">
        <v>2337</v>
      </c>
      <c r="O429" s="139">
        <v>11</v>
      </c>
      <c r="P429" s="139"/>
      <c r="Q429" s="133" t="s">
        <v>176</v>
      </c>
      <c r="S429" s="133" t="s">
        <v>2338</v>
      </c>
      <c r="T429" s="133"/>
      <c r="U429" s="139"/>
      <c r="V429" s="139"/>
      <c r="W429" s="224"/>
    </row>
    <row r="430" spans="1:25" s="161" customFormat="1" ht="45.75">
      <c r="A430" s="139">
        <v>434</v>
      </c>
      <c r="B430" s="139" t="s">
        <v>227</v>
      </c>
      <c r="C430" s="133" t="s">
        <v>2339</v>
      </c>
      <c r="D430" s="133" t="s">
        <v>2340</v>
      </c>
      <c r="E430" s="145"/>
      <c r="F430" s="141"/>
      <c r="G430" s="141"/>
      <c r="H430" s="139"/>
      <c r="I430" s="143"/>
      <c r="J430" s="133"/>
      <c r="K430" s="133"/>
      <c r="L430" s="139"/>
      <c r="M430" s="141" t="s">
        <v>2341</v>
      </c>
      <c r="N430" s="141" t="s">
        <v>2342</v>
      </c>
      <c r="O430" s="139">
        <v>11</v>
      </c>
      <c r="P430" s="139"/>
      <c r="Q430" s="133" t="s">
        <v>176</v>
      </c>
      <c r="S430" s="133" t="s">
        <v>2343</v>
      </c>
      <c r="T430" s="133"/>
      <c r="U430" s="139"/>
      <c r="V430" s="139"/>
      <c r="W430" s="224"/>
    </row>
    <row r="431" spans="1:25" s="161" customFormat="1" ht="106.5">
      <c r="A431" s="139">
        <v>435</v>
      </c>
      <c r="B431" s="139" t="s">
        <v>227</v>
      </c>
      <c r="C431" s="139" t="s">
        <v>537</v>
      </c>
      <c r="D431" s="133" t="s">
        <v>538</v>
      </c>
      <c r="E431" s="145" t="s">
        <v>539</v>
      </c>
      <c r="F431" s="154" t="s">
        <v>540</v>
      </c>
      <c r="G431" s="154" t="s">
        <v>541</v>
      </c>
      <c r="H431" s="139" t="s">
        <v>529</v>
      </c>
      <c r="I431" s="133" t="s">
        <v>10</v>
      </c>
      <c r="J431" s="133" t="s">
        <v>445</v>
      </c>
      <c r="K431" s="133" t="s">
        <v>2314</v>
      </c>
      <c r="L431" s="180" t="s">
        <v>446</v>
      </c>
      <c r="M431" s="146" t="s">
        <v>2341</v>
      </c>
      <c r="N431" s="146" t="s">
        <v>2342</v>
      </c>
      <c r="O431" s="139">
        <v>11</v>
      </c>
      <c r="P431" s="139"/>
      <c r="Q431" s="133" t="s">
        <v>195</v>
      </c>
      <c r="R431" s="139"/>
      <c r="S431" s="133" t="s">
        <v>2344</v>
      </c>
      <c r="T431" s="133"/>
      <c r="U431" s="133">
        <v>100</v>
      </c>
      <c r="V431" s="133"/>
      <c r="W431" s="133" t="s">
        <v>243</v>
      </c>
      <c r="X431" s="133" t="s">
        <v>243</v>
      </c>
    </row>
    <row r="432" spans="1:25" s="161" customFormat="1" ht="91.5">
      <c r="A432" s="139">
        <v>436</v>
      </c>
      <c r="B432" s="139" t="s">
        <v>227</v>
      </c>
      <c r="C432" s="133" t="s">
        <v>2345</v>
      </c>
      <c r="D432" s="133" t="s">
        <v>137</v>
      </c>
      <c r="E432" s="145" t="s">
        <v>2346</v>
      </c>
      <c r="F432" s="141">
        <v>8097678305</v>
      </c>
      <c r="G432" s="141" t="s">
        <v>2347</v>
      </c>
      <c r="H432" s="139"/>
      <c r="I432" s="143"/>
      <c r="J432" s="133"/>
      <c r="K432" s="133"/>
      <c r="L432" s="139"/>
      <c r="M432" s="141" t="s">
        <v>2238</v>
      </c>
      <c r="N432" s="141" t="s">
        <v>2239</v>
      </c>
      <c r="O432" s="139">
        <v>11</v>
      </c>
      <c r="P432" s="139"/>
      <c r="Q432" s="133" t="s">
        <v>195</v>
      </c>
      <c r="S432" s="133" t="s">
        <v>2348</v>
      </c>
      <c r="T432" s="133"/>
      <c r="U432" s="139"/>
      <c r="V432" s="139"/>
      <c r="W432" s="224"/>
    </row>
    <row r="433" spans="1:24" s="161" customFormat="1" ht="45.75">
      <c r="A433" s="139">
        <v>437</v>
      </c>
      <c r="B433" s="139" t="s">
        <v>227</v>
      </c>
      <c r="C433" s="133" t="s">
        <v>2329</v>
      </c>
      <c r="D433" s="133" t="s">
        <v>2349</v>
      </c>
      <c r="E433" s="145"/>
      <c r="F433" s="141"/>
      <c r="G433" s="141"/>
      <c r="H433" s="139"/>
      <c r="I433" s="143"/>
      <c r="J433" s="133"/>
      <c r="K433" s="133"/>
      <c r="L433" s="139"/>
      <c r="M433" s="141" t="s">
        <v>2350</v>
      </c>
      <c r="N433" s="141" t="s">
        <v>2351</v>
      </c>
      <c r="O433" s="139">
        <v>11</v>
      </c>
      <c r="P433" s="139"/>
      <c r="Q433" s="133" t="s">
        <v>195</v>
      </c>
      <c r="S433" s="133" t="s">
        <v>2352</v>
      </c>
      <c r="T433" s="133"/>
      <c r="U433" s="139"/>
      <c r="V433" s="139"/>
      <c r="W433" s="419" t="s">
        <v>2353</v>
      </c>
    </row>
    <row r="434" spans="1:24" s="161" customFormat="1" ht="45.75">
      <c r="A434" s="139">
        <v>438</v>
      </c>
      <c r="B434" s="139" t="s">
        <v>227</v>
      </c>
      <c r="C434" s="139" t="s">
        <v>2354</v>
      </c>
      <c r="D434" s="133" t="s">
        <v>2355</v>
      </c>
      <c r="E434" s="145"/>
      <c r="F434" s="141"/>
      <c r="G434" s="141"/>
      <c r="H434" s="139"/>
      <c r="I434" s="143"/>
      <c r="J434" s="133"/>
      <c r="K434" s="133"/>
      <c r="L434" s="139"/>
      <c r="M434" s="146">
        <v>46056</v>
      </c>
      <c r="N434" s="146">
        <v>46389</v>
      </c>
      <c r="O434" s="139">
        <v>11</v>
      </c>
      <c r="P434" s="139"/>
      <c r="Q434" s="133" t="s">
        <v>195</v>
      </c>
      <c r="S434" s="133" t="s">
        <v>2356</v>
      </c>
      <c r="T434" s="133"/>
      <c r="U434" s="139"/>
      <c r="V434" s="139"/>
      <c r="W434" s="224"/>
    </row>
    <row r="435" spans="1:24" s="161" customFormat="1" ht="45.75">
      <c r="A435" s="139">
        <v>439</v>
      </c>
      <c r="B435" s="139" t="s">
        <v>227</v>
      </c>
      <c r="C435" s="133" t="s">
        <v>2357</v>
      </c>
      <c r="D435" s="133" t="s">
        <v>2358</v>
      </c>
      <c r="E435" s="145"/>
      <c r="F435" s="141"/>
      <c r="G435" s="141"/>
      <c r="H435" s="139"/>
      <c r="I435" s="143"/>
      <c r="J435" s="133"/>
      <c r="K435" s="133"/>
      <c r="L435" s="139"/>
      <c r="M435" s="146">
        <v>46084</v>
      </c>
      <c r="N435" s="146">
        <v>46084</v>
      </c>
      <c r="O435" s="139">
        <v>11</v>
      </c>
      <c r="P435" s="139"/>
      <c r="Q435" s="133" t="s">
        <v>195</v>
      </c>
      <c r="S435" s="133" t="s">
        <v>2359</v>
      </c>
      <c r="T435" s="133"/>
      <c r="U435" s="139"/>
      <c r="V435" s="139"/>
      <c r="W435" s="224"/>
    </row>
    <row r="436" spans="1:24" s="161" customFormat="1" ht="45.75">
      <c r="A436" s="139">
        <v>440</v>
      </c>
      <c r="B436" s="139" t="s">
        <v>227</v>
      </c>
      <c r="C436" s="139"/>
      <c r="D436" s="133" t="s">
        <v>2360</v>
      </c>
      <c r="E436" s="145"/>
      <c r="F436" s="141"/>
      <c r="G436" s="141"/>
      <c r="H436" s="139"/>
      <c r="I436" s="143"/>
      <c r="J436" s="133"/>
      <c r="K436" s="133"/>
      <c r="L436" s="139"/>
      <c r="M436" s="146">
        <v>46084</v>
      </c>
      <c r="N436" s="146">
        <v>46084</v>
      </c>
      <c r="O436" s="139">
        <v>11</v>
      </c>
      <c r="P436" s="139"/>
      <c r="Q436" s="133" t="s">
        <v>195</v>
      </c>
      <c r="S436" s="133" t="s">
        <v>2361</v>
      </c>
      <c r="T436" s="133"/>
      <c r="U436" s="139"/>
      <c r="V436" s="139"/>
      <c r="W436" s="224"/>
    </row>
    <row r="437" spans="1:24" s="161" customFormat="1" ht="91.5">
      <c r="A437" s="133">
        <v>441</v>
      </c>
      <c r="B437" s="139" t="s">
        <v>227</v>
      </c>
      <c r="C437" s="139" t="s">
        <v>830</v>
      </c>
      <c r="D437" s="133" t="s">
        <v>831</v>
      </c>
      <c r="E437" s="145" t="s">
        <v>832</v>
      </c>
      <c r="F437" s="154">
        <v>9930108826</v>
      </c>
      <c r="G437" s="154" t="s">
        <v>833</v>
      </c>
      <c r="H437" s="139" t="s">
        <v>529</v>
      </c>
      <c r="I437" s="133" t="s">
        <v>10</v>
      </c>
      <c r="J437" s="133" t="s">
        <v>445</v>
      </c>
      <c r="K437" s="133"/>
      <c r="L437" s="180"/>
      <c r="M437" s="146">
        <v>46329</v>
      </c>
      <c r="N437" s="146" t="s">
        <v>2362</v>
      </c>
      <c r="O437" s="139">
        <v>11</v>
      </c>
      <c r="P437" s="139"/>
      <c r="Q437" s="133" t="s">
        <v>195</v>
      </c>
      <c r="R437" s="139"/>
      <c r="S437" s="133" t="s">
        <v>2363</v>
      </c>
      <c r="T437" s="133"/>
      <c r="U437" s="133"/>
      <c r="V437" s="133" t="s">
        <v>243</v>
      </c>
      <c r="W437" s="133" t="s">
        <v>243</v>
      </c>
      <c r="X437" s="133" t="s">
        <v>243</v>
      </c>
    </row>
    <row r="438" spans="1:24" s="161" customFormat="1" ht="45.75">
      <c r="A438" s="139">
        <v>442</v>
      </c>
      <c r="B438" s="139" t="s">
        <v>227</v>
      </c>
      <c r="C438" s="133" t="s">
        <v>2364</v>
      </c>
      <c r="D438" s="133" t="s">
        <v>2365</v>
      </c>
      <c r="E438" s="145"/>
      <c r="F438" s="141"/>
      <c r="G438" s="141"/>
      <c r="H438" s="139"/>
      <c r="I438" s="143"/>
      <c r="J438" s="133"/>
      <c r="K438" s="133"/>
      <c r="L438" s="139"/>
      <c r="M438" s="146">
        <v>46298</v>
      </c>
      <c r="N438" s="146">
        <v>46632</v>
      </c>
      <c r="O438" s="139">
        <v>11</v>
      </c>
      <c r="P438" s="139"/>
      <c r="Q438" s="133" t="s">
        <v>195</v>
      </c>
      <c r="S438" s="133" t="s">
        <v>2366</v>
      </c>
      <c r="T438" s="133"/>
      <c r="U438" s="139"/>
      <c r="V438" s="139"/>
      <c r="W438" s="224"/>
    </row>
    <row r="439" spans="1:24" s="161" customFormat="1" ht="76.5">
      <c r="A439" s="133">
        <v>443</v>
      </c>
      <c r="B439" s="139" t="s">
        <v>227</v>
      </c>
      <c r="C439" s="133" t="s">
        <v>525</v>
      </c>
      <c r="D439" s="133" t="s">
        <v>526</v>
      </c>
      <c r="E439" s="145" t="s">
        <v>527</v>
      </c>
      <c r="F439" s="154">
        <v>9833908208</v>
      </c>
      <c r="G439" s="154" t="s">
        <v>528</v>
      </c>
      <c r="H439" s="139" t="s">
        <v>529</v>
      </c>
      <c r="I439" s="133" t="s">
        <v>10</v>
      </c>
      <c r="J439" s="133" t="s">
        <v>417</v>
      </c>
      <c r="K439" s="133" t="s">
        <v>2314</v>
      </c>
      <c r="L439" s="180" t="s">
        <v>418</v>
      </c>
      <c r="M439" s="146" t="s">
        <v>2367</v>
      </c>
      <c r="N439" s="146" t="s">
        <v>2368</v>
      </c>
      <c r="O439" s="139">
        <v>11</v>
      </c>
      <c r="P439" s="139"/>
      <c r="Q439" s="133" t="s">
        <v>195</v>
      </c>
      <c r="R439" s="139"/>
      <c r="S439" s="133" t="s">
        <v>2369</v>
      </c>
      <c r="T439" s="133"/>
      <c r="U439" s="133">
        <v>100</v>
      </c>
      <c r="V439" s="133"/>
      <c r="W439" s="133" t="s">
        <v>513</v>
      </c>
      <c r="X439" s="133" t="s">
        <v>513</v>
      </c>
    </row>
    <row r="440" spans="1:24" s="161" customFormat="1" ht="183">
      <c r="A440" s="139">
        <v>444</v>
      </c>
      <c r="B440" s="139" t="s">
        <v>167</v>
      </c>
      <c r="C440" s="133" t="s">
        <v>2370</v>
      </c>
      <c r="D440" s="133" t="s">
        <v>460</v>
      </c>
      <c r="E440" s="145" t="s">
        <v>461</v>
      </c>
      <c r="F440" s="141">
        <v>9833686616</v>
      </c>
      <c r="G440" s="135" t="s">
        <v>462</v>
      </c>
      <c r="H440" s="139" t="s">
        <v>354</v>
      </c>
      <c r="I440" s="133" t="s">
        <v>10</v>
      </c>
      <c r="J440" s="133" t="s">
        <v>417</v>
      </c>
      <c r="K440" s="133" t="s">
        <v>2314</v>
      </c>
      <c r="L440" s="180" t="s">
        <v>418</v>
      </c>
      <c r="M440" s="146">
        <v>46143</v>
      </c>
      <c r="N440" s="146">
        <v>46124</v>
      </c>
      <c r="O440" s="139">
        <v>11</v>
      </c>
      <c r="P440" s="139"/>
      <c r="Q440" s="133" t="s">
        <v>195</v>
      </c>
      <c r="R440" s="139"/>
      <c r="S440" s="133" t="s">
        <v>2371</v>
      </c>
      <c r="T440" s="133"/>
      <c r="U440" s="133">
        <v>100</v>
      </c>
      <c r="V440" s="133" t="s">
        <v>188</v>
      </c>
      <c r="W440" s="133" t="s">
        <v>188</v>
      </c>
      <c r="X440" s="133" t="s">
        <v>188</v>
      </c>
    </row>
    <row r="441" spans="1:24" s="161" customFormat="1" ht="60.75">
      <c r="A441" s="139">
        <v>445</v>
      </c>
      <c r="B441" s="139" t="s">
        <v>167</v>
      </c>
      <c r="C441" s="139" t="s">
        <v>835</v>
      </c>
      <c r="D441" s="133" t="s">
        <v>836</v>
      </c>
      <c r="E441" s="145" t="s">
        <v>837</v>
      </c>
      <c r="F441" s="154">
        <v>9810772925</v>
      </c>
      <c r="G441" s="154" t="s">
        <v>838</v>
      </c>
      <c r="H441" s="139" t="s">
        <v>529</v>
      </c>
      <c r="I441" s="133" t="s">
        <v>10</v>
      </c>
      <c r="J441" s="133" t="s">
        <v>417</v>
      </c>
      <c r="K441" s="133"/>
      <c r="L441" s="180"/>
      <c r="M441" s="146">
        <v>46359</v>
      </c>
      <c r="N441" s="146">
        <v>46693</v>
      </c>
      <c r="O441" s="139">
        <v>11</v>
      </c>
      <c r="P441" s="139"/>
      <c r="Q441" s="133" t="s">
        <v>195</v>
      </c>
      <c r="R441" s="139"/>
      <c r="S441" s="133" t="s">
        <v>2372</v>
      </c>
      <c r="T441" s="133"/>
      <c r="U441" s="133"/>
      <c r="V441" s="133" t="s">
        <v>513</v>
      </c>
      <c r="W441" s="133" t="s">
        <v>513</v>
      </c>
      <c r="X441" s="133"/>
    </row>
    <row r="442" spans="1:24" s="161" customFormat="1" ht="76.5">
      <c r="A442" s="133">
        <v>446</v>
      </c>
      <c r="B442" s="139" t="s">
        <v>167</v>
      </c>
      <c r="C442" s="133" t="s">
        <v>806</v>
      </c>
      <c r="D442" s="133" t="s">
        <v>807</v>
      </c>
      <c r="E442" s="145" t="s">
        <v>808</v>
      </c>
      <c r="F442" s="154">
        <v>9360710699</v>
      </c>
      <c r="G442" s="154" t="s">
        <v>809</v>
      </c>
      <c r="H442" s="139" t="s">
        <v>395</v>
      </c>
      <c r="I442" s="133" t="s">
        <v>10</v>
      </c>
      <c r="J442" s="133" t="s">
        <v>445</v>
      </c>
      <c r="K442" s="133"/>
      <c r="L442" s="180"/>
      <c r="M442" s="146">
        <v>46298</v>
      </c>
      <c r="N442" s="146">
        <v>46632</v>
      </c>
      <c r="O442" s="139">
        <v>11</v>
      </c>
      <c r="P442" s="139"/>
      <c r="Q442" s="133" t="s">
        <v>176</v>
      </c>
      <c r="R442" s="139"/>
      <c r="S442" s="133" t="s">
        <v>2373</v>
      </c>
      <c r="T442" s="133"/>
      <c r="U442" s="133"/>
      <c r="V442" s="133"/>
      <c r="W442" s="133" t="s">
        <v>513</v>
      </c>
      <c r="X442" s="133"/>
    </row>
    <row r="443" spans="1:24" s="161" customFormat="1" ht="91.5">
      <c r="A443" s="139">
        <v>447</v>
      </c>
      <c r="B443" s="139" t="s">
        <v>167</v>
      </c>
      <c r="C443" s="139" t="s">
        <v>2374</v>
      </c>
      <c r="D443" s="133" t="s">
        <v>2375</v>
      </c>
      <c r="E443" s="145" t="s">
        <v>2376</v>
      </c>
      <c r="F443" s="141">
        <v>8431921183</v>
      </c>
      <c r="G443" s="141" t="s">
        <v>2377</v>
      </c>
      <c r="H443" s="139"/>
      <c r="I443" s="143"/>
      <c r="J443" s="133"/>
      <c r="K443" s="133"/>
      <c r="L443" s="139"/>
      <c r="M443" s="141" t="s">
        <v>2378</v>
      </c>
      <c r="N443" s="141" t="s">
        <v>2379</v>
      </c>
      <c r="O443" s="139">
        <v>11</v>
      </c>
      <c r="P443" s="139"/>
      <c r="Q443" s="133" t="s">
        <v>176</v>
      </c>
      <c r="S443" s="133" t="s">
        <v>2380</v>
      </c>
      <c r="T443" s="133"/>
      <c r="U443" s="139"/>
      <c r="V443" s="139"/>
      <c r="W443" s="224"/>
    </row>
    <row r="444" spans="1:24" s="161" customFormat="1" ht="45.75">
      <c r="A444" s="139">
        <v>448</v>
      </c>
      <c r="B444" s="139" t="s">
        <v>167</v>
      </c>
      <c r="C444" s="139" t="s">
        <v>2381</v>
      </c>
      <c r="D444" s="133" t="s">
        <v>2382</v>
      </c>
      <c r="E444" s="145"/>
      <c r="F444" s="141"/>
      <c r="G444" s="141"/>
      <c r="H444" s="139"/>
      <c r="I444" s="143"/>
      <c r="J444" s="133"/>
      <c r="K444" s="133"/>
      <c r="L444" s="139"/>
      <c r="M444" s="141" t="s">
        <v>2378</v>
      </c>
      <c r="N444" s="141" t="s">
        <v>2379</v>
      </c>
      <c r="O444" s="139">
        <v>11</v>
      </c>
      <c r="P444" s="139"/>
      <c r="Q444" s="133" t="s">
        <v>195</v>
      </c>
      <c r="S444" s="133" t="s">
        <v>2383</v>
      </c>
      <c r="T444" s="133"/>
      <c r="U444" s="139"/>
      <c r="V444" s="139"/>
      <c r="W444" s="224"/>
    </row>
    <row r="445" spans="1:24" s="161" customFormat="1" ht="76.5">
      <c r="A445" s="139">
        <v>449</v>
      </c>
      <c r="B445" s="139" t="s">
        <v>167</v>
      </c>
      <c r="C445" s="139" t="s">
        <v>2384</v>
      </c>
      <c r="D445" s="133" t="s">
        <v>2385</v>
      </c>
      <c r="E445" s="145" t="s">
        <v>2386</v>
      </c>
      <c r="F445" s="141">
        <v>8886709992</v>
      </c>
      <c r="G445" s="141" t="s">
        <v>2387</v>
      </c>
      <c r="H445" s="139"/>
      <c r="I445" s="143"/>
      <c r="J445" s="133"/>
      <c r="K445" s="133"/>
      <c r="L445" s="139"/>
      <c r="M445" s="141" t="s">
        <v>2388</v>
      </c>
      <c r="N445" s="141" t="s">
        <v>2389</v>
      </c>
      <c r="O445" s="139">
        <v>11</v>
      </c>
      <c r="P445" s="139"/>
      <c r="Q445" s="133" t="s">
        <v>195</v>
      </c>
      <c r="S445" s="133" t="s">
        <v>2390</v>
      </c>
      <c r="T445" s="133"/>
      <c r="U445" s="139"/>
      <c r="V445" s="139"/>
      <c r="W445" s="224"/>
    </row>
    <row r="446" spans="1:24" s="161" customFormat="1" ht="91.5">
      <c r="A446" s="139">
        <v>450</v>
      </c>
      <c r="B446" s="139" t="s">
        <v>167</v>
      </c>
      <c r="C446" s="139" t="s">
        <v>968</v>
      </c>
      <c r="D446" s="133" t="s">
        <v>2391</v>
      </c>
      <c r="E446" s="145" t="s">
        <v>970</v>
      </c>
      <c r="F446" s="154">
        <v>9870799975</v>
      </c>
      <c r="G446" s="154" t="s">
        <v>971</v>
      </c>
      <c r="H446" s="139" t="s">
        <v>354</v>
      </c>
      <c r="I446" s="133"/>
      <c r="J446" s="133" t="s">
        <v>716</v>
      </c>
      <c r="K446" s="133"/>
      <c r="L446" s="180"/>
      <c r="M446" s="146" t="s">
        <v>2388</v>
      </c>
      <c r="N446" s="146" t="s">
        <v>2389</v>
      </c>
      <c r="O446" s="139">
        <v>11</v>
      </c>
      <c r="P446" s="139"/>
      <c r="Q446" s="133" t="s">
        <v>195</v>
      </c>
      <c r="R446" s="139"/>
      <c r="S446" s="133" t="s">
        <v>2392</v>
      </c>
      <c r="T446" s="133"/>
      <c r="U446" s="133"/>
      <c r="V446" s="133" t="s">
        <v>513</v>
      </c>
      <c r="W446" s="133" t="s">
        <v>513</v>
      </c>
      <c r="X446" s="133"/>
    </row>
    <row r="447" spans="1:24" s="161" customFormat="1" ht="106.5">
      <c r="A447" s="133">
        <v>451</v>
      </c>
      <c r="B447" s="139" t="s">
        <v>167</v>
      </c>
      <c r="C447" s="139" t="s">
        <v>1360</v>
      </c>
      <c r="D447" s="133" t="s">
        <v>1361</v>
      </c>
      <c r="E447" s="145" t="s">
        <v>1362</v>
      </c>
      <c r="F447" s="154">
        <v>9999826977</v>
      </c>
      <c r="G447" s="154" t="s">
        <v>1363</v>
      </c>
      <c r="H447" s="139" t="s">
        <v>194</v>
      </c>
      <c r="I447" s="133"/>
      <c r="J447" s="133" t="s">
        <v>1108</v>
      </c>
      <c r="K447" s="133"/>
      <c r="L447" s="180"/>
      <c r="M447" s="146" t="s">
        <v>2393</v>
      </c>
      <c r="N447" s="146" t="s">
        <v>2394</v>
      </c>
      <c r="O447" s="139">
        <v>11</v>
      </c>
      <c r="P447" s="139"/>
      <c r="Q447" s="133" t="s">
        <v>195</v>
      </c>
      <c r="R447" s="139"/>
      <c r="S447" s="133" t="s">
        <v>2395</v>
      </c>
      <c r="T447" s="133"/>
      <c r="U447" s="133"/>
      <c r="V447" s="133" t="s">
        <v>243</v>
      </c>
      <c r="W447" s="133" t="s">
        <v>243</v>
      </c>
      <c r="X447" s="133"/>
    </row>
    <row r="448" spans="1:24" s="161" customFormat="1" ht="45.75">
      <c r="A448" s="139">
        <v>452</v>
      </c>
      <c r="B448" s="139" t="s">
        <v>167</v>
      </c>
      <c r="C448" s="133" t="s">
        <v>2396</v>
      </c>
      <c r="D448" s="133" t="s">
        <v>2397</v>
      </c>
      <c r="E448" s="145"/>
      <c r="F448" s="141"/>
      <c r="G448" s="141"/>
      <c r="H448" s="139"/>
      <c r="I448" s="143"/>
      <c r="J448" s="133"/>
      <c r="K448" s="133"/>
      <c r="L448" s="139"/>
      <c r="M448" s="141" t="s">
        <v>110</v>
      </c>
      <c r="N448" s="141" t="s">
        <v>2398</v>
      </c>
      <c r="O448" s="139">
        <v>24</v>
      </c>
      <c r="P448" s="139"/>
      <c r="Q448" s="133" t="s">
        <v>195</v>
      </c>
      <c r="S448" s="133" t="s">
        <v>2399</v>
      </c>
      <c r="T448" s="133"/>
      <c r="U448" s="139"/>
      <c r="V448" s="139"/>
      <c r="W448" s="224"/>
    </row>
    <row r="449" spans="1:24" s="161" customFormat="1" ht="76.5">
      <c r="A449" s="139">
        <v>453</v>
      </c>
      <c r="B449" s="139" t="s">
        <v>167</v>
      </c>
      <c r="C449" s="139" t="s">
        <v>1031</v>
      </c>
      <c r="D449" s="133" t="s">
        <v>1032</v>
      </c>
      <c r="E449" s="145" t="s">
        <v>1033</v>
      </c>
      <c r="F449" s="154">
        <v>7042941651</v>
      </c>
      <c r="G449" s="154" t="s">
        <v>1034</v>
      </c>
      <c r="H449" s="139" t="s">
        <v>416</v>
      </c>
      <c r="I449" s="133"/>
      <c r="J449" s="133" t="s">
        <v>716</v>
      </c>
      <c r="K449" s="133"/>
      <c r="L449" s="180"/>
      <c r="M449" s="146">
        <v>46114</v>
      </c>
      <c r="N449" s="146">
        <v>46447</v>
      </c>
      <c r="O449" s="139">
        <v>11</v>
      </c>
      <c r="P449" s="139"/>
      <c r="Q449" s="133" t="s">
        <v>195</v>
      </c>
      <c r="R449" s="139"/>
      <c r="S449" s="133" t="s">
        <v>2400</v>
      </c>
      <c r="T449" s="133"/>
      <c r="U449" s="133"/>
      <c r="V449" s="133" t="s">
        <v>243</v>
      </c>
      <c r="W449" s="133" t="s">
        <v>243</v>
      </c>
      <c r="X449" s="133" t="s">
        <v>243</v>
      </c>
    </row>
    <row r="450" spans="1:24" s="161" customFormat="1" ht="91.5">
      <c r="A450" s="139">
        <v>454</v>
      </c>
      <c r="B450" s="139" t="s">
        <v>167</v>
      </c>
      <c r="C450" s="133" t="s">
        <v>2401</v>
      </c>
      <c r="D450" s="133" t="s">
        <v>2402</v>
      </c>
      <c r="E450" s="145" t="s">
        <v>2403</v>
      </c>
      <c r="F450" s="141">
        <v>9995836874</v>
      </c>
      <c r="G450" s="141" t="s">
        <v>2404</v>
      </c>
      <c r="H450" s="139"/>
      <c r="I450" s="143"/>
      <c r="J450" s="133"/>
      <c r="K450" s="133"/>
      <c r="L450" s="139"/>
      <c r="M450" s="141" t="s">
        <v>2405</v>
      </c>
      <c r="N450" s="141" t="s">
        <v>2406</v>
      </c>
      <c r="O450" s="139">
        <v>11</v>
      </c>
      <c r="P450" s="139"/>
      <c r="Q450" s="133" t="s">
        <v>176</v>
      </c>
      <c r="S450" s="133" t="s">
        <v>2407</v>
      </c>
      <c r="T450" s="133"/>
      <c r="U450" s="139"/>
      <c r="V450" s="139"/>
      <c r="W450" s="224"/>
    </row>
    <row r="451" spans="1:24" s="161" customFormat="1" ht="91.5">
      <c r="A451" s="139">
        <v>455</v>
      </c>
      <c r="B451" s="139" t="s">
        <v>167</v>
      </c>
      <c r="C451" s="139" t="s">
        <v>947</v>
      </c>
      <c r="D451" s="133" t="s">
        <v>948</v>
      </c>
      <c r="E451" s="145" t="s">
        <v>949</v>
      </c>
      <c r="F451" s="154">
        <v>7405484441</v>
      </c>
      <c r="G451" s="154" t="s">
        <v>950</v>
      </c>
      <c r="H451" s="139" t="s">
        <v>951</v>
      </c>
      <c r="I451" s="133"/>
      <c r="J451" s="133" t="s">
        <v>716</v>
      </c>
      <c r="K451" s="133"/>
      <c r="L451" s="180"/>
      <c r="M451" s="146" t="s">
        <v>2408</v>
      </c>
      <c r="N451" s="146" t="s">
        <v>2409</v>
      </c>
      <c r="O451" s="139">
        <v>11</v>
      </c>
      <c r="P451" s="139"/>
      <c r="Q451" s="133" t="s">
        <v>195</v>
      </c>
      <c r="R451" s="139"/>
      <c r="S451" s="133" t="s">
        <v>2410</v>
      </c>
      <c r="T451" s="133"/>
      <c r="U451" s="133"/>
      <c r="V451" s="133" t="s">
        <v>513</v>
      </c>
      <c r="W451" s="133" t="s">
        <v>513</v>
      </c>
      <c r="X451" s="133" t="s">
        <v>513</v>
      </c>
    </row>
    <row r="452" spans="1:24" s="161" customFormat="1" ht="76.5">
      <c r="A452" s="139">
        <v>456</v>
      </c>
      <c r="B452" s="139" t="s">
        <v>167</v>
      </c>
      <c r="C452" s="139" t="s">
        <v>920</v>
      </c>
      <c r="D452" s="133" t="s">
        <v>921</v>
      </c>
      <c r="E452" s="145" t="s">
        <v>922</v>
      </c>
      <c r="F452" s="154">
        <v>9739804773</v>
      </c>
      <c r="G452" s="154" t="s">
        <v>923</v>
      </c>
      <c r="H452" s="139" t="s">
        <v>492</v>
      </c>
      <c r="I452" s="133"/>
      <c r="J452" s="133" t="s">
        <v>924</v>
      </c>
      <c r="K452" s="133"/>
      <c r="L452" s="180"/>
      <c r="M452" s="146" t="s">
        <v>2411</v>
      </c>
      <c r="N452" s="146" t="s">
        <v>2412</v>
      </c>
      <c r="O452" s="139">
        <v>11</v>
      </c>
      <c r="P452" s="139"/>
      <c r="Q452" s="133" t="s">
        <v>195</v>
      </c>
      <c r="R452" s="139"/>
      <c r="S452" s="133" t="s">
        <v>2413</v>
      </c>
      <c r="T452" s="133"/>
      <c r="U452" s="133"/>
      <c r="V452" s="133"/>
      <c r="W452" s="133" t="s">
        <v>513</v>
      </c>
      <c r="X452" s="133" t="s">
        <v>513</v>
      </c>
    </row>
    <row r="453" spans="1:24" s="161" customFormat="1" ht="76.5">
      <c r="A453" s="139">
        <v>457</v>
      </c>
      <c r="B453" s="139" t="s">
        <v>227</v>
      </c>
      <c r="C453" s="354" t="s">
        <v>712</v>
      </c>
      <c r="D453" s="133" t="s">
        <v>713</v>
      </c>
      <c r="E453" s="145" t="s">
        <v>714</v>
      </c>
      <c r="F453" s="154">
        <v>9404434273</v>
      </c>
      <c r="G453" s="154" t="s">
        <v>715</v>
      </c>
      <c r="H453" s="139" t="s">
        <v>354</v>
      </c>
      <c r="I453" s="133" t="s">
        <v>10</v>
      </c>
      <c r="J453" s="133" t="s">
        <v>716</v>
      </c>
      <c r="K453" s="133"/>
      <c r="L453" s="180"/>
      <c r="M453" s="146" t="s">
        <v>110</v>
      </c>
      <c r="N453" s="146" t="s">
        <v>2414</v>
      </c>
      <c r="O453" s="139">
        <v>11</v>
      </c>
      <c r="P453" s="139"/>
      <c r="Q453" s="133" t="s">
        <v>176</v>
      </c>
      <c r="R453" s="139"/>
      <c r="S453" s="133" t="s">
        <v>2415</v>
      </c>
      <c r="T453" s="133"/>
      <c r="U453" s="133"/>
      <c r="V453" s="133"/>
      <c r="W453" s="133" t="s">
        <v>513</v>
      </c>
      <c r="X453" s="133"/>
    </row>
    <row r="454" spans="1:24" s="161" customFormat="1" ht="76.5">
      <c r="A454" s="139">
        <v>458</v>
      </c>
      <c r="B454" s="139" t="s">
        <v>227</v>
      </c>
      <c r="C454" s="133" t="s">
        <v>2416</v>
      </c>
      <c r="D454" s="133" t="s">
        <v>600</v>
      </c>
      <c r="E454" s="145" t="s">
        <v>601</v>
      </c>
      <c r="F454" s="154">
        <v>7880109346</v>
      </c>
      <c r="G454" s="154" t="s">
        <v>602</v>
      </c>
      <c r="H454" s="139" t="s">
        <v>603</v>
      </c>
      <c r="I454" s="133" t="s">
        <v>10</v>
      </c>
      <c r="J454" s="133" t="s">
        <v>445</v>
      </c>
      <c r="K454" s="133" t="s">
        <v>2314</v>
      </c>
      <c r="L454" s="180" t="s">
        <v>446</v>
      </c>
      <c r="M454" s="146" t="s">
        <v>2417</v>
      </c>
      <c r="N454" s="146">
        <v>46661</v>
      </c>
      <c r="O454" s="139">
        <v>11</v>
      </c>
      <c r="P454" s="139"/>
      <c r="Q454" s="133" t="s">
        <v>195</v>
      </c>
      <c r="R454" s="139"/>
      <c r="S454" s="133" t="s">
        <v>2418</v>
      </c>
      <c r="T454" s="133"/>
      <c r="U454" s="133">
        <v>100</v>
      </c>
      <c r="V454" s="133"/>
      <c r="W454" s="133" t="s">
        <v>243</v>
      </c>
      <c r="X454" s="133"/>
    </row>
    <row r="455" spans="1:24" s="161" customFormat="1" ht="91.5">
      <c r="A455" s="133">
        <v>459</v>
      </c>
      <c r="B455" s="139" t="s">
        <v>227</v>
      </c>
      <c r="C455" s="139" t="s">
        <v>825</v>
      </c>
      <c r="D455" s="133" t="s">
        <v>826</v>
      </c>
      <c r="E455" s="145" t="s">
        <v>827</v>
      </c>
      <c r="F455" s="154">
        <v>9844551425</v>
      </c>
      <c r="G455" s="154" t="s">
        <v>828</v>
      </c>
      <c r="H455" s="139" t="s">
        <v>416</v>
      </c>
      <c r="I455" s="133" t="s">
        <v>10</v>
      </c>
      <c r="J455" s="133" t="s">
        <v>445</v>
      </c>
      <c r="K455" s="133"/>
      <c r="L455" s="180"/>
      <c r="M455" s="146">
        <v>46359</v>
      </c>
      <c r="N455" s="146">
        <v>46693</v>
      </c>
      <c r="O455" s="139">
        <v>11</v>
      </c>
      <c r="P455" s="139"/>
      <c r="Q455" s="133" t="s">
        <v>195</v>
      </c>
      <c r="R455" s="139"/>
      <c r="S455" s="133" t="s">
        <v>2419</v>
      </c>
      <c r="T455" s="133"/>
      <c r="U455" s="133"/>
      <c r="V455" s="133"/>
      <c r="W455" s="133" t="s">
        <v>513</v>
      </c>
      <c r="X455" s="133" t="s">
        <v>513</v>
      </c>
    </row>
    <row r="456" spans="1:24" s="161" customFormat="1" ht="76.5">
      <c r="A456" s="133">
        <v>460</v>
      </c>
      <c r="B456" s="139" t="s">
        <v>227</v>
      </c>
      <c r="C456" s="139" t="s">
        <v>937</v>
      </c>
      <c r="D456" s="133" t="s">
        <v>938</v>
      </c>
      <c r="E456" s="145" t="s">
        <v>939</v>
      </c>
      <c r="F456" s="154">
        <v>9871378811</v>
      </c>
      <c r="G456" s="154" t="s">
        <v>940</v>
      </c>
      <c r="H456" s="139" t="s">
        <v>194</v>
      </c>
      <c r="I456" s="133"/>
      <c r="J456" s="133" t="s">
        <v>445</v>
      </c>
      <c r="K456" s="133"/>
      <c r="L456" s="180"/>
      <c r="M456" s="146" t="s">
        <v>2408</v>
      </c>
      <c r="N456" s="146" t="s">
        <v>2409</v>
      </c>
      <c r="O456" s="139">
        <v>11</v>
      </c>
      <c r="P456" s="139"/>
      <c r="Q456" s="133" t="s">
        <v>195</v>
      </c>
      <c r="R456" s="139"/>
      <c r="S456" s="133" t="s">
        <v>2420</v>
      </c>
      <c r="T456" s="133"/>
      <c r="U456" s="133"/>
      <c r="V456" s="133"/>
      <c r="W456" s="133" t="s">
        <v>513</v>
      </c>
      <c r="X456" s="133" t="s">
        <v>513</v>
      </c>
    </row>
    <row r="457" spans="1:24" s="161" customFormat="1" ht="76.5">
      <c r="A457" s="139">
        <v>461</v>
      </c>
      <c r="B457" s="139" t="s">
        <v>227</v>
      </c>
      <c r="C457" s="139" t="s">
        <v>1050</v>
      </c>
      <c r="D457" s="133" t="s">
        <v>1051</v>
      </c>
      <c r="E457" s="145" t="s">
        <v>1052</v>
      </c>
      <c r="F457" s="154">
        <v>9916160356</v>
      </c>
      <c r="G457" s="154" t="s">
        <v>1053</v>
      </c>
      <c r="H457" s="139" t="s">
        <v>416</v>
      </c>
      <c r="I457" s="133"/>
      <c r="J457" s="133"/>
      <c r="K457" s="133"/>
      <c r="L457" s="180"/>
      <c r="M457" s="146">
        <v>46146</v>
      </c>
      <c r="N457" s="146">
        <v>46480</v>
      </c>
      <c r="O457" s="139">
        <v>11</v>
      </c>
      <c r="P457" s="139"/>
      <c r="Q457" s="133" t="s">
        <v>176</v>
      </c>
      <c r="R457" s="139"/>
      <c r="S457" s="133" t="s">
        <v>2421</v>
      </c>
      <c r="T457" s="133"/>
      <c r="U457" s="133"/>
      <c r="V457" s="133"/>
      <c r="W457" s="133" t="s">
        <v>513</v>
      </c>
      <c r="X457" s="133" t="s">
        <v>513</v>
      </c>
    </row>
    <row r="458" spans="1:24" s="161" customFormat="1" ht="76.5">
      <c r="A458" s="139">
        <v>462</v>
      </c>
      <c r="B458" s="139" t="s">
        <v>227</v>
      </c>
      <c r="C458" s="139" t="s">
        <v>374</v>
      </c>
      <c r="D458" s="133" t="s">
        <v>2422</v>
      </c>
      <c r="E458" s="145" t="s">
        <v>2423</v>
      </c>
      <c r="F458" s="141">
        <v>9769768196</v>
      </c>
      <c r="G458" s="141" t="s">
        <v>2424</v>
      </c>
      <c r="H458" s="139"/>
      <c r="I458" s="143"/>
      <c r="J458" s="133"/>
      <c r="K458" s="133"/>
      <c r="L458" s="139"/>
      <c r="M458" s="141" t="s">
        <v>2425</v>
      </c>
      <c r="N458" s="141" t="s">
        <v>2426</v>
      </c>
      <c r="O458" s="139">
        <v>11</v>
      </c>
      <c r="P458" s="139"/>
      <c r="Q458" s="133" t="s">
        <v>195</v>
      </c>
      <c r="S458" s="133" t="s">
        <v>2427</v>
      </c>
      <c r="T458" s="133"/>
      <c r="U458" s="139"/>
      <c r="V458" s="139"/>
      <c r="W458" s="224"/>
    </row>
    <row r="459" spans="1:24" s="161" customFormat="1" ht="76.5">
      <c r="A459" s="139">
        <v>463</v>
      </c>
      <c r="B459" s="139" t="s">
        <v>227</v>
      </c>
      <c r="C459" s="139" t="s">
        <v>374</v>
      </c>
      <c r="D459" s="133" t="s">
        <v>2428</v>
      </c>
      <c r="E459" s="145" t="s">
        <v>2423</v>
      </c>
      <c r="F459" s="141">
        <v>9769768196</v>
      </c>
      <c r="G459" s="141" t="s">
        <v>2429</v>
      </c>
      <c r="H459" s="139"/>
      <c r="I459" s="143"/>
      <c r="J459" s="133"/>
      <c r="K459" s="133"/>
      <c r="L459" s="139"/>
      <c r="M459" s="141" t="s">
        <v>2425</v>
      </c>
      <c r="N459" s="141" t="s">
        <v>2426</v>
      </c>
      <c r="O459" s="139">
        <v>11</v>
      </c>
      <c r="P459" s="139"/>
      <c r="Q459" s="133" t="s">
        <v>195</v>
      </c>
      <c r="S459" s="133" t="s">
        <v>2430</v>
      </c>
      <c r="T459" s="133"/>
      <c r="U459" s="139"/>
      <c r="V459" s="139"/>
      <c r="W459" s="224"/>
    </row>
    <row r="460" spans="1:24" s="161" customFormat="1" ht="76.5">
      <c r="A460" s="139">
        <v>464</v>
      </c>
      <c r="B460" s="139" t="s">
        <v>227</v>
      </c>
      <c r="C460" s="139" t="s">
        <v>374</v>
      </c>
      <c r="D460" s="133" t="s">
        <v>2431</v>
      </c>
      <c r="E460" s="145" t="s">
        <v>2423</v>
      </c>
      <c r="F460" s="141">
        <v>9769768196</v>
      </c>
      <c r="G460" s="141" t="s">
        <v>2432</v>
      </c>
      <c r="H460" s="139"/>
      <c r="I460" s="143"/>
      <c r="J460" s="133"/>
      <c r="K460" s="133"/>
      <c r="L460" s="139"/>
      <c r="M460" s="141" t="s">
        <v>2425</v>
      </c>
      <c r="N460" s="141" t="s">
        <v>2426</v>
      </c>
      <c r="O460" s="139">
        <v>11</v>
      </c>
      <c r="P460" s="139"/>
      <c r="Q460" s="133" t="s">
        <v>195</v>
      </c>
      <c r="S460" s="133" t="s">
        <v>2433</v>
      </c>
      <c r="T460" s="133"/>
      <c r="U460" s="139"/>
      <c r="V460" s="139"/>
      <c r="W460" s="224"/>
    </row>
    <row r="461" spans="1:24" s="161" customFormat="1" ht="76.5">
      <c r="A461" s="133">
        <v>465</v>
      </c>
      <c r="B461" s="139" t="s">
        <v>227</v>
      </c>
      <c r="C461" s="139" t="s">
        <v>1036</v>
      </c>
      <c r="D461" s="133" t="s">
        <v>1037</v>
      </c>
      <c r="E461" s="145" t="s">
        <v>1038</v>
      </c>
      <c r="F461" s="154">
        <v>9035611551</v>
      </c>
      <c r="G461" s="154" t="s">
        <v>1039</v>
      </c>
      <c r="H461" s="139" t="s">
        <v>416</v>
      </c>
      <c r="I461" s="133"/>
      <c r="J461" s="133" t="s">
        <v>417</v>
      </c>
      <c r="K461" s="133"/>
      <c r="L461" s="180"/>
      <c r="M461" s="146">
        <v>46057</v>
      </c>
      <c r="N461" s="146">
        <v>46390</v>
      </c>
      <c r="O461" s="139">
        <v>11</v>
      </c>
      <c r="P461" s="139"/>
      <c r="Q461" s="133" t="s">
        <v>195</v>
      </c>
      <c r="R461" s="139"/>
      <c r="S461" s="133" t="s">
        <v>2434</v>
      </c>
      <c r="T461" s="133"/>
      <c r="U461" s="133"/>
      <c r="V461" s="133"/>
      <c r="W461" s="133" t="s">
        <v>243</v>
      </c>
      <c r="X461" s="133" t="s">
        <v>243</v>
      </c>
    </row>
    <row r="462" spans="1:24" s="161" customFormat="1" ht="91.5">
      <c r="A462" s="139">
        <v>466</v>
      </c>
      <c r="B462" s="139" t="s">
        <v>227</v>
      </c>
      <c r="C462" s="139" t="s">
        <v>1006</v>
      </c>
      <c r="D462" s="133" t="s">
        <v>1007</v>
      </c>
      <c r="E462" s="145" t="s">
        <v>1008</v>
      </c>
      <c r="F462" s="154">
        <v>9874648005</v>
      </c>
      <c r="G462" s="154" t="s">
        <v>1009</v>
      </c>
      <c r="H462" s="139" t="s">
        <v>290</v>
      </c>
      <c r="I462" s="133"/>
      <c r="J462" s="133" t="s">
        <v>417</v>
      </c>
      <c r="K462" s="133"/>
      <c r="L462" s="180"/>
      <c r="M462" s="146">
        <v>46057</v>
      </c>
      <c r="N462" s="146">
        <v>46390</v>
      </c>
      <c r="O462" s="139">
        <v>11</v>
      </c>
      <c r="P462" s="139"/>
      <c r="Q462" s="133" t="s">
        <v>195</v>
      </c>
      <c r="R462" s="139"/>
      <c r="S462" s="133" t="s">
        <v>2435</v>
      </c>
      <c r="T462" s="133"/>
      <c r="U462" s="133"/>
      <c r="V462" s="133" t="s">
        <v>513</v>
      </c>
      <c r="W462" s="133" t="s">
        <v>513</v>
      </c>
      <c r="X462" s="133"/>
    </row>
    <row r="463" spans="1:24" s="161" customFormat="1" ht="76.5">
      <c r="A463" s="133">
        <v>467</v>
      </c>
      <c r="B463" s="139" t="s">
        <v>227</v>
      </c>
      <c r="C463" s="133" t="s">
        <v>1041</v>
      </c>
      <c r="D463" s="133" t="s">
        <v>1042</v>
      </c>
      <c r="E463" s="145" t="s">
        <v>1043</v>
      </c>
      <c r="F463" s="154">
        <v>9899596666</v>
      </c>
      <c r="G463" s="154" t="s">
        <v>1044</v>
      </c>
      <c r="H463" s="139" t="s">
        <v>194</v>
      </c>
      <c r="I463" s="133"/>
      <c r="J463" s="133" t="s">
        <v>417</v>
      </c>
      <c r="K463" s="133"/>
      <c r="L463" s="180"/>
      <c r="M463" s="146">
        <v>46057</v>
      </c>
      <c r="N463" s="146">
        <v>46390</v>
      </c>
      <c r="O463" s="139">
        <v>11</v>
      </c>
      <c r="P463" s="139"/>
      <c r="Q463" s="133" t="s">
        <v>195</v>
      </c>
      <c r="R463" s="139"/>
      <c r="S463" s="133" t="s">
        <v>2436</v>
      </c>
      <c r="T463" s="133"/>
      <c r="U463" s="133"/>
      <c r="V463" s="133"/>
      <c r="W463" s="133" t="s">
        <v>513</v>
      </c>
      <c r="X463" s="133" t="s">
        <v>513</v>
      </c>
    </row>
    <row r="464" spans="1:24" s="161" customFormat="1" ht="106.5">
      <c r="A464" s="133">
        <v>468</v>
      </c>
      <c r="B464" s="139" t="s">
        <v>227</v>
      </c>
      <c r="C464" s="139" t="s">
        <v>402</v>
      </c>
      <c r="D464" s="133" t="s">
        <v>403</v>
      </c>
      <c r="E464" s="145" t="s">
        <v>404</v>
      </c>
      <c r="F464" s="141">
        <v>9820077161</v>
      </c>
      <c r="G464" s="141" t="s">
        <v>405</v>
      </c>
      <c r="H464" s="139" t="s">
        <v>354</v>
      </c>
      <c r="I464" s="133" t="s">
        <v>10</v>
      </c>
      <c r="J464" s="133" t="s">
        <v>173</v>
      </c>
      <c r="K464" s="133" t="s">
        <v>2314</v>
      </c>
      <c r="L464" s="180" t="s">
        <v>175</v>
      </c>
      <c r="M464" s="146" t="s">
        <v>2437</v>
      </c>
      <c r="N464" s="146" t="s">
        <v>2438</v>
      </c>
      <c r="O464" s="139">
        <v>11</v>
      </c>
      <c r="P464" s="139"/>
      <c r="Q464" s="133" t="s">
        <v>195</v>
      </c>
      <c r="R464" s="139" t="s">
        <v>177</v>
      </c>
      <c r="S464" s="133" t="s">
        <v>2439</v>
      </c>
      <c r="T464" s="133"/>
      <c r="U464" s="133">
        <v>100</v>
      </c>
      <c r="V464" s="133"/>
      <c r="W464" s="133" t="s">
        <v>188</v>
      </c>
      <c r="X464" s="133" t="s">
        <v>188</v>
      </c>
    </row>
    <row r="465" spans="1:30" s="161" customFormat="1" ht="60.75">
      <c r="A465" s="139">
        <v>469</v>
      </c>
      <c r="B465" s="139" t="s">
        <v>227</v>
      </c>
      <c r="C465" s="139" t="s">
        <v>1070</v>
      </c>
      <c r="D465" s="133" t="s">
        <v>1071</v>
      </c>
      <c r="E465" s="145" t="s">
        <v>1072</v>
      </c>
      <c r="F465" s="154">
        <v>7568273455</v>
      </c>
      <c r="G465" s="154" t="s">
        <v>1073</v>
      </c>
      <c r="H465" s="139" t="s">
        <v>444</v>
      </c>
      <c r="I465" s="133"/>
      <c r="J465" s="133" t="s">
        <v>1064</v>
      </c>
      <c r="K465" s="133"/>
      <c r="L465" s="180"/>
      <c r="M465" s="146">
        <v>46177</v>
      </c>
      <c r="N465" s="146">
        <v>46510</v>
      </c>
      <c r="O465" s="139">
        <v>11</v>
      </c>
      <c r="P465" s="139"/>
      <c r="Q465" s="133" t="s">
        <v>195</v>
      </c>
      <c r="R465" s="139"/>
      <c r="S465" s="133" t="s">
        <v>2440</v>
      </c>
      <c r="T465" s="133"/>
      <c r="U465" s="133"/>
      <c r="V465" s="133" t="s">
        <v>243</v>
      </c>
      <c r="W465" s="133" t="s">
        <v>243</v>
      </c>
      <c r="X465" s="133"/>
    </row>
    <row r="466" spans="1:30" s="161" customFormat="1" ht="60.75">
      <c r="A466" s="139">
        <v>470</v>
      </c>
      <c r="B466" s="139" t="s">
        <v>227</v>
      </c>
      <c r="C466" s="139" t="s">
        <v>2441</v>
      </c>
      <c r="D466" s="133" t="s">
        <v>2442</v>
      </c>
      <c r="E466" s="145" t="s">
        <v>2443</v>
      </c>
      <c r="F466" s="141">
        <v>9980109833</v>
      </c>
      <c r="G466" s="141" t="s">
        <v>2444</v>
      </c>
      <c r="H466" s="139"/>
      <c r="I466" s="143"/>
      <c r="J466" s="133"/>
      <c r="K466" s="133"/>
      <c r="L466" s="139"/>
      <c r="M466" s="146">
        <v>46177</v>
      </c>
      <c r="N466" s="146">
        <v>46510</v>
      </c>
      <c r="O466" s="139">
        <v>11</v>
      </c>
      <c r="P466" s="139"/>
      <c r="Q466" s="133" t="s">
        <v>176</v>
      </c>
      <c r="S466" s="133" t="s">
        <v>2445</v>
      </c>
      <c r="T466" s="133"/>
      <c r="U466" s="139"/>
      <c r="V466" s="139"/>
      <c r="W466" s="224"/>
    </row>
    <row r="467" spans="1:30" s="161" customFormat="1" ht="91.5">
      <c r="A467" s="139">
        <v>471</v>
      </c>
      <c r="B467" s="139" t="s">
        <v>227</v>
      </c>
      <c r="C467" s="139" t="s">
        <v>1143</v>
      </c>
      <c r="D467" s="133" t="s">
        <v>1144</v>
      </c>
      <c r="E467" s="145" t="s">
        <v>1145</v>
      </c>
      <c r="F467" s="154">
        <v>9321566606</v>
      </c>
      <c r="G467" s="154" t="s">
        <v>1146</v>
      </c>
      <c r="H467" s="139" t="s">
        <v>354</v>
      </c>
      <c r="I467" s="133"/>
      <c r="J467" s="133" t="s">
        <v>1064</v>
      </c>
      <c r="K467" s="133"/>
      <c r="L467" s="180"/>
      <c r="M467" s="146" t="s">
        <v>2446</v>
      </c>
      <c r="N467" s="146" t="s">
        <v>2447</v>
      </c>
      <c r="O467" s="139">
        <v>11</v>
      </c>
      <c r="P467" s="139"/>
      <c r="Q467" s="133" t="s">
        <v>195</v>
      </c>
      <c r="R467" s="139"/>
      <c r="S467" s="133" t="s">
        <v>2448</v>
      </c>
      <c r="T467" s="133"/>
      <c r="U467" s="133"/>
      <c r="V467" s="133" t="s">
        <v>243</v>
      </c>
      <c r="W467" s="133" t="s">
        <v>243</v>
      </c>
      <c r="X467" s="133"/>
    </row>
    <row r="468" spans="1:30" s="161" customFormat="1" ht="76.5">
      <c r="A468" s="139">
        <v>472</v>
      </c>
      <c r="B468" s="139" t="s">
        <v>227</v>
      </c>
      <c r="C468" s="139" t="s">
        <v>801</v>
      </c>
      <c r="D468" s="133" t="s">
        <v>802</v>
      </c>
      <c r="E468" s="145" t="s">
        <v>803</v>
      </c>
      <c r="F468" s="154">
        <v>9716780048</v>
      </c>
      <c r="G468" s="154" t="s">
        <v>804</v>
      </c>
      <c r="H468" s="139" t="s">
        <v>241</v>
      </c>
      <c r="I468" s="133" t="s">
        <v>10</v>
      </c>
      <c r="J468" s="133" t="s">
        <v>445</v>
      </c>
      <c r="K468" s="133"/>
      <c r="L468" s="180"/>
      <c r="M468" s="146">
        <v>46237</v>
      </c>
      <c r="N468" s="146">
        <v>46205</v>
      </c>
      <c r="O468" s="139">
        <v>11</v>
      </c>
      <c r="P468" s="139"/>
      <c r="Q468" s="133" t="s">
        <v>195</v>
      </c>
      <c r="R468" s="139"/>
      <c r="S468" s="133" t="s">
        <v>2449</v>
      </c>
      <c r="T468" s="133"/>
      <c r="U468" s="133"/>
      <c r="V468" s="133" t="s">
        <v>513</v>
      </c>
      <c r="W468" s="133" t="s">
        <v>513</v>
      </c>
      <c r="X468" s="133"/>
    </row>
    <row r="469" spans="1:30" s="161" customFormat="1" ht="106.5">
      <c r="A469" s="139">
        <v>473</v>
      </c>
      <c r="B469" s="139" t="s">
        <v>227</v>
      </c>
      <c r="C469" s="139" t="s">
        <v>692</v>
      </c>
      <c r="D469" s="133" t="s">
        <v>693</v>
      </c>
      <c r="E469" s="145" t="s">
        <v>694</v>
      </c>
      <c r="F469" s="154">
        <v>9321618824</v>
      </c>
      <c r="G469" s="154" t="s">
        <v>695</v>
      </c>
      <c r="H469" s="139" t="s">
        <v>696</v>
      </c>
      <c r="I469" s="133" t="s">
        <v>10</v>
      </c>
      <c r="J469" s="133" t="s">
        <v>417</v>
      </c>
      <c r="K469" s="133"/>
      <c r="L469" s="180"/>
      <c r="M469" s="146" t="s">
        <v>2408</v>
      </c>
      <c r="N469" s="146" t="s">
        <v>2409</v>
      </c>
      <c r="O469" s="139">
        <v>11</v>
      </c>
      <c r="P469" s="139"/>
      <c r="Q469" s="133" t="s">
        <v>195</v>
      </c>
      <c r="R469" s="139"/>
      <c r="S469" s="133" t="s">
        <v>2450</v>
      </c>
      <c r="T469" s="133"/>
      <c r="U469" s="133">
        <v>100</v>
      </c>
      <c r="V469" s="133" t="s">
        <v>513</v>
      </c>
      <c r="W469" s="133" t="s">
        <v>513</v>
      </c>
      <c r="X469" s="133"/>
    </row>
    <row r="470" spans="1:30" s="161" customFormat="1" ht="45.75">
      <c r="A470" s="139">
        <v>474</v>
      </c>
      <c r="B470" s="139" t="s">
        <v>227</v>
      </c>
      <c r="C470" s="133" t="s">
        <v>2451</v>
      </c>
      <c r="D470" s="133" t="s">
        <v>2452</v>
      </c>
      <c r="E470" s="145"/>
      <c r="F470" s="141"/>
      <c r="G470" s="141"/>
      <c r="H470" s="139"/>
      <c r="I470" s="143"/>
      <c r="J470" s="133"/>
      <c r="K470" s="133"/>
      <c r="L470" s="139"/>
      <c r="M470" s="146">
        <v>46238</v>
      </c>
      <c r="N470" s="146">
        <v>46571</v>
      </c>
      <c r="O470" s="139">
        <v>11</v>
      </c>
      <c r="P470" s="139"/>
      <c r="Q470" s="133" t="s">
        <v>195</v>
      </c>
      <c r="S470" s="133" t="s">
        <v>2453</v>
      </c>
      <c r="T470" s="133"/>
      <c r="U470" s="139"/>
      <c r="V470" s="139"/>
      <c r="W470" s="224"/>
    </row>
    <row r="471" spans="1:30" s="161" customFormat="1" ht="91.5">
      <c r="A471" s="139">
        <v>475</v>
      </c>
      <c r="B471" s="139" t="s">
        <v>227</v>
      </c>
      <c r="C471" s="139" t="s">
        <v>280</v>
      </c>
      <c r="D471" s="133" t="s">
        <v>281</v>
      </c>
      <c r="E471" s="145" t="s">
        <v>282</v>
      </c>
      <c r="F471" s="141">
        <v>9582249765</v>
      </c>
      <c r="G471" s="141" t="s">
        <v>283</v>
      </c>
      <c r="H471" s="133" t="s">
        <v>241</v>
      </c>
      <c r="I471" s="133" t="s">
        <v>10</v>
      </c>
      <c r="J471" s="133" t="s">
        <v>173</v>
      </c>
      <c r="K471" s="133" t="s">
        <v>2314</v>
      </c>
      <c r="L471" s="180" t="s">
        <v>175</v>
      </c>
      <c r="M471" s="146">
        <v>45911</v>
      </c>
      <c r="N471" s="146">
        <v>46244</v>
      </c>
      <c r="O471" s="139">
        <v>11</v>
      </c>
      <c r="P471" s="139"/>
      <c r="Q471" s="133" t="s">
        <v>195</v>
      </c>
      <c r="R471" s="139" t="s">
        <v>177</v>
      </c>
      <c r="S471" s="133" t="s">
        <v>2454</v>
      </c>
      <c r="T471" s="133"/>
      <c r="U471" s="133" t="s">
        <v>285</v>
      </c>
      <c r="V471" s="133"/>
      <c r="W471" s="133" t="s">
        <v>188</v>
      </c>
      <c r="X471" s="133"/>
    </row>
    <row r="472" spans="1:30" s="161" customFormat="1" ht="76.5">
      <c r="A472" s="139">
        <v>476</v>
      </c>
      <c r="B472" s="139" t="s">
        <v>227</v>
      </c>
      <c r="C472" s="133" t="s">
        <v>2455</v>
      </c>
      <c r="D472" s="133" t="s">
        <v>2456</v>
      </c>
      <c r="E472" s="145" t="s">
        <v>2457</v>
      </c>
      <c r="F472" s="141">
        <v>9582829090</v>
      </c>
      <c r="G472" s="141" t="s">
        <v>2458</v>
      </c>
      <c r="H472" s="139"/>
      <c r="I472" s="143"/>
      <c r="J472" s="133"/>
      <c r="K472" s="133"/>
      <c r="L472" s="139"/>
      <c r="M472" s="146">
        <v>46269</v>
      </c>
      <c r="N472" s="146">
        <v>46602</v>
      </c>
      <c r="O472" s="139">
        <v>11</v>
      </c>
      <c r="P472" s="139"/>
      <c r="Q472" s="133" t="s">
        <v>176</v>
      </c>
      <c r="S472" s="133" t="s">
        <v>2459</v>
      </c>
      <c r="T472" s="133"/>
      <c r="U472" s="139"/>
      <c r="V472" s="139"/>
      <c r="W472" s="224"/>
    </row>
    <row r="473" spans="1:30" s="161" customFormat="1" ht="60.75">
      <c r="A473" s="139">
        <v>477</v>
      </c>
      <c r="B473" s="139" t="s">
        <v>227</v>
      </c>
      <c r="C473" s="139" t="s">
        <v>984</v>
      </c>
      <c r="D473" s="133" t="s">
        <v>985</v>
      </c>
      <c r="E473" s="145" t="s">
        <v>986</v>
      </c>
      <c r="F473" s="154" t="s">
        <v>987</v>
      </c>
      <c r="G473" s="154" t="s">
        <v>988</v>
      </c>
      <c r="H473" s="139" t="s">
        <v>388</v>
      </c>
      <c r="I473" s="133"/>
      <c r="J473" s="133" t="s">
        <v>794</v>
      </c>
      <c r="K473" s="133"/>
      <c r="L473" s="180"/>
      <c r="M473" s="146" t="s">
        <v>2460</v>
      </c>
      <c r="N473" s="146">
        <v>46724</v>
      </c>
      <c r="O473" s="139">
        <v>11</v>
      </c>
      <c r="P473" s="139"/>
      <c r="Q473" s="133" t="s">
        <v>176</v>
      </c>
      <c r="R473" s="139"/>
      <c r="S473" s="133" t="s">
        <v>2461</v>
      </c>
      <c r="T473" s="133"/>
      <c r="U473" s="133"/>
      <c r="V473" s="133"/>
      <c r="W473" s="133" t="s">
        <v>513</v>
      </c>
      <c r="X473" s="133"/>
    </row>
    <row r="474" spans="1:30" s="161" customFormat="1" ht="60.75">
      <c r="A474" s="139">
        <v>478</v>
      </c>
      <c r="B474" s="139" t="s">
        <v>227</v>
      </c>
      <c r="C474" s="139" t="s">
        <v>251</v>
      </c>
      <c r="D474" s="133" t="s">
        <v>252</v>
      </c>
      <c r="E474" s="137" t="s">
        <v>253</v>
      </c>
      <c r="F474" s="141">
        <v>8544322071</v>
      </c>
      <c r="G474" s="141" t="s">
        <v>254</v>
      </c>
      <c r="H474" s="139" t="s">
        <v>172</v>
      </c>
      <c r="I474" s="133" t="s">
        <v>10</v>
      </c>
      <c r="J474" s="133" t="s">
        <v>233</v>
      </c>
      <c r="K474" s="133" t="s">
        <v>2314</v>
      </c>
      <c r="L474" s="180" t="s">
        <v>234</v>
      </c>
      <c r="M474" s="142">
        <v>45758</v>
      </c>
      <c r="N474" s="142">
        <v>46092</v>
      </c>
      <c r="O474" s="139">
        <v>12</v>
      </c>
      <c r="P474" s="139"/>
      <c r="Q474" s="133" t="s">
        <v>176</v>
      </c>
      <c r="R474" s="139" t="s">
        <v>177</v>
      </c>
      <c r="S474" s="133" t="s">
        <v>2462</v>
      </c>
      <c r="T474" s="133"/>
      <c r="U474" s="133" t="s">
        <v>256</v>
      </c>
      <c r="V474" s="133"/>
      <c r="W474" s="133" t="s">
        <v>188</v>
      </c>
      <c r="X474" s="133"/>
      <c r="Y474" s="141"/>
      <c r="Z474" s="141"/>
      <c r="AA474" s="141"/>
      <c r="AB474" s="141"/>
      <c r="AC474" s="141"/>
      <c r="AD474" s="141"/>
    </row>
    <row r="475" spans="1:30" s="161" customFormat="1" ht="60.75">
      <c r="A475" s="139">
        <v>479</v>
      </c>
      <c r="B475" s="139" t="s">
        <v>227</v>
      </c>
      <c r="C475" s="133" t="s">
        <v>2463</v>
      </c>
      <c r="D475" s="133" t="s">
        <v>2464</v>
      </c>
      <c r="E475" s="145" t="s">
        <v>2465</v>
      </c>
      <c r="F475" s="141">
        <v>9819898662</v>
      </c>
      <c r="G475" s="141" t="s">
        <v>2466</v>
      </c>
      <c r="H475" s="139"/>
      <c r="I475" s="143"/>
      <c r="J475" s="133"/>
      <c r="K475" s="133"/>
      <c r="L475" s="139"/>
      <c r="M475" s="141" t="s">
        <v>2460</v>
      </c>
      <c r="N475" s="146">
        <v>46724</v>
      </c>
      <c r="O475" s="139">
        <v>11</v>
      </c>
      <c r="P475" s="139"/>
      <c r="Q475" s="133" t="s">
        <v>195</v>
      </c>
      <c r="S475" s="133" t="s">
        <v>2467</v>
      </c>
      <c r="T475" s="133"/>
      <c r="U475" s="139"/>
      <c r="V475" s="139"/>
      <c r="W475" s="224"/>
    </row>
    <row r="476" spans="1:30" s="161" customFormat="1" ht="91.5">
      <c r="A476" s="139">
        <v>480</v>
      </c>
      <c r="B476" s="139" t="s">
        <v>227</v>
      </c>
      <c r="C476" s="133" t="s">
        <v>1080</v>
      </c>
      <c r="D476" s="133" t="s">
        <v>1081</v>
      </c>
      <c r="E476" s="145" t="s">
        <v>1082</v>
      </c>
      <c r="F476" s="154">
        <v>9368002158</v>
      </c>
      <c r="G476" s="154" t="s">
        <v>1083</v>
      </c>
      <c r="H476" s="139" t="s">
        <v>690</v>
      </c>
      <c r="I476" s="133"/>
      <c r="J476" s="133" t="s">
        <v>445</v>
      </c>
      <c r="K476" s="133"/>
      <c r="L476" s="180"/>
      <c r="M476" s="146">
        <v>46238</v>
      </c>
      <c r="N476" s="146">
        <v>46571</v>
      </c>
      <c r="O476" s="139">
        <v>11</v>
      </c>
      <c r="P476" s="139"/>
      <c r="Q476" s="133" t="s">
        <v>195</v>
      </c>
      <c r="R476" s="139"/>
      <c r="S476" s="133" t="s">
        <v>2468</v>
      </c>
      <c r="T476" s="133"/>
      <c r="U476" s="133"/>
      <c r="V476" s="133" t="s">
        <v>243</v>
      </c>
      <c r="W476" s="133" t="s">
        <v>243</v>
      </c>
      <c r="X476" s="133"/>
    </row>
    <row r="477" spans="1:30" s="161" customFormat="1" ht="76.5">
      <c r="A477" s="139">
        <v>481</v>
      </c>
      <c r="B477" s="139" t="s">
        <v>227</v>
      </c>
      <c r="C477" s="139" t="s">
        <v>624</v>
      </c>
      <c r="D477" s="133" t="s">
        <v>625</v>
      </c>
      <c r="E477" s="145" t="s">
        <v>626</v>
      </c>
      <c r="F477" s="154">
        <v>9810595436</v>
      </c>
      <c r="G477" s="154" t="s">
        <v>627</v>
      </c>
      <c r="H477" s="139" t="s">
        <v>194</v>
      </c>
      <c r="I477" s="133" t="s">
        <v>10</v>
      </c>
      <c r="J477" s="133" t="s">
        <v>445</v>
      </c>
      <c r="K477" s="133" t="s">
        <v>2314</v>
      </c>
      <c r="L477" s="180" t="s">
        <v>446</v>
      </c>
      <c r="M477" s="146" t="s">
        <v>2469</v>
      </c>
      <c r="N477" s="146" t="s">
        <v>2470</v>
      </c>
      <c r="O477" s="139">
        <v>11</v>
      </c>
      <c r="P477" s="139"/>
      <c r="Q477" s="133" t="s">
        <v>195</v>
      </c>
      <c r="R477" s="139"/>
      <c r="S477" s="133" t="s">
        <v>2471</v>
      </c>
      <c r="T477" s="133"/>
      <c r="U477" s="133">
        <v>100</v>
      </c>
      <c r="V477" s="133"/>
      <c r="W477" s="133" t="s">
        <v>243</v>
      </c>
      <c r="X477" s="133"/>
    </row>
    <row r="478" spans="1:30" s="161" customFormat="1" ht="76.5">
      <c r="A478" s="139">
        <v>482</v>
      </c>
      <c r="B478" s="139" t="s">
        <v>227</v>
      </c>
      <c r="C478" s="133" t="s">
        <v>350</v>
      </c>
      <c r="D478" s="133" t="s">
        <v>351</v>
      </c>
      <c r="E478" s="145" t="s">
        <v>352</v>
      </c>
      <c r="F478" s="141">
        <v>8879193272</v>
      </c>
      <c r="G478" s="141" t="s">
        <v>353</v>
      </c>
      <c r="H478" s="139" t="s">
        <v>354</v>
      </c>
      <c r="I478" s="133" t="s">
        <v>10</v>
      </c>
      <c r="J478" s="133" t="s">
        <v>233</v>
      </c>
      <c r="K478" s="133" t="s">
        <v>2314</v>
      </c>
      <c r="L478" s="180" t="s">
        <v>234</v>
      </c>
      <c r="M478" s="146" t="s">
        <v>2472</v>
      </c>
      <c r="N478" s="146">
        <v>46367</v>
      </c>
      <c r="O478" s="139">
        <v>11</v>
      </c>
      <c r="P478" s="139"/>
      <c r="Q478" s="133" t="s">
        <v>195</v>
      </c>
      <c r="R478" s="139" t="s">
        <v>177</v>
      </c>
      <c r="S478" s="133" t="s">
        <v>2473</v>
      </c>
      <c r="T478" s="133"/>
      <c r="U478" s="133">
        <v>100</v>
      </c>
      <c r="V478" s="133"/>
      <c r="W478" s="133" t="s">
        <v>188</v>
      </c>
      <c r="X478" s="133"/>
      <c r="Y478" s="195"/>
    </row>
    <row r="479" spans="1:30" s="161" customFormat="1" ht="60.75">
      <c r="A479" s="139">
        <v>483</v>
      </c>
      <c r="B479" s="139" t="s">
        <v>639</v>
      </c>
      <c r="C479" s="139" t="s">
        <v>640</v>
      </c>
      <c r="D479" s="133" t="s">
        <v>641</v>
      </c>
      <c r="E479" s="145" t="s">
        <v>642</v>
      </c>
      <c r="F479" s="154">
        <v>9783777791</v>
      </c>
      <c r="G479" s="372" t="s">
        <v>643</v>
      </c>
      <c r="H479" s="139" t="s">
        <v>644</v>
      </c>
      <c r="I479" s="133" t="s">
        <v>10</v>
      </c>
      <c r="J479" s="133" t="s">
        <v>417</v>
      </c>
      <c r="K479" s="133"/>
      <c r="L479" s="180"/>
      <c r="M479" s="146" t="s">
        <v>2325</v>
      </c>
      <c r="N479" s="146" t="s">
        <v>2326</v>
      </c>
      <c r="O479" s="139">
        <v>11</v>
      </c>
      <c r="P479" s="139"/>
      <c r="Q479" s="133" t="s">
        <v>195</v>
      </c>
      <c r="R479" s="139"/>
      <c r="S479" s="133" t="s">
        <v>2474</v>
      </c>
      <c r="T479" s="133"/>
      <c r="U479" s="133">
        <v>100</v>
      </c>
      <c r="V479" s="133"/>
      <c r="W479" s="133" t="s">
        <v>513</v>
      </c>
      <c r="X479" s="133"/>
    </row>
    <row r="480" spans="1:30" s="161" customFormat="1" ht="60.75">
      <c r="A480" s="139">
        <v>484</v>
      </c>
      <c r="B480" s="139" t="s">
        <v>639</v>
      </c>
      <c r="C480" s="139" t="s">
        <v>2475</v>
      </c>
      <c r="D480" s="133" t="s">
        <v>2476</v>
      </c>
      <c r="E480" s="145" t="s">
        <v>2477</v>
      </c>
      <c r="F480" s="420">
        <v>9972282233</v>
      </c>
      <c r="G480" s="141" t="s">
        <v>2478</v>
      </c>
      <c r="H480" s="139"/>
      <c r="I480" s="143"/>
      <c r="J480" s="133"/>
      <c r="K480" s="133"/>
      <c r="L480" s="139"/>
      <c r="M480" s="141" t="s">
        <v>2479</v>
      </c>
      <c r="N480" s="141" t="s">
        <v>2480</v>
      </c>
      <c r="O480" s="139">
        <v>11</v>
      </c>
      <c r="P480" s="139"/>
      <c r="Q480" s="133" t="s">
        <v>176</v>
      </c>
      <c r="S480" s="133" t="s">
        <v>2481</v>
      </c>
      <c r="T480" s="133"/>
      <c r="U480" s="139"/>
      <c r="V480" s="139"/>
      <c r="W480" s="224"/>
    </row>
    <row r="481" spans="1:24" s="161" customFormat="1" ht="45.75">
      <c r="A481" s="139">
        <v>485</v>
      </c>
      <c r="B481" s="139" t="s">
        <v>639</v>
      </c>
      <c r="C481" s="133" t="s">
        <v>2482</v>
      </c>
      <c r="D481" s="133" t="s">
        <v>2483</v>
      </c>
      <c r="E481" s="145"/>
      <c r="F481" s="141"/>
      <c r="G481" s="141"/>
      <c r="H481" s="139"/>
      <c r="I481" s="143"/>
      <c r="J481" s="133"/>
      <c r="K481" s="133"/>
      <c r="L481" s="139"/>
      <c r="M481" s="141" t="s">
        <v>2484</v>
      </c>
      <c r="N481" s="141" t="s">
        <v>2485</v>
      </c>
      <c r="O481" s="139">
        <v>11</v>
      </c>
      <c r="P481" s="139"/>
      <c r="Q481" s="133" t="s">
        <v>195</v>
      </c>
      <c r="S481" s="133" t="s">
        <v>2486</v>
      </c>
      <c r="T481" s="133"/>
      <c r="U481" s="139"/>
      <c r="V481" s="139"/>
      <c r="W481" s="224"/>
    </row>
    <row r="482" spans="1:24" s="161" customFormat="1" ht="106.5">
      <c r="A482" s="139">
        <v>486</v>
      </c>
      <c r="B482" s="139" t="s">
        <v>639</v>
      </c>
      <c r="C482" s="139" t="s">
        <v>963</v>
      </c>
      <c r="D482" s="133" t="s">
        <v>964</v>
      </c>
      <c r="E482" s="145" t="s">
        <v>965</v>
      </c>
      <c r="F482" s="154">
        <v>6359289957</v>
      </c>
      <c r="G482" s="154" t="s">
        <v>966</v>
      </c>
      <c r="H482" s="139" t="s">
        <v>365</v>
      </c>
      <c r="I482" s="133"/>
      <c r="J482" s="133" t="s">
        <v>445</v>
      </c>
      <c r="K482" s="133"/>
      <c r="L482" s="180"/>
      <c r="M482" s="146" t="s">
        <v>110</v>
      </c>
      <c r="N482" s="146" t="s">
        <v>2414</v>
      </c>
      <c r="O482" s="139">
        <v>11</v>
      </c>
      <c r="P482" s="139"/>
      <c r="Q482" s="133" t="s">
        <v>195</v>
      </c>
      <c r="R482" s="139"/>
      <c r="S482" s="133" t="s">
        <v>2487</v>
      </c>
      <c r="T482" s="133"/>
      <c r="U482" s="133"/>
      <c r="V482" s="133"/>
      <c r="W482" s="133" t="s">
        <v>513</v>
      </c>
      <c r="X482" s="133"/>
    </row>
    <row r="483" spans="1:24" s="161" customFormat="1" ht="91.5">
      <c r="A483" s="139">
        <v>487</v>
      </c>
      <c r="B483" s="139" t="s">
        <v>639</v>
      </c>
      <c r="C483" s="139" t="s">
        <v>861</v>
      </c>
      <c r="D483" s="133" t="s">
        <v>862</v>
      </c>
      <c r="E483" s="145" t="s">
        <v>863</v>
      </c>
      <c r="F483" s="154" t="s">
        <v>864</v>
      </c>
      <c r="G483" s="154" t="s">
        <v>865</v>
      </c>
      <c r="H483" s="139" t="s">
        <v>194</v>
      </c>
      <c r="I483" s="133" t="s">
        <v>10</v>
      </c>
      <c r="J483" s="133" t="s">
        <v>549</v>
      </c>
      <c r="K483" s="133"/>
      <c r="L483" s="180"/>
      <c r="M483" s="146" t="s">
        <v>2488</v>
      </c>
      <c r="N483" s="146" t="s">
        <v>2489</v>
      </c>
      <c r="O483" s="139">
        <v>11</v>
      </c>
      <c r="P483" s="139"/>
      <c r="Q483" s="133" t="s">
        <v>195</v>
      </c>
      <c r="R483" s="139"/>
      <c r="S483" s="133" t="s">
        <v>2490</v>
      </c>
      <c r="T483" s="133"/>
      <c r="U483" s="133"/>
      <c r="V483" s="133"/>
      <c r="W483" s="133" t="s">
        <v>513</v>
      </c>
      <c r="X483" s="133"/>
    </row>
    <row r="484" spans="1:24" s="161" customFormat="1" ht="76.5">
      <c r="A484" s="139">
        <v>488</v>
      </c>
      <c r="B484" s="139"/>
      <c r="C484" s="139" t="s">
        <v>851</v>
      </c>
      <c r="D484" s="133" t="s">
        <v>852</v>
      </c>
      <c r="E484" s="145" t="s">
        <v>853</v>
      </c>
      <c r="F484" s="154">
        <v>9873408330</v>
      </c>
      <c r="G484" s="154" t="s">
        <v>854</v>
      </c>
      <c r="H484" s="139" t="s">
        <v>194</v>
      </c>
      <c r="I484" s="133" t="s">
        <v>10</v>
      </c>
      <c r="J484" s="133"/>
      <c r="K484" s="133"/>
      <c r="L484" s="180"/>
      <c r="M484" s="146" t="s">
        <v>2460</v>
      </c>
      <c r="N484" s="146">
        <v>46724</v>
      </c>
      <c r="O484" s="139">
        <v>11</v>
      </c>
      <c r="P484" s="139"/>
      <c r="Q484" s="133" t="s">
        <v>195</v>
      </c>
      <c r="R484" s="139"/>
      <c r="S484" s="133" t="s">
        <v>2491</v>
      </c>
      <c r="T484" s="133"/>
      <c r="U484" s="133"/>
      <c r="V484" s="133"/>
      <c r="W484" s="133" t="s">
        <v>513</v>
      </c>
      <c r="X484" s="133"/>
    </row>
    <row r="485" spans="1:24" s="161" customFormat="1" ht="76.5">
      <c r="A485" s="139">
        <v>489</v>
      </c>
      <c r="B485" s="139" t="s">
        <v>227</v>
      </c>
      <c r="C485" s="139" t="s">
        <v>568</v>
      </c>
      <c r="D485" s="133" t="s">
        <v>569</v>
      </c>
      <c r="E485" s="145" t="s">
        <v>570</v>
      </c>
      <c r="F485" s="154">
        <v>9811718239</v>
      </c>
      <c r="G485" s="154" t="s">
        <v>2492</v>
      </c>
      <c r="H485" s="139" t="s">
        <v>261</v>
      </c>
      <c r="I485" s="133" t="s">
        <v>10</v>
      </c>
      <c r="J485" s="133" t="s">
        <v>417</v>
      </c>
      <c r="K485" s="133" t="s">
        <v>2314</v>
      </c>
      <c r="L485" s="180" t="s">
        <v>418</v>
      </c>
      <c r="M485" s="146">
        <v>46114</v>
      </c>
      <c r="N485" s="146">
        <v>46447</v>
      </c>
      <c r="O485" s="139">
        <v>11</v>
      </c>
      <c r="P485" s="139"/>
      <c r="Q485" s="133" t="s">
        <v>195</v>
      </c>
      <c r="R485" s="139"/>
      <c r="S485" s="133" t="s">
        <v>2493</v>
      </c>
      <c r="T485" s="133"/>
      <c r="U485" s="133">
        <v>100</v>
      </c>
      <c r="V485" s="133"/>
      <c r="W485" s="133" t="s">
        <v>513</v>
      </c>
      <c r="X485" s="133"/>
    </row>
    <row r="486" spans="1:24" s="161" customFormat="1" ht="121.5">
      <c r="A486" s="139">
        <v>490</v>
      </c>
      <c r="B486" s="139" t="s">
        <v>227</v>
      </c>
      <c r="C486" s="139" t="s">
        <v>746</v>
      </c>
      <c r="D486" s="133" t="s">
        <v>747</v>
      </c>
      <c r="E486" s="145" t="s">
        <v>748</v>
      </c>
      <c r="F486" s="154" t="s">
        <v>749</v>
      </c>
      <c r="G486" s="154" t="s">
        <v>750</v>
      </c>
      <c r="H486" s="139" t="s">
        <v>677</v>
      </c>
      <c r="I486" s="133" t="s">
        <v>10</v>
      </c>
      <c r="J486" s="133" t="s">
        <v>432</v>
      </c>
      <c r="K486" s="133"/>
      <c r="L486" s="180"/>
      <c r="M486" s="146">
        <v>46025</v>
      </c>
      <c r="N486" s="146" t="s">
        <v>2494</v>
      </c>
      <c r="O486" s="139">
        <v>11</v>
      </c>
      <c r="P486" s="139"/>
      <c r="Q486" s="133" t="s">
        <v>195</v>
      </c>
      <c r="R486" s="139"/>
      <c r="S486" s="133" t="s">
        <v>2495</v>
      </c>
      <c r="T486" s="133"/>
      <c r="U486" s="133"/>
      <c r="V486" s="133"/>
      <c r="W486" s="133" t="s">
        <v>513</v>
      </c>
      <c r="X486" s="133"/>
    </row>
    <row r="487" spans="1:24" s="161" customFormat="1" ht="60.75">
      <c r="A487" s="139">
        <v>491</v>
      </c>
      <c r="B487" s="139" t="s">
        <v>227</v>
      </c>
      <c r="C487" s="139" t="s">
        <v>1214</v>
      </c>
      <c r="D487" s="133" t="s">
        <v>1215</v>
      </c>
      <c r="E487" s="145" t="s">
        <v>1216</v>
      </c>
      <c r="F487" s="154" t="s">
        <v>1217</v>
      </c>
      <c r="G487" s="154" t="s">
        <v>1218</v>
      </c>
      <c r="H487" s="139" t="s">
        <v>248</v>
      </c>
      <c r="I487" s="133"/>
      <c r="J487" s="133" t="s">
        <v>1195</v>
      </c>
      <c r="K487" s="133"/>
      <c r="L487" s="180"/>
      <c r="M487" s="146" t="s">
        <v>2496</v>
      </c>
      <c r="N487" s="146" t="s">
        <v>2497</v>
      </c>
      <c r="O487" s="139">
        <v>11</v>
      </c>
      <c r="P487" s="139"/>
      <c r="Q487" s="133" t="s">
        <v>176</v>
      </c>
      <c r="R487" s="139"/>
      <c r="S487" s="133" t="s">
        <v>2498</v>
      </c>
      <c r="T487" s="133"/>
      <c r="U487" s="133"/>
      <c r="V487" s="133"/>
      <c r="W487" s="133" t="s">
        <v>243</v>
      </c>
      <c r="X487" s="133"/>
    </row>
    <row r="488" spans="1:24" s="161" customFormat="1" ht="45.75">
      <c r="A488" s="139">
        <v>492</v>
      </c>
      <c r="B488" s="139" t="s">
        <v>227</v>
      </c>
      <c r="C488" s="139" t="s">
        <v>820</v>
      </c>
      <c r="D488" s="133" t="s">
        <v>821</v>
      </c>
      <c r="E488" s="145" t="s">
        <v>822</v>
      </c>
      <c r="F488" s="154">
        <v>8920919763</v>
      </c>
      <c r="G488" s="154" t="s">
        <v>823</v>
      </c>
      <c r="H488" s="139" t="s">
        <v>194</v>
      </c>
      <c r="I488" s="133" t="s">
        <v>10</v>
      </c>
      <c r="J488" s="133" t="s">
        <v>417</v>
      </c>
      <c r="K488" s="133"/>
      <c r="L488" s="180"/>
      <c r="M488" s="146">
        <v>46330</v>
      </c>
      <c r="N488" s="146">
        <v>46663</v>
      </c>
      <c r="O488" s="139">
        <v>11</v>
      </c>
      <c r="P488" s="139"/>
      <c r="Q488" s="133" t="s">
        <v>195</v>
      </c>
      <c r="R488" s="139"/>
      <c r="S488" s="133" t="s">
        <v>2499</v>
      </c>
      <c r="T488" s="133"/>
      <c r="U488" s="133"/>
      <c r="V488" s="133"/>
      <c r="W488" s="133" t="s">
        <v>513</v>
      </c>
      <c r="X488" s="133" t="s">
        <v>513</v>
      </c>
    </row>
    <row r="489" spans="1:24" s="161" customFormat="1" ht="106.5">
      <c r="A489" s="139">
        <v>493</v>
      </c>
      <c r="B489" s="139" t="s">
        <v>227</v>
      </c>
      <c r="C489" s="139" t="s">
        <v>718</v>
      </c>
      <c r="D489" s="133" t="s">
        <v>719</v>
      </c>
      <c r="E489" s="145" t="s">
        <v>720</v>
      </c>
      <c r="F489" s="154">
        <v>9150168306</v>
      </c>
      <c r="G489" s="154" t="s">
        <v>721</v>
      </c>
      <c r="H489" s="139" t="s">
        <v>416</v>
      </c>
      <c r="I489" s="133" t="s">
        <v>10</v>
      </c>
      <c r="J489" s="133" t="s">
        <v>445</v>
      </c>
      <c r="K489" s="133"/>
      <c r="L489" s="180"/>
      <c r="M489" s="146" t="s">
        <v>2405</v>
      </c>
      <c r="N489" s="146" t="s">
        <v>2406</v>
      </c>
      <c r="O489" s="139">
        <v>11</v>
      </c>
      <c r="P489" s="139"/>
      <c r="Q489" s="133" t="s">
        <v>176</v>
      </c>
      <c r="R489" s="139"/>
      <c r="S489" s="133" t="s">
        <v>2500</v>
      </c>
      <c r="T489" s="133"/>
      <c r="U489" s="133">
        <v>100</v>
      </c>
      <c r="V489" s="133"/>
      <c r="W489" s="133" t="s">
        <v>513</v>
      </c>
      <c r="X489" s="133"/>
    </row>
    <row r="490" spans="1:24" s="161" customFormat="1" ht="60.75" customHeight="1">
      <c r="A490" s="139">
        <v>494</v>
      </c>
      <c r="B490" s="139" t="s">
        <v>227</v>
      </c>
      <c r="C490" s="139" t="s">
        <v>1180</v>
      </c>
      <c r="D490" s="133" t="s">
        <v>1181</v>
      </c>
      <c r="E490" s="145" t="s">
        <v>1182</v>
      </c>
      <c r="F490" s="154">
        <v>9821128660</v>
      </c>
      <c r="G490" s="154" t="s">
        <v>1183</v>
      </c>
      <c r="H490" s="139" t="s">
        <v>354</v>
      </c>
      <c r="I490" s="133"/>
      <c r="J490" s="133" t="s">
        <v>1064</v>
      </c>
      <c r="K490" s="133"/>
      <c r="L490" s="180"/>
      <c r="M490" s="146" t="s">
        <v>118</v>
      </c>
      <c r="N490" s="146" t="s">
        <v>2501</v>
      </c>
      <c r="O490" s="139">
        <v>11</v>
      </c>
      <c r="P490" s="139"/>
      <c r="Q490" s="133" t="s">
        <v>195</v>
      </c>
      <c r="R490" s="139"/>
      <c r="S490" s="133" t="s">
        <v>2502</v>
      </c>
      <c r="T490" s="133"/>
      <c r="U490" s="133"/>
      <c r="V490" s="133"/>
      <c r="W490" s="133" t="s">
        <v>243</v>
      </c>
      <c r="X490" s="133"/>
    </row>
    <row r="491" spans="1:24" s="161" customFormat="1" ht="41.25" customHeight="1">
      <c r="A491" s="139">
        <v>495</v>
      </c>
      <c r="B491" s="139" t="s">
        <v>227</v>
      </c>
      <c r="C491" s="139" t="s">
        <v>1093</v>
      </c>
      <c r="D491" s="133" t="s">
        <v>1094</v>
      </c>
      <c r="E491" s="145" t="s">
        <v>1095</v>
      </c>
      <c r="F491" s="154">
        <v>9979972714</v>
      </c>
      <c r="G491" s="154" t="s">
        <v>1096</v>
      </c>
      <c r="H491" s="139" t="s">
        <v>248</v>
      </c>
      <c r="I491" s="133"/>
      <c r="J491" s="133" t="s">
        <v>1064</v>
      </c>
      <c r="K491" s="133"/>
      <c r="L491" s="180"/>
      <c r="M491" s="146">
        <v>46360</v>
      </c>
      <c r="N491" s="146">
        <v>46694</v>
      </c>
      <c r="O491" s="139">
        <v>11</v>
      </c>
      <c r="P491" s="139"/>
      <c r="Q491" s="133" t="s">
        <v>195</v>
      </c>
      <c r="R491" s="139"/>
      <c r="S491" s="133" t="s">
        <v>2503</v>
      </c>
      <c r="T491" s="133"/>
      <c r="U491" s="133"/>
      <c r="V491" s="133"/>
      <c r="W491" s="133" t="s">
        <v>243</v>
      </c>
      <c r="X491" s="133"/>
    </row>
    <row r="492" spans="1:24" s="161" customFormat="1" ht="36" customHeight="1">
      <c r="A492" s="139">
        <v>496</v>
      </c>
      <c r="B492" s="139" t="s">
        <v>227</v>
      </c>
      <c r="C492" s="139" t="s">
        <v>2504</v>
      </c>
      <c r="D492" s="133" t="s">
        <v>2505</v>
      </c>
      <c r="E492" s="145" t="s">
        <v>2506</v>
      </c>
      <c r="F492" s="141">
        <v>9825378948</v>
      </c>
      <c r="G492" s="141" t="s">
        <v>2507</v>
      </c>
      <c r="H492" s="139"/>
      <c r="I492" s="143"/>
      <c r="J492" s="133"/>
      <c r="K492" s="133"/>
      <c r="L492" s="139"/>
      <c r="M492" s="141" t="s">
        <v>2496</v>
      </c>
      <c r="N492" s="141" t="s">
        <v>2497</v>
      </c>
      <c r="O492" s="139">
        <v>11</v>
      </c>
      <c r="P492" s="139"/>
      <c r="Q492" s="133" t="s">
        <v>195</v>
      </c>
      <c r="S492" s="133" t="s">
        <v>2508</v>
      </c>
      <c r="T492" s="133"/>
      <c r="U492" s="139"/>
      <c r="V492" s="139"/>
      <c r="W492" s="224"/>
    </row>
    <row r="493" spans="1:24" s="219" customFormat="1" ht="36" customHeight="1">
      <c r="A493" s="139">
        <v>497</v>
      </c>
      <c r="B493" s="179" t="s">
        <v>227</v>
      </c>
      <c r="C493" s="131" t="s">
        <v>774</v>
      </c>
      <c r="D493" s="131" t="s">
        <v>775</v>
      </c>
      <c r="E493" s="132" t="s">
        <v>776</v>
      </c>
      <c r="F493" s="263">
        <v>9879520886</v>
      </c>
      <c r="G493" s="263" t="s">
        <v>777</v>
      </c>
      <c r="H493" s="179" t="s">
        <v>365</v>
      </c>
      <c r="I493" s="131" t="s">
        <v>10</v>
      </c>
      <c r="J493" s="131" t="s">
        <v>445</v>
      </c>
      <c r="K493" s="131"/>
      <c r="L493" s="277"/>
      <c r="M493" s="265">
        <v>46145</v>
      </c>
      <c r="N493" s="265">
        <v>46479</v>
      </c>
      <c r="O493" s="179">
        <v>11</v>
      </c>
      <c r="P493" s="179"/>
      <c r="Q493" s="131" t="s">
        <v>195</v>
      </c>
      <c r="R493" s="179"/>
      <c r="S493" s="131" t="s">
        <v>2509</v>
      </c>
      <c r="T493" s="131" t="s">
        <v>2510</v>
      </c>
      <c r="U493" s="131"/>
      <c r="V493" s="131"/>
      <c r="W493" s="131" t="s">
        <v>513</v>
      </c>
      <c r="X493" s="131"/>
    </row>
    <row r="494" spans="1:24" s="161" customFormat="1" ht="40.5" customHeight="1">
      <c r="A494" s="139">
        <v>498</v>
      </c>
      <c r="B494" s="139" t="s">
        <v>227</v>
      </c>
      <c r="C494" s="139" t="s">
        <v>877</v>
      </c>
      <c r="D494" s="133" t="s">
        <v>878</v>
      </c>
      <c r="E494" s="145" t="s">
        <v>879</v>
      </c>
      <c r="F494" s="154" t="s">
        <v>880</v>
      </c>
      <c r="G494" s="154" t="s">
        <v>881</v>
      </c>
      <c r="H494" s="139" t="s">
        <v>354</v>
      </c>
      <c r="I494" s="133"/>
      <c r="J494" s="133" t="s">
        <v>445</v>
      </c>
      <c r="K494" s="133"/>
      <c r="L494" s="180"/>
      <c r="M494" s="146">
        <v>46147</v>
      </c>
      <c r="N494" s="146" t="s">
        <v>2511</v>
      </c>
      <c r="O494" s="139">
        <v>11</v>
      </c>
      <c r="P494" s="139"/>
      <c r="Q494" s="133" t="s">
        <v>195</v>
      </c>
      <c r="R494" s="139"/>
      <c r="S494" s="133" t="s">
        <v>2512</v>
      </c>
      <c r="T494" s="133"/>
      <c r="U494" s="133"/>
      <c r="V494" s="133"/>
      <c r="W494" s="133" t="s">
        <v>513</v>
      </c>
      <c r="X494" s="133"/>
    </row>
    <row r="495" spans="1:24" s="161" customFormat="1" ht="38.25" customHeight="1">
      <c r="A495" s="139">
        <v>499</v>
      </c>
      <c r="B495" s="139" t="s">
        <v>227</v>
      </c>
      <c r="C495" s="133" t="s">
        <v>2513</v>
      </c>
      <c r="D495" s="133" t="s">
        <v>1046</v>
      </c>
      <c r="E495" s="145" t="s">
        <v>1047</v>
      </c>
      <c r="F495" s="154">
        <v>9101202657</v>
      </c>
      <c r="G495" s="154" t="s">
        <v>1048</v>
      </c>
      <c r="H495" s="139" t="s">
        <v>512</v>
      </c>
      <c r="I495" s="133"/>
      <c r="J495" s="133"/>
      <c r="K495" s="133"/>
      <c r="L495" s="180"/>
      <c r="M495" s="146">
        <v>46085</v>
      </c>
      <c r="N495" s="146">
        <v>46421</v>
      </c>
      <c r="O495" s="139">
        <v>11</v>
      </c>
      <c r="P495" s="139"/>
      <c r="Q495" s="133" t="s">
        <v>195</v>
      </c>
      <c r="R495" s="139"/>
      <c r="S495" s="133" t="s">
        <v>2514</v>
      </c>
      <c r="T495" s="133"/>
      <c r="U495" s="133"/>
      <c r="V495" s="133"/>
      <c r="W495" s="133" t="s">
        <v>513</v>
      </c>
      <c r="X495" s="133"/>
    </row>
    <row r="496" spans="1:24" s="161" customFormat="1" ht="50.25" customHeight="1">
      <c r="A496" s="139">
        <v>500</v>
      </c>
      <c r="B496" s="139" t="s">
        <v>227</v>
      </c>
      <c r="C496" s="139" t="s">
        <v>594</v>
      </c>
      <c r="D496" s="133" t="s">
        <v>595</v>
      </c>
      <c r="E496" s="145" t="s">
        <v>596</v>
      </c>
      <c r="F496" s="154">
        <v>9899060766</v>
      </c>
      <c r="G496" s="154" t="s">
        <v>597</v>
      </c>
      <c r="H496" s="139" t="s">
        <v>241</v>
      </c>
      <c r="I496" s="133" t="s">
        <v>10</v>
      </c>
      <c r="J496" s="133" t="s">
        <v>417</v>
      </c>
      <c r="K496" s="133" t="s">
        <v>2314</v>
      </c>
      <c r="L496" s="180" t="s">
        <v>418</v>
      </c>
      <c r="M496" s="146">
        <v>46298</v>
      </c>
      <c r="N496" s="146">
        <v>46632</v>
      </c>
      <c r="O496" s="139">
        <v>11</v>
      </c>
      <c r="P496" s="139"/>
      <c r="Q496" s="133" t="s">
        <v>2515</v>
      </c>
      <c r="R496" s="139" t="s">
        <v>2516</v>
      </c>
      <c r="S496" s="133" t="s">
        <v>2517</v>
      </c>
      <c r="T496" s="133"/>
      <c r="U496" s="133">
        <v>100</v>
      </c>
      <c r="V496" s="133"/>
      <c r="W496" s="133" t="s">
        <v>513</v>
      </c>
      <c r="X496" s="133"/>
    </row>
    <row r="497" spans="1:24" s="161" customFormat="1" ht="38.25" customHeight="1">
      <c r="A497" s="139">
        <v>501</v>
      </c>
      <c r="B497" s="139" t="s">
        <v>227</v>
      </c>
      <c r="C497" s="139" t="s">
        <v>872</v>
      </c>
      <c r="D497" s="133" t="s">
        <v>873</v>
      </c>
      <c r="E497" s="145" t="s">
        <v>874</v>
      </c>
      <c r="F497" s="154">
        <v>9990906723</v>
      </c>
      <c r="G497" s="154" t="s">
        <v>875</v>
      </c>
      <c r="H497" s="139" t="s">
        <v>261</v>
      </c>
      <c r="I497" s="133"/>
      <c r="J497" s="133" t="s">
        <v>445</v>
      </c>
      <c r="K497" s="133"/>
      <c r="L497" s="180"/>
      <c r="M497" s="146" t="s">
        <v>2518</v>
      </c>
      <c r="N497" s="146" t="s">
        <v>2511</v>
      </c>
      <c r="O497" s="139">
        <v>11</v>
      </c>
      <c r="P497" s="139"/>
      <c r="Q497" s="133" t="s">
        <v>195</v>
      </c>
      <c r="R497" s="139"/>
      <c r="S497" s="133" t="s">
        <v>876</v>
      </c>
      <c r="T497" s="133"/>
      <c r="U497" s="133"/>
      <c r="V497" s="133"/>
      <c r="W497" s="133" t="s">
        <v>513</v>
      </c>
      <c r="X497" s="133"/>
    </row>
    <row r="498" spans="1:24" s="161" customFormat="1" ht="42.75" customHeight="1">
      <c r="A498" s="139">
        <v>502</v>
      </c>
      <c r="B498" s="139" t="s">
        <v>227</v>
      </c>
      <c r="C498" s="139" t="s">
        <v>1204</v>
      </c>
      <c r="D498" s="133" t="s">
        <v>1205</v>
      </c>
      <c r="E498" s="145" t="s">
        <v>1206</v>
      </c>
      <c r="F498" s="154">
        <v>9958171888</v>
      </c>
      <c r="G498" s="154" t="s">
        <v>1207</v>
      </c>
      <c r="H498" s="139" t="s">
        <v>388</v>
      </c>
      <c r="I498" s="133"/>
      <c r="J498" s="133" t="s">
        <v>445</v>
      </c>
      <c r="K498" s="133"/>
      <c r="L498" s="180"/>
      <c r="M498" s="146">
        <v>45808</v>
      </c>
      <c r="N498" s="146">
        <v>45777</v>
      </c>
      <c r="O498" s="139">
        <v>11</v>
      </c>
      <c r="P498" s="139"/>
      <c r="Q498" s="133" t="s">
        <v>195</v>
      </c>
      <c r="R498" s="139"/>
      <c r="S498" s="133" t="s">
        <v>1208</v>
      </c>
      <c r="T498" s="133"/>
      <c r="U498" s="133"/>
      <c r="V498" s="133"/>
      <c r="W498" s="133" t="s">
        <v>243</v>
      </c>
      <c r="X498" s="133"/>
    </row>
    <row r="499" spans="1:24" s="161" customFormat="1" ht="55.5" customHeight="1">
      <c r="A499" s="139">
        <v>503</v>
      </c>
      <c r="B499" s="139" t="s">
        <v>227</v>
      </c>
      <c r="C499" s="139" t="s">
        <v>1255</v>
      </c>
      <c r="D499" s="133" t="s">
        <v>1256</v>
      </c>
      <c r="E499" s="137" t="s">
        <v>1257</v>
      </c>
      <c r="F499" s="154">
        <v>9632132329</v>
      </c>
      <c r="G499" s="154" t="s">
        <v>1258</v>
      </c>
      <c r="H499" s="139" t="s">
        <v>416</v>
      </c>
      <c r="I499" s="133"/>
      <c r="J499" s="133" t="s">
        <v>1108</v>
      </c>
      <c r="K499" s="133"/>
      <c r="L499" s="180"/>
      <c r="M499" s="146">
        <v>46117</v>
      </c>
      <c r="N499" s="146">
        <v>46450</v>
      </c>
      <c r="O499" s="139">
        <v>11</v>
      </c>
      <c r="P499" s="139"/>
      <c r="Q499" s="133" t="s">
        <v>176</v>
      </c>
      <c r="R499" s="139"/>
      <c r="S499" s="133" t="s">
        <v>2519</v>
      </c>
      <c r="T499" s="133"/>
      <c r="U499" s="133"/>
      <c r="V499" s="133"/>
      <c r="W499" s="133" t="s">
        <v>243</v>
      </c>
      <c r="X499" s="133"/>
    </row>
    <row r="500" spans="1:24" s="161" customFormat="1" ht="35.25" customHeight="1">
      <c r="A500" s="139">
        <v>504</v>
      </c>
      <c r="B500" s="139" t="s">
        <v>227</v>
      </c>
      <c r="C500" s="133" t="s">
        <v>499</v>
      </c>
      <c r="D500" s="133" t="s">
        <v>500</v>
      </c>
      <c r="E500" s="145" t="s">
        <v>2520</v>
      </c>
      <c r="F500" s="154">
        <v>9718290753</v>
      </c>
      <c r="G500" s="154" t="s">
        <v>2521</v>
      </c>
      <c r="H500" s="139"/>
      <c r="I500" s="133"/>
      <c r="J500" s="133"/>
      <c r="K500" s="133"/>
      <c r="L500" s="138"/>
      <c r="M500" s="146" t="s">
        <v>2522</v>
      </c>
      <c r="N500" s="146" t="s">
        <v>2523</v>
      </c>
      <c r="O500" s="139">
        <v>11</v>
      </c>
      <c r="P500" s="139"/>
      <c r="Q500" s="133" t="s">
        <v>195</v>
      </c>
      <c r="R500" s="139"/>
      <c r="S500" s="133" t="s">
        <v>2524</v>
      </c>
      <c r="T500" s="133"/>
      <c r="U500" s="133">
        <v>100</v>
      </c>
      <c r="V500" s="133"/>
      <c r="W500" s="133" t="s">
        <v>188</v>
      </c>
      <c r="X500" s="133"/>
    </row>
    <row r="501" spans="1:24" s="161" customFormat="1" ht="39" customHeight="1">
      <c r="A501" s="139">
        <v>505</v>
      </c>
      <c r="B501" s="139" t="s">
        <v>227</v>
      </c>
      <c r="C501" s="139" t="s">
        <v>1451</v>
      </c>
      <c r="D501" s="133" t="s">
        <v>1452</v>
      </c>
      <c r="E501" s="145" t="s">
        <v>1453</v>
      </c>
      <c r="F501" s="154">
        <v>9611190440</v>
      </c>
      <c r="G501" s="154" t="s">
        <v>1454</v>
      </c>
      <c r="H501" s="139" t="s">
        <v>194</v>
      </c>
      <c r="I501" s="133"/>
      <c r="J501" s="133" t="s">
        <v>1280</v>
      </c>
      <c r="K501" s="133"/>
      <c r="L501" s="180"/>
      <c r="M501" s="146" t="s">
        <v>2525</v>
      </c>
      <c r="N501" s="146">
        <v>46171</v>
      </c>
      <c r="O501" s="139">
        <v>11</v>
      </c>
      <c r="P501" s="139"/>
      <c r="Q501" s="133" t="s">
        <v>195</v>
      </c>
      <c r="R501" s="139"/>
      <c r="S501" s="133" t="s">
        <v>2526</v>
      </c>
      <c r="T501" s="133"/>
      <c r="U501" s="133"/>
      <c r="V501" s="133"/>
      <c r="W501" s="133" t="s">
        <v>243</v>
      </c>
      <c r="X501" s="133"/>
    </row>
    <row r="502" spans="1:24" s="161" customFormat="1" ht="39" customHeight="1">
      <c r="A502" s="139">
        <v>506</v>
      </c>
      <c r="B502" s="139" t="s">
        <v>227</v>
      </c>
      <c r="C502" s="139" t="s">
        <v>1424</v>
      </c>
      <c r="D502" s="133" t="s">
        <v>1425</v>
      </c>
      <c r="E502" s="145" t="s">
        <v>1426</v>
      </c>
      <c r="F502" s="154" t="s">
        <v>1427</v>
      </c>
      <c r="G502" s="154" t="s">
        <v>1428</v>
      </c>
      <c r="H502" s="139" t="s">
        <v>388</v>
      </c>
      <c r="I502" s="133"/>
      <c r="J502" s="133" t="s">
        <v>1195</v>
      </c>
      <c r="K502" s="133"/>
      <c r="L502" s="180"/>
      <c r="M502" s="146" t="s">
        <v>2527</v>
      </c>
      <c r="N502" s="146" t="s">
        <v>2528</v>
      </c>
      <c r="O502" s="139">
        <v>24</v>
      </c>
      <c r="P502" s="139"/>
      <c r="Q502" s="133" t="s">
        <v>195</v>
      </c>
      <c r="R502" s="139" t="s">
        <v>2529</v>
      </c>
      <c r="S502" s="133" t="s">
        <v>2530</v>
      </c>
      <c r="T502" s="133"/>
      <c r="U502" s="133"/>
      <c r="V502" s="133"/>
      <c r="W502" s="133" t="s">
        <v>243</v>
      </c>
      <c r="X502" s="133"/>
    </row>
    <row r="503" spans="1:24" s="161" customFormat="1" ht="49.5" customHeight="1">
      <c r="A503" s="139">
        <v>507</v>
      </c>
      <c r="B503" s="139" t="s">
        <v>227</v>
      </c>
      <c r="C503" s="139" t="s">
        <v>1335</v>
      </c>
      <c r="D503" s="133" t="s">
        <v>1336</v>
      </c>
      <c r="E503" s="145" t="s">
        <v>1337</v>
      </c>
      <c r="F503" s="154">
        <v>9910803385</v>
      </c>
      <c r="G503" s="154" t="s">
        <v>1338</v>
      </c>
      <c r="H503" s="139" t="s">
        <v>261</v>
      </c>
      <c r="I503" s="133"/>
      <c r="J503" s="133" t="s">
        <v>1064</v>
      </c>
      <c r="K503" s="133"/>
      <c r="L503" s="180"/>
      <c r="M503" s="146" t="s">
        <v>2531</v>
      </c>
      <c r="N503" s="146">
        <v>46725</v>
      </c>
      <c r="O503" s="139">
        <v>11</v>
      </c>
      <c r="P503" s="139"/>
      <c r="Q503" s="133" t="s">
        <v>195</v>
      </c>
      <c r="R503" s="139"/>
      <c r="S503" s="133" t="s">
        <v>2532</v>
      </c>
      <c r="T503" s="133"/>
      <c r="U503" s="133"/>
      <c r="V503" s="133"/>
      <c r="W503" s="133" t="s">
        <v>243</v>
      </c>
      <c r="X503" s="133"/>
    </row>
    <row r="504" spans="1:24" s="161" customFormat="1" ht="48.75" customHeight="1">
      <c r="A504" s="139">
        <v>508</v>
      </c>
      <c r="B504" s="139" t="s">
        <v>227</v>
      </c>
      <c r="C504" s="139" t="s">
        <v>953</v>
      </c>
      <c r="D504" s="133" t="s">
        <v>954</v>
      </c>
      <c r="E504" s="145" t="s">
        <v>955</v>
      </c>
      <c r="F504" s="154">
        <v>8383064106</v>
      </c>
      <c r="G504" s="154" t="s">
        <v>956</v>
      </c>
      <c r="H504" s="139" t="s">
        <v>416</v>
      </c>
      <c r="I504" s="133"/>
      <c r="J504" s="133" t="s">
        <v>716</v>
      </c>
      <c r="K504" s="133"/>
      <c r="L504" s="180"/>
      <c r="M504" s="146" t="s">
        <v>2533</v>
      </c>
      <c r="N504" s="146" t="s">
        <v>2534</v>
      </c>
      <c r="O504" s="139">
        <v>11</v>
      </c>
      <c r="P504" s="139"/>
      <c r="Q504" s="133" t="s">
        <v>176</v>
      </c>
      <c r="R504" s="139"/>
      <c r="S504" s="133" t="s">
        <v>2535</v>
      </c>
      <c r="T504" s="133"/>
      <c r="U504" s="133"/>
      <c r="V504" s="133"/>
      <c r="W504" s="133" t="s">
        <v>513</v>
      </c>
      <c r="X504" s="133"/>
    </row>
    <row r="505" spans="1:24" s="161" customFormat="1" ht="39" customHeight="1">
      <c r="A505" s="139">
        <v>509</v>
      </c>
      <c r="B505" s="139" t="s">
        <v>227</v>
      </c>
      <c r="C505" s="139" t="s">
        <v>1329</v>
      </c>
      <c r="D505" s="133" t="s">
        <v>1330</v>
      </c>
      <c r="E505" s="145" t="s">
        <v>1331</v>
      </c>
      <c r="F505" s="154" t="s">
        <v>1332</v>
      </c>
      <c r="G505" s="154" t="s">
        <v>1333</v>
      </c>
      <c r="H505" s="139" t="s">
        <v>365</v>
      </c>
      <c r="I505" s="133"/>
      <c r="J505" s="133" t="s">
        <v>445</v>
      </c>
      <c r="K505" s="133"/>
      <c r="L505" s="180"/>
      <c r="M505" s="146" t="s">
        <v>2531</v>
      </c>
      <c r="N505" s="146">
        <v>46725</v>
      </c>
      <c r="O505" s="139">
        <v>11</v>
      </c>
      <c r="P505" s="139"/>
      <c r="Q505" s="133" t="s">
        <v>195</v>
      </c>
      <c r="R505" s="139"/>
      <c r="S505" s="133" t="s">
        <v>1334</v>
      </c>
      <c r="T505" s="133"/>
      <c r="U505" s="133"/>
      <c r="V505" s="133"/>
      <c r="W505" s="133" t="s">
        <v>243</v>
      </c>
      <c r="X505" s="133"/>
    </row>
    <row r="506" spans="1:24" s="161" customFormat="1" ht="42" customHeight="1">
      <c r="A506" s="139">
        <v>510</v>
      </c>
      <c r="B506" s="139" t="s">
        <v>227</v>
      </c>
      <c r="C506" s="139" t="s">
        <v>1308</v>
      </c>
      <c r="D506" s="133" t="s">
        <v>1309</v>
      </c>
      <c r="E506" s="145" t="s">
        <v>1310</v>
      </c>
      <c r="F506" s="154" t="s">
        <v>1311</v>
      </c>
      <c r="G506" s="154" t="s">
        <v>1312</v>
      </c>
      <c r="H506" s="139" t="s">
        <v>241</v>
      </c>
      <c r="I506" s="133"/>
      <c r="J506" s="133" t="s">
        <v>1195</v>
      </c>
      <c r="K506" s="133"/>
      <c r="L506" s="180"/>
      <c r="M506" s="146">
        <v>46361</v>
      </c>
      <c r="N506" s="146">
        <v>46695</v>
      </c>
      <c r="O506" s="139">
        <v>11</v>
      </c>
      <c r="P506" s="139"/>
      <c r="Q506" s="133" t="s">
        <v>195</v>
      </c>
      <c r="R506" s="139"/>
      <c r="S506" s="133" t="s">
        <v>2536</v>
      </c>
      <c r="T506" s="133"/>
      <c r="U506" s="133"/>
      <c r="V506" s="133"/>
      <c r="W506" s="133" t="s">
        <v>243</v>
      </c>
      <c r="X506" s="133"/>
    </row>
    <row r="507" spans="1:24" s="161" customFormat="1" ht="39" customHeight="1">
      <c r="A507" s="139">
        <v>511</v>
      </c>
      <c r="B507" s="139" t="s">
        <v>227</v>
      </c>
      <c r="C507" s="139" t="s">
        <v>1414</v>
      </c>
      <c r="D507" s="133" t="s">
        <v>1415</v>
      </c>
      <c r="E507" s="145" t="s">
        <v>1416</v>
      </c>
      <c r="F507" s="154">
        <v>8000000706</v>
      </c>
      <c r="G507" s="154" t="s">
        <v>1417</v>
      </c>
      <c r="H507" s="139" t="s">
        <v>365</v>
      </c>
      <c r="I507" s="133"/>
      <c r="J507" s="133" t="s">
        <v>445</v>
      </c>
      <c r="K507" s="133"/>
      <c r="L507" s="180"/>
      <c r="M507" s="146">
        <v>46165</v>
      </c>
      <c r="N507" s="146" t="s">
        <v>2537</v>
      </c>
      <c r="O507" s="139">
        <v>11</v>
      </c>
      <c r="P507" s="139"/>
      <c r="Q507" s="133" t="s">
        <v>195</v>
      </c>
      <c r="R507" s="139"/>
      <c r="S507" s="133" t="s">
        <v>2538</v>
      </c>
      <c r="T507" s="133"/>
      <c r="U507" s="133"/>
      <c r="V507" s="133"/>
      <c r="W507" s="133" t="s">
        <v>243</v>
      </c>
      <c r="X507" s="133"/>
    </row>
    <row r="508" spans="1:24" s="161" customFormat="1" ht="39" customHeight="1">
      <c r="A508" s="139">
        <v>512</v>
      </c>
      <c r="B508" s="139" t="s">
        <v>227</v>
      </c>
      <c r="C508" s="139" t="s">
        <v>1517</v>
      </c>
      <c r="D508" s="133" t="s">
        <v>1518</v>
      </c>
      <c r="E508" s="145" t="s">
        <v>1519</v>
      </c>
      <c r="F508" s="154">
        <v>9707376530</v>
      </c>
      <c r="G508" s="154" t="s">
        <v>1520</v>
      </c>
      <c r="H508" s="139" t="s">
        <v>492</v>
      </c>
      <c r="I508" s="133"/>
      <c r="J508" s="133" t="s">
        <v>445</v>
      </c>
      <c r="K508" s="133"/>
      <c r="L508" s="180"/>
      <c r="M508" s="146">
        <v>46118</v>
      </c>
      <c r="N508" s="146">
        <v>46451</v>
      </c>
      <c r="O508" s="139">
        <v>11</v>
      </c>
      <c r="P508" s="139"/>
      <c r="Q508" s="133" t="s">
        <v>195</v>
      </c>
      <c r="R508" s="139"/>
      <c r="S508" s="133" t="s">
        <v>2539</v>
      </c>
      <c r="T508" s="133"/>
      <c r="U508" s="133"/>
      <c r="V508" s="133"/>
      <c r="W508" s="133" t="s">
        <v>243</v>
      </c>
      <c r="X508" s="133"/>
    </row>
    <row r="509" spans="1:24" s="161" customFormat="1" ht="48" customHeight="1">
      <c r="A509" s="139">
        <v>513</v>
      </c>
      <c r="B509" s="139" t="s">
        <v>227</v>
      </c>
      <c r="C509" s="139" t="s">
        <v>1011</v>
      </c>
      <c r="D509" s="133" t="s">
        <v>1012</v>
      </c>
      <c r="E509" s="145" t="s">
        <v>1013</v>
      </c>
      <c r="F509" s="154">
        <v>9870502504</v>
      </c>
      <c r="G509" s="154" t="s">
        <v>1014</v>
      </c>
      <c r="H509" s="139" t="s">
        <v>194</v>
      </c>
      <c r="I509" s="133"/>
      <c r="J509" s="133" t="s">
        <v>716</v>
      </c>
      <c r="K509" s="133"/>
      <c r="L509" s="180"/>
      <c r="M509" s="146">
        <v>46057</v>
      </c>
      <c r="N509" s="146">
        <v>46390</v>
      </c>
      <c r="O509" s="139">
        <v>11</v>
      </c>
      <c r="P509" s="139"/>
      <c r="Q509" s="133" t="s">
        <v>195</v>
      </c>
      <c r="R509" s="139"/>
      <c r="S509" s="133" t="s">
        <v>2540</v>
      </c>
      <c r="T509" s="133"/>
      <c r="U509" s="133"/>
      <c r="V509" s="133"/>
      <c r="W509" s="133" t="s">
        <v>513</v>
      </c>
      <c r="X509" s="133"/>
    </row>
    <row r="510" spans="1:24" s="161" customFormat="1" ht="36" customHeight="1">
      <c r="A510" s="139">
        <v>514</v>
      </c>
      <c r="B510" s="139" t="s">
        <v>227</v>
      </c>
      <c r="C510" s="139" t="s">
        <v>1456</v>
      </c>
      <c r="D510" s="133" t="s">
        <v>1457</v>
      </c>
      <c r="E510" s="145" t="s">
        <v>1458</v>
      </c>
      <c r="F510" s="154">
        <v>9844616383</v>
      </c>
      <c r="G510" s="154" t="s">
        <v>1459</v>
      </c>
      <c r="H510" s="139" t="s">
        <v>395</v>
      </c>
      <c r="I510" s="133"/>
      <c r="J510" s="133" t="s">
        <v>445</v>
      </c>
      <c r="K510" s="133"/>
      <c r="L510" s="180"/>
      <c r="M510" s="146" t="s">
        <v>2525</v>
      </c>
      <c r="N510" s="146" t="s">
        <v>2522</v>
      </c>
      <c r="O510" s="139">
        <v>11</v>
      </c>
      <c r="P510" s="139"/>
      <c r="Q510" s="133" t="s">
        <v>195</v>
      </c>
      <c r="R510" s="139"/>
      <c r="S510" s="133" t="s">
        <v>2541</v>
      </c>
      <c r="T510" s="133"/>
      <c r="U510" s="133"/>
      <c r="V510" s="133"/>
      <c r="W510" s="133" t="s">
        <v>243</v>
      </c>
      <c r="X510" s="133"/>
    </row>
    <row r="511" spans="1:24" s="219" customFormat="1" ht="72" customHeight="1">
      <c r="A511" s="139">
        <v>515</v>
      </c>
      <c r="B511" s="179" t="s">
        <v>227</v>
      </c>
      <c r="C511" s="179" t="s">
        <v>796</v>
      </c>
      <c r="D511" s="131" t="s">
        <v>797</v>
      </c>
      <c r="E511" s="132" t="s">
        <v>798</v>
      </c>
      <c r="F511" s="263">
        <v>8051336531</v>
      </c>
      <c r="G511" s="263" t="s">
        <v>799</v>
      </c>
      <c r="H511" s="179" t="s">
        <v>194</v>
      </c>
      <c r="I511" s="131" t="s">
        <v>10</v>
      </c>
      <c r="J511" s="131" t="s">
        <v>445</v>
      </c>
      <c r="K511" s="131"/>
      <c r="L511" s="277"/>
      <c r="M511" s="265">
        <v>46237</v>
      </c>
      <c r="N511" s="265">
        <v>46570</v>
      </c>
      <c r="O511" s="179">
        <v>11</v>
      </c>
      <c r="P511" s="179"/>
      <c r="Q511" s="131" t="s">
        <v>195</v>
      </c>
      <c r="R511" s="179"/>
      <c r="S511" s="131" t="s">
        <v>2542</v>
      </c>
      <c r="T511" s="131"/>
      <c r="U511" s="131"/>
      <c r="V511" s="131"/>
      <c r="W511" s="131" t="s">
        <v>513</v>
      </c>
      <c r="X511" s="131"/>
    </row>
    <row r="512" spans="1:24" s="161" customFormat="1" ht="57.75" customHeight="1">
      <c r="A512" s="139">
        <v>516</v>
      </c>
      <c r="B512" s="139" t="s">
        <v>227</v>
      </c>
      <c r="C512" s="139" t="s">
        <v>1365</v>
      </c>
      <c r="D512" s="133" t="s">
        <v>1366</v>
      </c>
      <c r="E512" s="145" t="s">
        <v>1367</v>
      </c>
      <c r="F512" s="154">
        <v>9820844412</v>
      </c>
      <c r="G512" s="154" t="s">
        <v>1368</v>
      </c>
      <c r="H512" s="139" t="s">
        <v>354</v>
      </c>
      <c r="I512" s="133"/>
      <c r="J512" s="133" t="s">
        <v>445</v>
      </c>
      <c r="K512" s="133"/>
      <c r="L512" s="180"/>
      <c r="M512" s="146" t="s">
        <v>2393</v>
      </c>
      <c r="N512" s="146" t="s">
        <v>2394</v>
      </c>
      <c r="O512" s="139">
        <v>11</v>
      </c>
      <c r="P512" s="139"/>
      <c r="Q512" s="133" t="s">
        <v>195</v>
      </c>
      <c r="R512" s="139"/>
      <c r="S512" s="133" t="s">
        <v>2543</v>
      </c>
      <c r="T512" s="133"/>
      <c r="U512" s="133"/>
      <c r="V512" s="133"/>
      <c r="W512" s="133" t="s">
        <v>243</v>
      </c>
      <c r="X512" s="133"/>
    </row>
    <row r="513" spans="1:24" s="161" customFormat="1" ht="48.75" customHeight="1">
      <c r="A513" s="139">
        <v>517</v>
      </c>
      <c r="B513" s="139" t="s">
        <v>227</v>
      </c>
      <c r="C513" s="139" t="s">
        <v>1466</v>
      </c>
      <c r="D513" s="133" t="s">
        <v>1467</v>
      </c>
      <c r="E513" s="145" t="s">
        <v>1468</v>
      </c>
      <c r="F513" s="154">
        <v>9916154549</v>
      </c>
      <c r="G513" s="154" t="s">
        <v>1469</v>
      </c>
      <c r="H513" s="139" t="s">
        <v>492</v>
      </c>
      <c r="I513" s="133"/>
      <c r="J513" s="133" t="s">
        <v>1064</v>
      </c>
      <c r="K513" s="133"/>
      <c r="L513" s="180"/>
      <c r="M513" s="146" t="s">
        <v>2525</v>
      </c>
      <c r="N513" s="146" t="s">
        <v>2522</v>
      </c>
      <c r="O513" s="139">
        <v>11</v>
      </c>
      <c r="P513" s="139"/>
      <c r="Q513" s="133" t="s">
        <v>176</v>
      </c>
      <c r="R513" s="139"/>
      <c r="S513" s="133" t="s">
        <v>2544</v>
      </c>
      <c r="T513" s="133"/>
      <c r="U513" s="133"/>
      <c r="V513" s="133"/>
      <c r="W513" s="133" t="s">
        <v>243</v>
      </c>
      <c r="X513" s="133"/>
    </row>
    <row r="514" spans="1:24" s="161" customFormat="1" ht="41.25" customHeight="1">
      <c r="A514" s="139">
        <v>518</v>
      </c>
      <c r="B514" s="139" t="s">
        <v>227</v>
      </c>
      <c r="C514" s="139" t="s">
        <v>1538</v>
      </c>
      <c r="D514" s="133" t="s">
        <v>1539</v>
      </c>
      <c r="E514" s="145" t="s">
        <v>1540</v>
      </c>
      <c r="F514" s="154">
        <v>9845006732</v>
      </c>
      <c r="G514" s="154" t="s">
        <v>1541</v>
      </c>
      <c r="H514" s="139" t="s">
        <v>416</v>
      </c>
      <c r="I514" s="133"/>
      <c r="J514" s="133" t="s">
        <v>716</v>
      </c>
      <c r="K514" s="133"/>
      <c r="L514" s="180"/>
      <c r="M514" s="146">
        <v>46240</v>
      </c>
      <c r="N514" s="146">
        <v>46573</v>
      </c>
      <c r="O514" s="139">
        <v>11</v>
      </c>
      <c r="P514" s="139"/>
      <c r="Q514" s="133" t="s">
        <v>176</v>
      </c>
      <c r="R514" s="139"/>
      <c r="S514" s="133" t="s">
        <v>2545</v>
      </c>
      <c r="T514" s="133"/>
      <c r="U514" s="133"/>
      <c r="V514" s="133"/>
      <c r="W514" s="133" t="s">
        <v>243</v>
      </c>
      <c r="X514" s="133"/>
    </row>
    <row r="515" spans="1:24" s="161" customFormat="1" ht="62.25" customHeight="1">
      <c r="A515" s="139">
        <v>519</v>
      </c>
      <c r="B515" s="139" t="s">
        <v>211</v>
      </c>
      <c r="C515" s="139" t="s">
        <v>634</v>
      </c>
      <c r="D515" s="133" t="s">
        <v>635</v>
      </c>
      <c r="E515" s="145" t="s">
        <v>636</v>
      </c>
      <c r="F515" s="154">
        <v>9819867031</v>
      </c>
      <c r="G515" s="154" t="s">
        <v>637</v>
      </c>
      <c r="H515" s="139" t="s">
        <v>529</v>
      </c>
      <c r="I515" s="133" t="s">
        <v>10</v>
      </c>
      <c r="J515" s="133" t="s">
        <v>417</v>
      </c>
      <c r="K515" s="133"/>
      <c r="L515" s="180"/>
      <c r="M515" s="146" t="s">
        <v>2546</v>
      </c>
      <c r="N515" s="146" t="s">
        <v>2547</v>
      </c>
      <c r="O515" s="139">
        <v>11</v>
      </c>
      <c r="P515" s="139"/>
      <c r="Q515" s="133" t="s">
        <v>195</v>
      </c>
      <c r="R515" s="139"/>
      <c r="S515" s="133" t="s">
        <v>2548</v>
      </c>
      <c r="T515" s="133" t="s">
        <v>2549</v>
      </c>
      <c r="U515" s="133">
        <v>100</v>
      </c>
      <c r="V515" s="133"/>
      <c r="W515" s="133" t="s">
        <v>513</v>
      </c>
      <c r="X515" s="133"/>
    </row>
    <row r="516" spans="1:24" s="161" customFormat="1" ht="42" customHeight="1">
      <c r="A516" s="139">
        <v>520</v>
      </c>
      <c r="B516" s="139" t="s">
        <v>227</v>
      </c>
      <c r="C516" s="139" t="s">
        <v>1016</v>
      </c>
      <c r="D516" s="133" t="s">
        <v>1017</v>
      </c>
      <c r="E516" s="145" t="s">
        <v>1018</v>
      </c>
      <c r="F516" s="154">
        <v>9810208007</v>
      </c>
      <c r="G516" s="154" t="s">
        <v>1019</v>
      </c>
      <c r="H516" s="139" t="s">
        <v>194</v>
      </c>
      <c r="I516" s="133"/>
      <c r="J516" s="133" t="s">
        <v>445</v>
      </c>
      <c r="K516" s="133"/>
      <c r="L516" s="180"/>
      <c r="M516" s="146">
        <v>46057</v>
      </c>
      <c r="N516" s="146">
        <v>46390</v>
      </c>
      <c r="O516" s="139">
        <v>11</v>
      </c>
      <c r="P516" s="139"/>
      <c r="Q516" s="133" t="s">
        <v>195</v>
      </c>
      <c r="R516" s="139"/>
      <c r="S516" s="133" t="s">
        <v>2550</v>
      </c>
      <c r="T516" s="133"/>
      <c r="U516" s="133"/>
      <c r="V516" s="133"/>
      <c r="W516" s="133" t="s">
        <v>513</v>
      </c>
      <c r="X516" s="133"/>
    </row>
    <row r="517" spans="1:24" s="161" customFormat="1" ht="48" customHeight="1">
      <c r="A517" s="139">
        <v>521</v>
      </c>
      <c r="B517" s="139" t="s">
        <v>227</v>
      </c>
      <c r="C517" s="139" t="s">
        <v>1568</v>
      </c>
      <c r="D517" s="133" t="s">
        <v>1569</v>
      </c>
      <c r="E517" s="145" t="s">
        <v>1570</v>
      </c>
      <c r="F517" s="154">
        <v>9811126846</v>
      </c>
      <c r="G517" s="154" t="s">
        <v>1571</v>
      </c>
      <c r="H517" s="139" t="s">
        <v>194</v>
      </c>
      <c r="I517" s="133"/>
      <c r="J517" s="133" t="s">
        <v>1064</v>
      </c>
      <c r="K517" s="133"/>
      <c r="L517" s="180"/>
      <c r="M517" s="146">
        <v>46271</v>
      </c>
      <c r="N517" s="146">
        <v>46604</v>
      </c>
      <c r="O517" s="139">
        <v>11</v>
      </c>
      <c r="P517" s="139"/>
      <c r="Q517" s="133" t="s">
        <v>195</v>
      </c>
      <c r="R517" s="139"/>
      <c r="S517" s="133" t="s">
        <v>2551</v>
      </c>
      <c r="T517" s="133"/>
      <c r="U517" s="133"/>
      <c r="V517" s="133"/>
      <c r="W517" s="133" t="s">
        <v>243</v>
      </c>
      <c r="X517" s="133"/>
    </row>
    <row r="518" spans="1:24" s="161" customFormat="1" ht="44.25" customHeight="1">
      <c r="A518" s="139">
        <v>522</v>
      </c>
      <c r="B518" s="139" t="s">
        <v>227</v>
      </c>
      <c r="C518" s="139" t="s">
        <v>904</v>
      </c>
      <c r="D518" s="133" t="s">
        <v>905</v>
      </c>
      <c r="E518" s="145" t="s">
        <v>906</v>
      </c>
      <c r="F518" s="154" t="s">
        <v>907</v>
      </c>
      <c r="G518" s="154" t="s">
        <v>908</v>
      </c>
      <c r="H518" s="139" t="s">
        <v>444</v>
      </c>
      <c r="I518" s="133"/>
      <c r="J518" s="133" t="s">
        <v>716</v>
      </c>
      <c r="K518" s="133"/>
      <c r="L518" s="180"/>
      <c r="M518" s="146" t="s">
        <v>2378</v>
      </c>
      <c r="N518" s="146" t="s">
        <v>2379</v>
      </c>
      <c r="O518" s="139">
        <v>11</v>
      </c>
      <c r="P518" s="139"/>
      <c r="Q518" s="133" t="s">
        <v>195</v>
      </c>
      <c r="R518" s="139"/>
      <c r="S518" s="133" t="s">
        <v>2552</v>
      </c>
      <c r="T518" s="133"/>
      <c r="U518" s="133"/>
      <c r="V518" s="133"/>
      <c r="W518" s="133" t="s">
        <v>513</v>
      </c>
      <c r="X518" s="133"/>
    </row>
    <row r="519" spans="1:24" s="161" customFormat="1" ht="39" customHeight="1">
      <c r="A519" s="139">
        <v>523</v>
      </c>
      <c r="B519" s="139" t="s">
        <v>227</v>
      </c>
      <c r="C519" s="139" t="s">
        <v>1165</v>
      </c>
      <c r="D519" s="133" t="s">
        <v>1166</v>
      </c>
      <c r="E519" s="145" t="s">
        <v>1167</v>
      </c>
      <c r="F519" s="154">
        <v>9927134466</v>
      </c>
      <c r="G519" s="154" t="s">
        <v>1168</v>
      </c>
      <c r="H519" s="139" t="s">
        <v>241</v>
      </c>
      <c r="I519" s="133"/>
      <c r="J519" s="133" t="s">
        <v>1064</v>
      </c>
      <c r="K519" s="133"/>
      <c r="L519" s="180"/>
      <c r="M519" s="146" t="s">
        <v>2553</v>
      </c>
      <c r="N519" s="146" t="s">
        <v>2554</v>
      </c>
      <c r="O519" s="139">
        <v>11</v>
      </c>
      <c r="P519" s="139"/>
      <c r="Q519" s="133" t="s">
        <v>176</v>
      </c>
      <c r="R519" s="139" t="s">
        <v>177</v>
      </c>
      <c r="S519" s="133" t="s">
        <v>2555</v>
      </c>
      <c r="T519" s="133"/>
      <c r="U519" s="133"/>
      <c r="V519" s="133"/>
      <c r="W519" s="133" t="s">
        <v>243</v>
      </c>
      <c r="X519" s="133"/>
    </row>
    <row r="520" spans="1:24" s="161" customFormat="1" ht="53.25" customHeight="1">
      <c r="A520" s="139">
        <v>524</v>
      </c>
      <c r="B520" s="139" t="s">
        <v>227</v>
      </c>
      <c r="C520" s="139" t="s">
        <v>1324</v>
      </c>
      <c r="D520" s="133" t="s">
        <v>1325</v>
      </c>
      <c r="E520" s="145" t="s">
        <v>1326</v>
      </c>
      <c r="F520" s="154">
        <v>9742852717</v>
      </c>
      <c r="G520" s="154" t="s">
        <v>1327</v>
      </c>
      <c r="H520" s="139" t="s">
        <v>202</v>
      </c>
      <c r="I520" s="133"/>
      <c r="J520" s="133" t="s">
        <v>445</v>
      </c>
      <c r="K520" s="133"/>
      <c r="L520" s="180"/>
      <c r="M520" s="146" t="s">
        <v>2531</v>
      </c>
      <c r="N520" s="146">
        <v>46725</v>
      </c>
      <c r="O520" s="139">
        <v>11</v>
      </c>
      <c r="P520" s="139"/>
      <c r="Q520" s="133" t="s">
        <v>195</v>
      </c>
      <c r="R520" s="139"/>
      <c r="S520" s="133" t="s">
        <v>2556</v>
      </c>
      <c r="T520" s="133"/>
      <c r="U520" s="133"/>
      <c r="V520" s="133"/>
      <c r="W520" s="133" t="s">
        <v>243</v>
      </c>
      <c r="X520" s="133"/>
    </row>
    <row r="521" spans="1:24" s="161" customFormat="1" ht="39" customHeight="1">
      <c r="A521" s="139">
        <v>525</v>
      </c>
      <c r="B521" s="139" t="s">
        <v>227</v>
      </c>
      <c r="C521" s="139" t="s">
        <v>105</v>
      </c>
      <c r="D521" s="133" t="s">
        <v>1662</v>
      </c>
      <c r="E521" s="145" t="s">
        <v>1663</v>
      </c>
      <c r="F521" s="154">
        <v>9899398722</v>
      </c>
      <c r="G521" s="154" t="s">
        <v>1664</v>
      </c>
      <c r="H521" s="139" t="s">
        <v>1665</v>
      </c>
      <c r="I521" s="133"/>
      <c r="J521" s="133" t="s">
        <v>716</v>
      </c>
      <c r="K521" s="133"/>
      <c r="L521" s="180"/>
      <c r="M521" s="146" t="s">
        <v>2557</v>
      </c>
      <c r="N521" s="146" t="s">
        <v>2558</v>
      </c>
      <c r="O521" s="139">
        <v>11</v>
      </c>
      <c r="P521" s="139"/>
      <c r="Q521" s="133" t="s">
        <v>195</v>
      </c>
      <c r="R521" s="139"/>
      <c r="S521" s="133" t="s">
        <v>2559</v>
      </c>
      <c r="T521" s="133"/>
      <c r="U521" s="133"/>
      <c r="V521" s="133"/>
      <c r="W521" s="133" t="s">
        <v>243</v>
      </c>
      <c r="X521" s="133"/>
    </row>
    <row r="522" spans="1:24" s="161" customFormat="1" ht="40.5" customHeight="1">
      <c r="A522" s="139">
        <v>526</v>
      </c>
      <c r="B522" s="139" t="s">
        <v>227</v>
      </c>
      <c r="C522" s="139" t="s">
        <v>1271</v>
      </c>
      <c r="D522" s="133" t="s">
        <v>1272</v>
      </c>
      <c r="E522" s="145" t="s">
        <v>1273</v>
      </c>
      <c r="F522" s="154">
        <v>9728900007</v>
      </c>
      <c r="G522" s="154" t="s">
        <v>1274</v>
      </c>
      <c r="H522" s="139" t="s">
        <v>261</v>
      </c>
      <c r="I522" s="133"/>
      <c r="J522" s="133" t="s">
        <v>716</v>
      </c>
      <c r="K522" s="133"/>
      <c r="L522" s="180"/>
      <c r="M522" s="146">
        <v>46178</v>
      </c>
      <c r="N522" s="146">
        <v>46511</v>
      </c>
      <c r="O522" s="139">
        <v>11</v>
      </c>
      <c r="P522" s="139"/>
      <c r="Q522" s="133" t="s">
        <v>195</v>
      </c>
      <c r="R522" s="139"/>
      <c r="S522" s="133" t="s">
        <v>2560</v>
      </c>
      <c r="T522" s="133"/>
      <c r="U522" s="133"/>
      <c r="V522" s="133"/>
      <c r="W522" s="133" t="s">
        <v>243</v>
      </c>
      <c r="X522" s="133"/>
    </row>
    <row r="523" spans="1:24" s="161" customFormat="1" ht="48.75" customHeight="1">
      <c r="A523" s="139">
        <v>527</v>
      </c>
      <c r="B523" s="139" t="s">
        <v>227</v>
      </c>
      <c r="C523" s="139" t="s">
        <v>1527</v>
      </c>
      <c r="D523" s="133" t="s">
        <v>1528</v>
      </c>
      <c r="E523" s="145" t="s">
        <v>1529</v>
      </c>
      <c r="F523" s="154">
        <v>9971601653</v>
      </c>
      <c r="G523" s="154" t="s">
        <v>1530</v>
      </c>
      <c r="H523" s="139" t="s">
        <v>416</v>
      </c>
      <c r="I523" s="133"/>
      <c r="J523" s="133" t="s">
        <v>1064</v>
      </c>
      <c r="K523" s="133"/>
      <c r="L523" s="180"/>
      <c r="M523" s="146">
        <v>46209</v>
      </c>
      <c r="N523" s="146">
        <v>46543</v>
      </c>
      <c r="O523" s="139">
        <v>11</v>
      </c>
      <c r="P523" s="139"/>
      <c r="Q523" s="133" t="s">
        <v>176</v>
      </c>
      <c r="R523" s="139"/>
      <c r="S523" s="133" t="s">
        <v>2561</v>
      </c>
      <c r="T523" s="133"/>
      <c r="U523" s="133"/>
      <c r="V523" s="133"/>
      <c r="W523" s="133" t="s">
        <v>243</v>
      </c>
      <c r="X523" s="133"/>
    </row>
    <row r="524" spans="1:24" s="161" customFormat="1" ht="45.75" customHeight="1">
      <c r="A524" s="139">
        <v>528</v>
      </c>
      <c r="B524" s="139" t="s">
        <v>227</v>
      </c>
      <c r="C524" s="139" t="s">
        <v>931</v>
      </c>
      <c r="D524" s="133" t="s">
        <v>1410</v>
      </c>
      <c r="E524" s="145" t="s">
        <v>1411</v>
      </c>
      <c r="F524" s="154">
        <v>9719168574</v>
      </c>
      <c r="G524" s="154" t="s">
        <v>1412</v>
      </c>
      <c r="H524" s="139" t="s">
        <v>241</v>
      </c>
      <c r="I524" s="133"/>
      <c r="J524" s="133" t="s">
        <v>1064</v>
      </c>
      <c r="K524" s="133"/>
      <c r="L524" s="180"/>
      <c r="M524" s="146" t="s">
        <v>2562</v>
      </c>
      <c r="N524" s="146" t="s">
        <v>2563</v>
      </c>
      <c r="O524" s="139">
        <v>11</v>
      </c>
      <c r="P524" s="139"/>
      <c r="Q524" s="133" t="s">
        <v>195</v>
      </c>
      <c r="R524" s="139"/>
      <c r="S524" s="133" t="s">
        <v>2564</v>
      </c>
      <c r="T524" s="133"/>
      <c r="U524" s="133"/>
      <c r="V524" s="133"/>
      <c r="W524" s="133" t="s">
        <v>243</v>
      </c>
      <c r="X524" s="133"/>
    </row>
    <row r="525" spans="1:24" s="161" customFormat="1" ht="62.25" customHeight="1">
      <c r="A525" s="139">
        <v>529</v>
      </c>
      <c r="B525" s="139" t="s">
        <v>227</v>
      </c>
      <c r="C525" s="139" t="s">
        <v>931</v>
      </c>
      <c r="D525" s="133" t="s">
        <v>932</v>
      </c>
      <c r="E525" s="145" t="s">
        <v>933</v>
      </c>
      <c r="F525" s="154" t="s">
        <v>934</v>
      </c>
      <c r="G525" s="154" t="s">
        <v>935</v>
      </c>
      <c r="H525" s="139" t="s">
        <v>241</v>
      </c>
      <c r="I525" s="133"/>
      <c r="J525" s="133" t="s">
        <v>716</v>
      </c>
      <c r="K525" s="133"/>
      <c r="L525" s="180"/>
      <c r="M525" s="146">
        <v>45769</v>
      </c>
      <c r="N525" s="146">
        <v>45737</v>
      </c>
      <c r="O525" s="139">
        <v>11</v>
      </c>
      <c r="P525" s="139"/>
      <c r="Q525" s="133" t="s">
        <v>195</v>
      </c>
      <c r="R525" s="139"/>
      <c r="S525" s="133" t="s">
        <v>2565</v>
      </c>
      <c r="T525" s="133"/>
      <c r="U525" s="133"/>
      <c r="V525" s="133"/>
      <c r="W525" s="133" t="s">
        <v>513</v>
      </c>
      <c r="X525" s="133"/>
    </row>
    <row r="526" spans="1:24" s="161" customFormat="1" ht="38.25" customHeight="1">
      <c r="A526" s="139">
        <v>530</v>
      </c>
      <c r="B526" s="139" t="s">
        <v>227</v>
      </c>
      <c r="C526" s="139" t="s">
        <v>1436</v>
      </c>
      <c r="D526" s="133" t="s">
        <v>1437</v>
      </c>
      <c r="E526" s="145" t="s">
        <v>1438</v>
      </c>
      <c r="F526" s="154">
        <v>9004045018</v>
      </c>
      <c r="G526" s="154" t="s">
        <v>1439</v>
      </c>
      <c r="H526" s="139" t="s">
        <v>365</v>
      </c>
      <c r="I526" s="133"/>
      <c r="J526" s="133" t="s">
        <v>1064</v>
      </c>
      <c r="K526" s="133"/>
      <c r="L526" s="180"/>
      <c r="M526" s="146" t="s">
        <v>2566</v>
      </c>
      <c r="N526" s="146" t="s">
        <v>2567</v>
      </c>
      <c r="O526" s="139">
        <v>11</v>
      </c>
      <c r="P526" s="139"/>
      <c r="Q526" s="133" t="s">
        <v>195</v>
      </c>
      <c r="R526" s="139"/>
      <c r="S526" s="133" t="s">
        <v>2568</v>
      </c>
      <c r="T526" s="133"/>
      <c r="U526" s="133"/>
      <c r="V526" s="133"/>
      <c r="W526" s="133" t="s">
        <v>243</v>
      </c>
      <c r="X526" s="133"/>
    </row>
    <row r="527" spans="1:24" s="161" customFormat="1" ht="45" customHeight="1">
      <c r="A527" s="139">
        <v>531</v>
      </c>
      <c r="B527" s="139" t="s">
        <v>227</v>
      </c>
      <c r="C527" s="139" t="s">
        <v>1245</v>
      </c>
      <c r="D527" s="133" t="s">
        <v>1246</v>
      </c>
      <c r="E527" s="145" t="s">
        <v>1247</v>
      </c>
      <c r="F527" s="154">
        <v>9843133334</v>
      </c>
      <c r="G527" s="154" t="s">
        <v>1248</v>
      </c>
      <c r="H527" s="139" t="s">
        <v>348</v>
      </c>
      <c r="I527" s="133"/>
      <c r="J527" s="133" t="s">
        <v>1195</v>
      </c>
      <c r="K527" s="133"/>
      <c r="L527" s="180"/>
      <c r="M527" s="146">
        <v>46117</v>
      </c>
      <c r="N527" s="146">
        <v>46450</v>
      </c>
      <c r="O527" s="139">
        <v>11</v>
      </c>
      <c r="P527" s="139"/>
      <c r="Q527" s="133" t="s">
        <v>195</v>
      </c>
      <c r="R527" s="139"/>
      <c r="S527" s="133" t="s">
        <v>2569</v>
      </c>
      <c r="T527" s="133"/>
      <c r="U527" s="133"/>
      <c r="V527" s="133"/>
      <c r="W527" s="133" t="s">
        <v>243</v>
      </c>
      <c r="X527" s="133"/>
    </row>
    <row r="528" spans="1:24" s="161" customFormat="1" ht="38.25" customHeight="1">
      <c r="A528" s="139">
        <v>532</v>
      </c>
      <c r="B528" s="139" t="s">
        <v>227</v>
      </c>
      <c r="C528" s="139" t="s">
        <v>1293</v>
      </c>
      <c r="D528" s="133" t="s">
        <v>1294</v>
      </c>
      <c r="E528" s="145" t="s">
        <v>1295</v>
      </c>
      <c r="F528" s="154">
        <v>9930629776</v>
      </c>
      <c r="G528" s="154" t="s">
        <v>1296</v>
      </c>
      <c r="H528" s="139" t="s">
        <v>690</v>
      </c>
      <c r="I528" s="133"/>
      <c r="J528" s="133" t="s">
        <v>445</v>
      </c>
      <c r="K528" s="133"/>
      <c r="L528" s="180"/>
      <c r="M528" s="146">
        <v>46300</v>
      </c>
      <c r="N528" s="146">
        <v>46634</v>
      </c>
      <c r="O528" s="139">
        <v>11</v>
      </c>
      <c r="P528" s="139"/>
      <c r="Q528" s="133" t="s">
        <v>195</v>
      </c>
      <c r="R528" s="139"/>
      <c r="S528" s="133" t="s">
        <v>2570</v>
      </c>
      <c r="T528" s="133"/>
      <c r="U528" s="133"/>
      <c r="V528" s="133"/>
      <c r="W528" s="133" t="s">
        <v>243</v>
      </c>
      <c r="X528" s="133"/>
    </row>
    <row r="529" spans="1:24" s="161" customFormat="1" ht="32.25" customHeight="1">
      <c r="A529" s="139">
        <v>533</v>
      </c>
      <c r="B529" s="139" t="s">
        <v>227</v>
      </c>
      <c r="C529" s="139" t="s">
        <v>1250</v>
      </c>
      <c r="D529" s="133" t="s">
        <v>1251</v>
      </c>
      <c r="E529" s="145" t="s">
        <v>1252</v>
      </c>
      <c r="F529" s="154">
        <v>9843133334</v>
      </c>
      <c r="G529" s="154" t="s">
        <v>1253</v>
      </c>
      <c r="H529" s="139" t="s">
        <v>348</v>
      </c>
      <c r="I529" s="133"/>
      <c r="J529" s="133" t="s">
        <v>1195</v>
      </c>
      <c r="K529" s="133"/>
      <c r="L529" s="180"/>
      <c r="M529" s="146">
        <v>46117</v>
      </c>
      <c r="N529" s="146">
        <v>46085</v>
      </c>
      <c r="O529" s="139">
        <v>11</v>
      </c>
      <c r="P529" s="139"/>
      <c r="Q529" s="133" t="s">
        <v>195</v>
      </c>
      <c r="R529" s="139"/>
      <c r="S529" s="133" t="s">
        <v>2571</v>
      </c>
      <c r="T529" s="133"/>
      <c r="U529" s="133"/>
      <c r="V529" s="133"/>
      <c r="W529" s="133" t="s">
        <v>243</v>
      </c>
      <c r="X529" s="133"/>
    </row>
    <row r="530" spans="1:24" s="164" customFormat="1" ht="45" customHeight="1">
      <c r="A530" s="139">
        <v>534</v>
      </c>
      <c r="B530" s="163" t="s">
        <v>227</v>
      </c>
      <c r="C530" s="163" t="s">
        <v>1678</v>
      </c>
      <c r="D530" s="168" t="s">
        <v>1679</v>
      </c>
      <c r="E530" s="189" t="s">
        <v>1680</v>
      </c>
      <c r="F530" s="387" t="s">
        <v>1681</v>
      </c>
      <c r="G530" s="387" t="s">
        <v>1682</v>
      </c>
      <c r="H530" s="163" t="s">
        <v>365</v>
      </c>
      <c r="I530" s="168"/>
      <c r="J530" s="168" t="s">
        <v>716</v>
      </c>
      <c r="K530" s="168"/>
      <c r="L530" s="384"/>
      <c r="M530" s="226" t="s">
        <v>2572</v>
      </c>
      <c r="N530" s="226" t="s">
        <v>2573</v>
      </c>
      <c r="O530" s="163">
        <v>11</v>
      </c>
      <c r="P530" s="163"/>
      <c r="Q530" s="168" t="s">
        <v>195</v>
      </c>
      <c r="R530" s="163"/>
      <c r="S530" s="168" t="s">
        <v>2574</v>
      </c>
      <c r="T530" s="168"/>
      <c r="U530" s="168"/>
      <c r="V530" s="168"/>
      <c r="W530" s="168" t="s">
        <v>243</v>
      </c>
      <c r="X530" s="168"/>
    </row>
    <row r="531" spans="1:24" s="161" customFormat="1" ht="42.75" customHeight="1">
      <c r="A531" s="139">
        <v>535</v>
      </c>
      <c r="B531" s="163" t="s">
        <v>227</v>
      </c>
      <c r="C531" s="139" t="s">
        <v>1400</v>
      </c>
      <c r="D531" s="133" t="s">
        <v>1401</v>
      </c>
      <c r="E531" s="145" t="s">
        <v>1402</v>
      </c>
      <c r="F531" s="154">
        <v>9971749097</v>
      </c>
      <c r="G531" s="154" t="s">
        <v>1403</v>
      </c>
      <c r="H531" s="139" t="s">
        <v>194</v>
      </c>
      <c r="I531" s="133"/>
      <c r="J531" s="133" t="s">
        <v>1064</v>
      </c>
      <c r="K531" s="133"/>
      <c r="L531" s="180"/>
      <c r="M531" s="146" t="s">
        <v>2562</v>
      </c>
      <c r="N531" s="146" t="s">
        <v>2563</v>
      </c>
      <c r="O531" s="139">
        <v>11</v>
      </c>
      <c r="P531" s="139"/>
      <c r="Q531" s="133" t="s">
        <v>195</v>
      </c>
      <c r="R531" s="139"/>
      <c r="S531" s="133" t="s">
        <v>2575</v>
      </c>
      <c r="T531" s="133"/>
      <c r="U531" s="133"/>
      <c r="V531" s="133"/>
      <c r="W531" s="133" t="s">
        <v>243</v>
      </c>
      <c r="X531" s="133"/>
    </row>
    <row r="532" spans="1:24" s="161" customFormat="1" ht="38.25" customHeight="1">
      <c r="A532" s="139">
        <v>536</v>
      </c>
      <c r="B532" s="163" t="s">
        <v>227</v>
      </c>
      <c r="C532" s="139" t="s">
        <v>1548</v>
      </c>
      <c r="D532" s="133" t="s">
        <v>1549</v>
      </c>
      <c r="E532" s="145" t="s">
        <v>1550</v>
      </c>
      <c r="F532" s="154">
        <v>9611772597</v>
      </c>
      <c r="G532" s="154" t="s">
        <v>1551</v>
      </c>
      <c r="H532" s="139" t="s">
        <v>416</v>
      </c>
      <c r="I532" s="133"/>
      <c r="J532" s="133" t="s">
        <v>1064</v>
      </c>
      <c r="K532" s="133"/>
      <c r="L532" s="180"/>
      <c r="M532" s="146">
        <v>46029</v>
      </c>
      <c r="N532" s="139" t="s">
        <v>2576</v>
      </c>
      <c r="O532" s="161">
        <v>11</v>
      </c>
      <c r="Q532" s="133" t="s">
        <v>195</v>
      </c>
      <c r="R532" s="139"/>
      <c r="S532" s="133" t="s">
        <v>2577</v>
      </c>
      <c r="T532" s="133"/>
      <c r="U532" s="133"/>
      <c r="V532" s="133"/>
      <c r="W532" s="133" t="s">
        <v>243</v>
      </c>
      <c r="X532" s="133"/>
    </row>
    <row r="533" spans="1:24" s="161" customFormat="1" ht="42.75" customHeight="1">
      <c r="A533" s="139">
        <v>537</v>
      </c>
      <c r="B533" s="163" t="s">
        <v>227</v>
      </c>
      <c r="C533" s="139" t="s">
        <v>2578</v>
      </c>
      <c r="D533" s="131" t="s">
        <v>2579</v>
      </c>
      <c r="E533" s="145" t="s">
        <v>2580</v>
      </c>
      <c r="F533" s="141">
        <v>9810987229</v>
      </c>
      <c r="G533" s="141" t="s">
        <v>2581</v>
      </c>
      <c r="H533" s="139"/>
      <c r="I533" s="143"/>
      <c r="J533" s="133"/>
      <c r="K533" s="133"/>
      <c r="L533" s="139"/>
      <c r="M533" s="141" t="s">
        <v>2582</v>
      </c>
      <c r="N533" s="141" t="s">
        <v>2583</v>
      </c>
      <c r="O533" s="139">
        <v>11</v>
      </c>
      <c r="P533" s="139"/>
      <c r="Q533" s="133" t="s">
        <v>176</v>
      </c>
      <c r="S533" s="133" t="s">
        <v>2584</v>
      </c>
      <c r="T533" s="131" t="s">
        <v>2585</v>
      </c>
      <c r="U533" s="139"/>
      <c r="V533" s="139"/>
      <c r="W533" s="133" t="s">
        <v>243</v>
      </c>
    </row>
    <row r="534" spans="1:24" s="161" customFormat="1" ht="45.75" customHeight="1">
      <c r="A534" s="139">
        <v>538</v>
      </c>
      <c r="B534" s="163" t="s">
        <v>227</v>
      </c>
      <c r="C534" s="139" t="s">
        <v>1563</v>
      </c>
      <c r="D534" s="133" t="s">
        <v>1564</v>
      </c>
      <c r="E534" s="145" t="s">
        <v>1565</v>
      </c>
      <c r="F534" s="154">
        <v>7046714401</v>
      </c>
      <c r="G534" s="154" t="s">
        <v>1566</v>
      </c>
      <c r="H534" s="139" t="s">
        <v>365</v>
      </c>
      <c r="I534" s="133"/>
      <c r="J534" s="133" t="s">
        <v>716</v>
      </c>
      <c r="K534" s="133"/>
      <c r="L534" s="180"/>
      <c r="M534" s="146">
        <v>46271</v>
      </c>
      <c r="N534" s="146">
        <v>46604</v>
      </c>
      <c r="O534" s="139">
        <v>11</v>
      </c>
      <c r="P534" s="139"/>
      <c r="Q534" s="133" t="s">
        <v>195</v>
      </c>
      <c r="R534" s="139"/>
      <c r="S534" s="133" t="s">
        <v>2586</v>
      </c>
      <c r="T534" s="133"/>
      <c r="U534" s="133"/>
      <c r="V534" s="133"/>
      <c r="W534" s="133" t="s">
        <v>243</v>
      </c>
      <c r="X534" s="133"/>
    </row>
    <row r="535" spans="1:24" s="161" customFormat="1" ht="49.5" customHeight="1">
      <c r="A535" s="139">
        <v>539</v>
      </c>
      <c r="B535" s="163" t="s">
        <v>227</v>
      </c>
      <c r="C535" s="139" t="s">
        <v>1360</v>
      </c>
      <c r="D535" s="133" t="s">
        <v>1361</v>
      </c>
      <c r="E535" s="145" t="s">
        <v>1362</v>
      </c>
      <c r="F535" s="154">
        <v>9999826977</v>
      </c>
      <c r="G535" s="154" t="s">
        <v>1363</v>
      </c>
      <c r="H535" s="139" t="s">
        <v>194</v>
      </c>
      <c r="I535" s="133"/>
      <c r="J535" s="133" t="s">
        <v>1108</v>
      </c>
      <c r="K535" s="133"/>
      <c r="L535" s="180"/>
      <c r="M535" s="146" t="s">
        <v>2393</v>
      </c>
      <c r="N535" s="146" t="s">
        <v>2394</v>
      </c>
      <c r="O535" s="139">
        <v>11</v>
      </c>
      <c r="P535" s="139"/>
      <c r="Q535" s="133" t="s">
        <v>195</v>
      </c>
      <c r="R535" s="139"/>
      <c r="S535" s="133" t="s">
        <v>2587</v>
      </c>
      <c r="T535" s="133"/>
      <c r="U535" s="133"/>
      <c r="V535" s="133"/>
      <c r="W535" s="133" t="s">
        <v>243</v>
      </c>
      <c r="X535" s="133"/>
    </row>
    <row r="536" spans="1:24" s="161" customFormat="1" ht="53.25" customHeight="1">
      <c r="A536" s="139">
        <v>540</v>
      </c>
      <c r="B536" s="163" t="s">
        <v>227</v>
      </c>
      <c r="C536" s="139" t="s">
        <v>1618</v>
      </c>
      <c r="D536" s="133" t="s">
        <v>1619</v>
      </c>
      <c r="E536" s="145" t="s">
        <v>1620</v>
      </c>
      <c r="F536" s="154">
        <v>9811850931</v>
      </c>
      <c r="G536" s="154" t="s">
        <v>1621</v>
      </c>
      <c r="H536" s="139" t="s">
        <v>241</v>
      </c>
      <c r="I536" s="133"/>
      <c r="J536" s="133"/>
      <c r="K536" s="133"/>
      <c r="L536" s="180"/>
      <c r="M536" s="146" t="s">
        <v>2588</v>
      </c>
      <c r="N536" s="146" t="s">
        <v>2589</v>
      </c>
      <c r="O536" s="139">
        <v>11</v>
      </c>
      <c r="P536" s="139"/>
      <c r="Q536" s="133" t="s">
        <v>195</v>
      </c>
      <c r="R536" s="139"/>
      <c r="S536" s="133" t="s">
        <v>2590</v>
      </c>
      <c r="T536" s="133"/>
      <c r="U536" s="133"/>
      <c r="V536" s="133"/>
      <c r="W536" s="133" t="s">
        <v>513</v>
      </c>
      <c r="X536" s="133"/>
    </row>
    <row r="537" spans="1:24" s="161" customFormat="1" ht="50.25" customHeight="1">
      <c r="A537" s="139">
        <v>541</v>
      </c>
      <c r="B537" s="163" t="s">
        <v>227</v>
      </c>
      <c r="C537" s="139" t="s">
        <v>1635</v>
      </c>
      <c r="D537" s="133" t="s">
        <v>1636</v>
      </c>
      <c r="E537" s="145" t="s">
        <v>1637</v>
      </c>
      <c r="F537" s="154">
        <v>9821428197</v>
      </c>
      <c r="G537" s="154" t="s">
        <v>1638</v>
      </c>
      <c r="H537" s="139" t="s">
        <v>529</v>
      </c>
      <c r="I537" s="133"/>
      <c r="J537" s="133" t="s">
        <v>716</v>
      </c>
      <c r="K537" s="133"/>
      <c r="L537" s="180"/>
      <c r="M537" s="146" t="s">
        <v>2591</v>
      </c>
      <c r="N537" s="146" t="s">
        <v>2592</v>
      </c>
      <c r="O537" s="139">
        <v>11</v>
      </c>
      <c r="P537" s="139"/>
      <c r="Q537" s="133" t="s">
        <v>195</v>
      </c>
      <c r="R537" s="139"/>
      <c r="S537" s="133" t="s">
        <v>2593</v>
      </c>
      <c r="T537" s="133"/>
      <c r="U537" s="133"/>
      <c r="V537" s="133"/>
      <c r="W537" s="133" t="s">
        <v>513</v>
      </c>
      <c r="X537" s="133"/>
    </row>
    <row r="538" spans="1:24" s="161" customFormat="1" ht="48.75" customHeight="1">
      <c r="A538" s="139">
        <v>542</v>
      </c>
      <c r="B538" s="163" t="s">
        <v>227</v>
      </c>
      <c r="C538" s="139" t="s">
        <v>1673</v>
      </c>
      <c r="D538" s="133" t="s">
        <v>1674</v>
      </c>
      <c r="E538" s="145" t="s">
        <v>1675</v>
      </c>
      <c r="F538" s="154">
        <v>8296869270</v>
      </c>
      <c r="G538" s="154" t="s">
        <v>1676</v>
      </c>
      <c r="H538" s="139" t="s">
        <v>416</v>
      </c>
      <c r="I538" s="133"/>
      <c r="J538" s="133" t="s">
        <v>445</v>
      </c>
      <c r="K538" s="133"/>
      <c r="L538" s="180"/>
      <c r="M538" s="146" t="s">
        <v>2572</v>
      </c>
      <c r="N538" s="146" t="s">
        <v>2573</v>
      </c>
      <c r="O538" s="139">
        <v>11</v>
      </c>
      <c r="P538" s="139"/>
      <c r="Q538" s="133" t="s">
        <v>176</v>
      </c>
      <c r="R538" s="139"/>
      <c r="S538" s="133" t="s">
        <v>2594</v>
      </c>
      <c r="T538" s="133"/>
      <c r="U538" s="133"/>
      <c r="V538" s="133"/>
      <c r="W538" s="133" t="s">
        <v>243</v>
      </c>
      <c r="X538" s="133"/>
    </row>
    <row r="539" spans="1:24" s="219" customFormat="1" ht="74.25" customHeight="1">
      <c r="A539" s="139">
        <v>543</v>
      </c>
      <c r="B539" s="427" t="s">
        <v>227</v>
      </c>
      <c r="C539" s="179" t="s">
        <v>384</v>
      </c>
      <c r="D539" s="131" t="s">
        <v>385</v>
      </c>
      <c r="E539" s="132" t="s">
        <v>386</v>
      </c>
      <c r="F539" s="198">
        <v>9871061224</v>
      </c>
      <c r="G539" s="198" t="s">
        <v>387</v>
      </c>
      <c r="H539" s="179" t="s">
        <v>388</v>
      </c>
      <c r="I539" s="131" t="s">
        <v>10</v>
      </c>
      <c r="J539" s="131" t="s">
        <v>173</v>
      </c>
      <c r="K539" s="131" t="s">
        <v>174</v>
      </c>
      <c r="L539" s="277" t="s">
        <v>175</v>
      </c>
      <c r="M539" s="265" t="s">
        <v>2595</v>
      </c>
      <c r="N539" s="265" t="s">
        <v>2596</v>
      </c>
      <c r="O539" s="179">
        <v>24</v>
      </c>
      <c r="P539" s="179"/>
      <c r="Q539" s="131" t="s">
        <v>195</v>
      </c>
      <c r="R539" s="179" t="s">
        <v>177</v>
      </c>
      <c r="S539" s="131" t="s">
        <v>2597</v>
      </c>
      <c r="T539" s="131"/>
      <c r="U539" s="131">
        <v>100</v>
      </c>
      <c r="V539" s="131">
        <v>11000</v>
      </c>
      <c r="W539" s="131" t="s">
        <v>390</v>
      </c>
      <c r="X539" s="131"/>
    </row>
    <row r="540" spans="1:24" s="161" customFormat="1" ht="53.25" customHeight="1">
      <c r="A540" s="139">
        <v>544</v>
      </c>
      <c r="B540" s="163" t="s">
        <v>227</v>
      </c>
      <c r="C540" s="133" t="s">
        <v>1190</v>
      </c>
      <c r="D540" s="133" t="s">
        <v>1191</v>
      </c>
      <c r="E540" s="145" t="s">
        <v>1192</v>
      </c>
      <c r="F540" s="154" t="s">
        <v>1193</v>
      </c>
      <c r="G540" s="154" t="s">
        <v>1194</v>
      </c>
      <c r="H540" s="139" t="s">
        <v>492</v>
      </c>
      <c r="I540" s="133"/>
      <c r="J540" s="133" t="s">
        <v>1195</v>
      </c>
      <c r="K540" s="133"/>
      <c r="L540" s="180"/>
      <c r="M540" s="146" t="s">
        <v>118</v>
      </c>
      <c r="N540" s="146" t="s">
        <v>2501</v>
      </c>
      <c r="O540" s="139">
        <v>11</v>
      </c>
      <c r="P540" s="139"/>
      <c r="Q540" s="133" t="s">
        <v>195</v>
      </c>
      <c r="R540" s="139"/>
      <c r="S540" s="133" t="s">
        <v>2598</v>
      </c>
      <c r="T540" s="133"/>
      <c r="U540" s="133"/>
      <c r="V540" s="133"/>
      <c r="W540" s="133" t="s">
        <v>243</v>
      </c>
      <c r="X540" s="133"/>
    </row>
    <row r="541" spans="1:24" s="161" customFormat="1" ht="60" customHeight="1">
      <c r="A541" s="139">
        <v>545</v>
      </c>
      <c r="B541" s="163" t="s">
        <v>227</v>
      </c>
      <c r="C541" s="139"/>
      <c r="D541" s="133" t="s">
        <v>1648</v>
      </c>
      <c r="E541" s="145" t="s">
        <v>1649</v>
      </c>
      <c r="F541" s="154">
        <v>9830204336</v>
      </c>
      <c r="G541" s="154" t="s">
        <v>1650</v>
      </c>
      <c r="H541" s="139" t="s">
        <v>290</v>
      </c>
      <c r="I541" s="133"/>
      <c r="J541" s="133" t="s">
        <v>445</v>
      </c>
      <c r="K541" s="133"/>
      <c r="L541" s="180"/>
      <c r="M541" s="146" t="s">
        <v>2599</v>
      </c>
      <c r="N541" s="146" t="s">
        <v>2600</v>
      </c>
      <c r="O541" s="139">
        <v>11</v>
      </c>
      <c r="P541" s="139"/>
      <c r="Q541" s="133" t="s">
        <v>195</v>
      </c>
      <c r="R541" s="139"/>
      <c r="S541" s="133" t="s">
        <v>2601</v>
      </c>
      <c r="T541" s="133"/>
      <c r="U541" s="133"/>
      <c r="V541" s="133"/>
      <c r="W541" s="133" t="s">
        <v>243</v>
      </c>
      <c r="X541" s="133"/>
    </row>
    <row r="542" spans="1:24" s="164" customFormat="1" ht="56.25" customHeight="1">
      <c r="A542" s="139">
        <v>546</v>
      </c>
      <c r="B542" s="163" t="s">
        <v>227</v>
      </c>
      <c r="C542" s="168" t="s">
        <v>1098</v>
      </c>
      <c r="D542" s="168" t="s">
        <v>2602</v>
      </c>
      <c r="E542" s="189" t="s">
        <v>1100</v>
      </c>
      <c r="F542" s="387">
        <v>9115659591</v>
      </c>
      <c r="G542" s="387" t="s">
        <v>1101</v>
      </c>
      <c r="H542" s="163" t="s">
        <v>1102</v>
      </c>
      <c r="I542" s="168"/>
      <c r="J542" s="168" t="s">
        <v>1064</v>
      </c>
      <c r="K542" s="168"/>
      <c r="L542" s="384"/>
      <c r="M542" s="226">
        <v>45791</v>
      </c>
      <c r="N542" s="226">
        <v>46125</v>
      </c>
      <c r="O542" s="163">
        <v>11</v>
      </c>
      <c r="P542" s="163"/>
      <c r="Q542" s="168" t="s">
        <v>195</v>
      </c>
      <c r="R542" s="163"/>
      <c r="S542" s="168" t="s">
        <v>2603</v>
      </c>
      <c r="T542" s="168"/>
      <c r="U542" s="168"/>
      <c r="V542" s="168"/>
      <c r="W542" s="168" t="s">
        <v>243</v>
      </c>
      <c r="X542" s="168"/>
    </row>
    <row r="543" spans="1:24" s="161" customFormat="1" ht="36" customHeight="1">
      <c r="A543" s="139">
        <v>547</v>
      </c>
      <c r="B543" s="163" t="s">
        <v>227</v>
      </c>
      <c r="C543" s="139" t="s">
        <v>1075</v>
      </c>
      <c r="D543" s="133" t="s">
        <v>1076</v>
      </c>
      <c r="E543" s="145" t="s">
        <v>1077</v>
      </c>
      <c r="F543" s="154">
        <v>9109909815</v>
      </c>
      <c r="G543" s="154" t="s">
        <v>1078</v>
      </c>
      <c r="H543" s="139" t="s">
        <v>354</v>
      </c>
      <c r="I543" s="133"/>
      <c r="J543" s="133" t="s">
        <v>716</v>
      </c>
      <c r="K543" s="133"/>
      <c r="L543" s="180"/>
      <c r="M543" s="146">
        <v>46238</v>
      </c>
      <c r="N543" s="146">
        <v>46571</v>
      </c>
      <c r="O543" s="139">
        <v>11</v>
      </c>
      <c r="P543" s="139"/>
      <c r="Q543" s="133" t="s">
        <v>195</v>
      </c>
      <c r="R543" s="139"/>
      <c r="S543" s="133" t="s">
        <v>2604</v>
      </c>
      <c r="T543" s="133"/>
      <c r="U543" s="133"/>
      <c r="V543" s="133"/>
      <c r="W543" s="133" t="s">
        <v>243</v>
      </c>
      <c r="X543" s="133"/>
    </row>
    <row r="544" spans="1:24" s="161" customFormat="1" ht="45.75" customHeight="1">
      <c r="A544" s="139">
        <v>548</v>
      </c>
      <c r="B544" s="139" t="s">
        <v>227</v>
      </c>
      <c r="C544" s="139" t="s">
        <v>620</v>
      </c>
      <c r="D544" s="133" t="s">
        <v>621</v>
      </c>
      <c r="E544" s="145" t="s">
        <v>622</v>
      </c>
      <c r="F544" s="154">
        <v>9638448447</v>
      </c>
      <c r="G544" s="154" t="s">
        <v>623</v>
      </c>
      <c r="H544" s="139" t="s">
        <v>365</v>
      </c>
      <c r="I544" s="133" t="s">
        <v>10</v>
      </c>
      <c r="J544" s="133" t="s">
        <v>445</v>
      </c>
      <c r="K544" s="133" t="s">
        <v>2314</v>
      </c>
      <c r="L544" s="180" t="s">
        <v>446</v>
      </c>
      <c r="M544" s="146" t="s">
        <v>2605</v>
      </c>
      <c r="N544" s="146" t="s">
        <v>2489</v>
      </c>
      <c r="O544" s="139">
        <v>11</v>
      </c>
      <c r="P544" s="139"/>
      <c r="Q544" s="133" t="s">
        <v>195</v>
      </c>
      <c r="R544" s="139"/>
      <c r="S544" s="133" t="s">
        <v>2606</v>
      </c>
      <c r="T544" s="133"/>
      <c r="U544" s="133"/>
      <c r="V544" s="133"/>
      <c r="W544" s="133" t="s">
        <v>513</v>
      </c>
      <c r="X544" s="133"/>
    </row>
    <row r="545" spans="1:24" s="161" customFormat="1" ht="42" customHeight="1">
      <c r="A545" s="139">
        <v>549</v>
      </c>
      <c r="B545" s="139" t="s">
        <v>227</v>
      </c>
      <c r="C545" s="139" t="s">
        <v>2607</v>
      </c>
      <c r="D545" s="133" t="s">
        <v>2608</v>
      </c>
      <c r="E545" s="145" t="s">
        <v>2609</v>
      </c>
      <c r="F545" s="141">
        <v>9999025472</v>
      </c>
      <c r="G545" s="141" t="s">
        <v>2610</v>
      </c>
      <c r="H545" s="139"/>
      <c r="I545" s="143"/>
      <c r="J545" s="133"/>
      <c r="K545" s="133"/>
      <c r="L545" s="139"/>
      <c r="M545" s="146">
        <v>46241</v>
      </c>
      <c r="N545" s="146">
        <v>46574</v>
      </c>
      <c r="O545" s="139">
        <v>11</v>
      </c>
      <c r="Q545" s="133" t="s">
        <v>195</v>
      </c>
      <c r="S545" s="133" t="s">
        <v>2611</v>
      </c>
      <c r="T545" s="139"/>
      <c r="U545" s="139"/>
      <c r="V545" s="224"/>
    </row>
    <row r="546" spans="1:24" s="161" customFormat="1" ht="41.25" customHeight="1">
      <c r="A546" s="139">
        <v>550</v>
      </c>
      <c r="B546" s="143" t="s">
        <v>211</v>
      </c>
      <c r="C546" s="139" t="s">
        <v>1724</v>
      </c>
      <c r="D546" s="133" t="s">
        <v>1725</v>
      </c>
      <c r="E546" s="145" t="s">
        <v>1726</v>
      </c>
      <c r="F546" s="141">
        <v>8076365478</v>
      </c>
      <c r="G546" s="141" t="s">
        <v>1727</v>
      </c>
      <c r="H546" s="139" t="s">
        <v>261</v>
      </c>
      <c r="I546" s="133" t="s">
        <v>10</v>
      </c>
      <c r="J546" s="133" t="s">
        <v>1728</v>
      </c>
      <c r="K546" s="133" t="s">
        <v>1729</v>
      </c>
      <c r="L546" s="133" t="s">
        <v>1730</v>
      </c>
      <c r="M546" s="169">
        <v>46210</v>
      </c>
      <c r="N546" s="169">
        <v>46544</v>
      </c>
      <c r="O546" s="139">
        <v>11</v>
      </c>
      <c r="P546" s="139"/>
      <c r="Q546" s="133" t="s">
        <v>195</v>
      </c>
      <c r="S546" s="133" t="s">
        <v>2612</v>
      </c>
      <c r="T546" s="133"/>
      <c r="U546" s="139"/>
      <c r="V546" s="139"/>
      <c r="W546" s="139" t="s">
        <v>1714</v>
      </c>
    </row>
    <row r="547" spans="1:24" s="161" customFormat="1" ht="43.5" customHeight="1">
      <c r="A547" s="139">
        <v>551</v>
      </c>
      <c r="B547" s="139" t="s">
        <v>227</v>
      </c>
      <c r="C547" s="133" t="s">
        <v>2613</v>
      </c>
      <c r="D547" s="133" t="s">
        <v>811</v>
      </c>
      <c r="E547" s="145" t="s">
        <v>812</v>
      </c>
      <c r="F547" s="154">
        <v>9066224456</v>
      </c>
      <c r="G547" s="154" t="s">
        <v>813</v>
      </c>
      <c r="H547" s="139" t="s">
        <v>416</v>
      </c>
      <c r="I547" s="133" t="s">
        <v>10</v>
      </c>
      <c r="J547" s="133" t="s">
        <v>716</v>
      </c>
      <c r="K547" s="133"/>
      <c r="L547" s="180"/>
      <c r="M547" s="146">
        <v>46329</v>
      </c>
      <c r="N547" s="146">
        <v>46663</v>
      </c>
      <c r="O547" s="139">
        <v>11</v>
      </c>
      <c r="P547" s="139"/>
      <c r="Q547" s="133" t="s">
        <v>176</v>
      </c>
      <c r="R547" s="139"/>
      <c r="S547" s="133" t="s">
        <v>2614</v>
      </c>
      <c r="T547" s="133"/>
      <c r="U547" s="133"/>
      <c r="V547" s="133"/>
      <c r="W547" s="133" t="s">
        <v>513</v>
      </c>
      <c r="X547" s="133"/>
    </row>
    <row r="548" spans="1:24" s="161" customFormat="1" ht="53.25" customHeight="1">
      <c r="A548" s="139">
        <v>552</v>
      </c>
      <c r="B548" s="139" t="s">
        <v>227</v>
      </c>
      <c r="C548" s="139" t="s">
        <v>1405</v>
      </c>
      <c r="D548" s="133" t="s">
        <v>1406</v>
      </c>
      <c r="E548" s="145" t="s">
        <v>1407</v>
      </c>
      <c r="F548" s="154">
        <v>9971749097</v>
      </c>
      <c r="G548" s="154" t="s">
        <v>1408</v>
      </c>
      <c r="H548" s="139" t="s">
        <v>261</v>
      </c>
      <c r="I548" s="133"/>
      <c r="J548" s="133" t="s">
        <v>1064</v>
      </c>
      <c r="K548" s="133"/>
      <c r="L548" s="180"/>
      <c r="M548" s="146">
        <v>45832</v>
      </c>
      <c r="N548" s="146">
        <v>46165</v>
      </c>
      <c r="O548" s="139">
        <v>11</v>
      </c>
      <c r="P548" s="139"/>
      <c r="Q548" s="133" t="s">
        <v>195</v>
      </c>
      <c r="R548" s="139"/>
      <c r="S548" s="133" t="s">
        <v>2615</v>
      </c>
      <c r="T548" s="133"/>
      <c r="U548" s="133"/>
      <c r="V548" s="133"/>
      <c r="W548" s="133" t="s">
        <v>243</v>
      </c>
      <c r="X548" s="133"/>
    </row>
    <row r="549" spans="1:24" s="161" customFormat="1" ht="42" customHeight="1">
      <c r="A549" s="139">
        <v>553</v>
      </c>
      <c r="B549" s="139" t="s">
        <v>227</v>
      </c>
      <c r="C549" s="139" t="s">
        <v>1558</v>
      </c>
      <c r="D549" s="133" t="s">
        <v>1559</v>
      </c>
      <c r="E549" s="145" t="s">
        <v>1560</v>
      </c>
      <c r="F549" s="154">
        <v>9509356653</v>
      </c>
      <c r="G549" s="154" t="s">
        <v>1561</v>
      </c>
      <c r="H549" s="139" t="s">
        <v>444</v>
      </c>
      <c r="I549" s="133"/>
      <c r="J549" s="133" t="s">
        <v>716</v>
      </c>
      <c r="K549" s="133"/>
      <c r="L549" s="180"/>
      <c r="M549" s="146">
        <v>46272</v>
      </c>
      <c r="N549" s="146">
        <v>46605</v>
      </c>
      <c r="O549" s="139">
        <v>11</v>
      </c>
      <c r="P549" s="139"/>
      <c r="Q549" s="133" t="s">
        <v>195</v>
      </c>
      <c r="R549" s="139"/>
      <c r="S549" s="133" t="s">
        <v>2616</v>
      </c>
      <c r="T549" s="133"/>
      <c r="U549" s="133"/>
      <c r="V549" s="133"/>
      <c r="W549" s="133" t="s">
        <v>513</v>
      </c>
      <c r="X549" s="133"/>
    </row>
    <row r="550" spans="1:24" s="161" customFormat="1" ht="42.75" customHeight="1">
      <c r="A550" s="139">
        <v>554</v>
      </c>
      <c r="B550" s="143" t="s">
        <v>211</v>
      </c>
      <c r="C550" s="139" t="s">
        <v>1780</v>
      </c>
      <c r="D550" s="133" t="s">
        <v>1781</v>
      </c>
      <c r="E550" s="145" t="s">
        <v>1782</v>
      </c>
      <c r="F550" s="141"/>
      <c r="G550" s="141"/>
      <c r="H550" s="139"/>
      <c r="I550" s="133" t="s">
        <v>10</v>
      </c>
      <c r="J550" s="133" t="s">
        <v>1783</v>
      </c>
      <c r="K550" s="133" t="s">
        <v>1784</v>
      </c>
      <c r="L550" s="133" t="s">
        <v>1785</v>
      </c>
      <c r="M550" s="141" t="s">
        <v>1787</v>
      </c>
      <c r="N550" s="141" t="s">
        <v>2617</v>
      </c>
      <c r="O550" s="139">
        <v>11</v>
      </c>
      <c r="P550" s="139"/>
      <c r="Q550" s="133" t="s">
        <v>176</v>
      </c>
      <c r="S550" s="133" t="s">
        <v>2618</v>
      </c>
      <c r="T550" s="133"/>
      <c r="U550" s="139"/>
      <c r="V550" s="139"/>
      <c r="W550" s="139" t="s">
        <v>1714</v>
      </c>
    </row>
    <row r="551" spans="1:24" s="161" customFormat="1" ht="48.75" customHeight="1">
      <c r="A551" s="139">
        <v>555</v>
      </c>
      <c r="B551" s="139" t="s">
        <v>227</v>
      </c>
      <c r="C551" s="139" t="s">
        <v>1803</v>
      </c>
      <c r="D551" s="133" t="s">
        <v>1804</v>
      </c>
      <c r="E551" s="133" t="s">
        <v>1805</v>
      </c>
      <c r="F551" s="139">
        <v>9014007478</v>
      </c>
      <c r="G551" s="139" t="s">
        <v>1806</v>
      </c>
      <c r="H551" s="133" t="s">
        <v>395</v>
      </c>
      <c r="I551" s="133" t="s">
        <v>10</v>
      </c>
      <c r="J551" s="133" t="s">
        <v>1699</v>
      </c>
      <c r="K551" s="133" t="s">
        <v>1700</v>
      </c>
      <c r="L551" s="139">
        <v>9220726732</v>
      </c>
      <c r="M551" s="142" t="s">
        <v>2619</v>
      </c>
      <c r="N551" s="142" t="s">
        <v>2620</v>
      </c>
      <c r="O551" s="139">
        <v>11</v>
      </c>
      <c r="P551" s="139"/>
      <c r="Q551" s="133" t="s">
        <v>176</v>
      </c>
      <c r="R551" s="139"/>
      <c r="S551" s="133" t="s">
        <v>2621</v>
      </c>
      <c r="T551" s="133"/>
      <c r="U551" s="139"/>
      <c r="V551" s="139"/>
      <c r="W551" s="139" t="s">
        <v>243</v>
      </c>
      <c r="X551" s="139"/>
    </row>
    <row r="552" spans="1:24" ht="51" customHeight="1">
      <c r="A552" s="139">
        <v>556</v>
      </c>
      <c r="B552" s="163" t="s">
        <v>227</v>
      </c>
      <c r="C552" s="163" t="s">
        <v>1839</v>
      </c>
      <c r="D552" s="168" t="s">
        <v>1840</v>
      </c>
      <c r="E552" s="189" t="s">
        <v>1841</v>
      </c>
      <c r="F552" s="165">
        <v>9999065557</v>
      </c>
      <c r="G552" s="165" t="s">
        <v>1842</v>
      </c>
      <c r="H552" s="163" t="s">
        <v>241</v>
      </c>
      <c r="I552" s="168" t="s">
        <v>10</v>
      </c>
      <c r="J552" s="168" t="s">
        <v>549</v>
      </c>
      <c r="K552" s="168" t="s">
        <v>1784</v>
      </c>
      <c r="L552" s="163" t="s">
        <v>1843</v>
      </c>
      <c r="M552" s="226">
        <v>46334</v>
      </c>
      <c r="N552" s="226">
        <v>46667</v>
      </c>
      <c r="O552" s="163">
        <v>11</v>
      </c>
      <c r="P552" s="163"/>
      <c r="Q552" s="168" t="s">
        <v>195</v>
      </c>
      <c r="R552" s="164"/>
      <c r="S552" s="168" t="s">
        <v>2622</v>
      </c>
      <c r="T552" s="168"/>
      <c r="U552" s="163"/>
      <c r="V552" s="163"/>
      <c r="W552" s="163" t="s">
        <v>243</v>
      </c>
    </row>
    <row r="553" spans="1:24" s="161" customFormat="1" ht="29.25" customHeight="1">
      <c r="A553" s="139">
        <v>557</v>
      </c>
      <c r="B553" s="139" t="s">
        <v>227</v>
      </c>
      <c r="C553" s="139"/>
      <c r="D553" s="133" t="s">
        <v>2623</v>
      </c>
      <c r="E553" s="145"/>
      <c r="F553" s="141"/>
      <c r="G553" s="141"/>
      <c r="H553" s="139"/>
      <c r="I553" s="143"/>
      <c r="J553" s="133"/>
      <c r="K553" s="133"/>
      <c r="L553" s="139"/>
      <c r="M553" s="141" t="s">
        <v>2624</v>
      </c>
      <c r="N553" s="141" t="s">
        <v>2625</v>
      </c>
      <c r="O553" s="139">
        <v>11</v>
      </c>
      <c r="P553" s="139"/>
      <c r="Q553" s="168" t="s">
        <v>195</v>
      </c>
      <c r="S553" s="133" t="s">
        <v>2626</v>
      </c>
      <c r="T553" s="133"/>
      <c r="U553" s="139"/>
      <c r="V553" s="139"/>
      <c r="W553" s="224"/>
    </row>
    <row r="554" spans="1:24" s="161" customFormat="1" ht="44.25" customHeight="1">
      <c r="A554" s="139">
        <v>558</v>
      </c>
      <c r="B554" s="139" t="s">
        <v>227</v>
      </c>
      <c r="C554" s="139" t="s">
        <v>1813</v>
      </c>
      <c r="D554" s="133" t="s">
        <v>1814</v>
      </c>
      <c r="E554" s="145" t="s">
        <v>1815</v>
      </c>
      <c r="F554" s="141">
        <v>7275768305</v>
      </c>
      <c r="G554" s="141" t="s">
        <v>1816</v>
      </c>
      <c r="H554" s="139" t="s">
        <v>194</v>
      </c>
      <c r="I554" s="133" t="s">
        <v>10</v>
      </c>
      <c r="J554" s="133" t="s">
        <v>1699</v>
      </c>
      <c r="K554" s="133" t="s">
        <v>1700</v>
      </c>
      <c r="L554" s="139">
        <v>9220726732</v>
      </c>
      <c r="M554" s="142" t="s">
        <v>2627</v>
      </c>
      <c r="N554" s="142" t="s">
        <v>2628</v>
      </c>
      <c r="O554" s="139">
        <v>11</v>
      </c>
      <c r="P554" s="139"/>
      <c r="Q554" s="133" t="s">
        <v>195</v>
      </c>
      <c r="R554" s="141"/>
      <c r="S554" s="133" t="s">
        <v>2629</v>
      </c>
      <c r="T554" s="133"/>
      <c r="U554" s="139"/>
      <c r="V554" s="139"/>
      <c r="W554" s="139" t="s">
        <v>243</v>
      </c>
    </row>
    <row r="555" spans="1:24" s="161" customFormat="1" ht="34.5" customHeight="1">
      <c r="A555" s="139">
        <v>559</v>
      </c>
      <c r="B555" s="139" t="s">
        <v>227</v>
      </c>
      <c r="C555" s="139" t="s">
        <v>1288</v>
      </c>
      <c r="D555" s="133" t="s">
        <v>1289</v>
      </c>
      <c r="E555" s="145" t="s">
        <v>1290</v>
      </c>
      <c r="F555" s="154">
        <v>9821797941</v>
      </c>
      <c r="G555" s="154" t="s">
        <v>1291</v>
      </c>
      <c r="H555" s="139" t="s">
        <v>354</v>
      </c>
      <c r="I555" s="133"/>
      <c r="J555" s="133" t="s">
        <v>445</v>
      </c>
      <c r="K555" s="133"/>
      <c r="L555" s="180"/>
      <c r="M555" s="146">
        <v>46300</v>
      </c>
      <c r="N555" s="146">
        <v>46634</v>
      </c>
      <c r="O555" s="139">
        <v>11</v>
      </c>
      <c r="P555" s="139"/>
      <c r="Q555" s="133" t="s">
        <v>195</v>
      </c>
      <c r="R555" s="139"/>
      <c r="S555" s="133" t="s">
        <v>2630</v>
      </c>
      <c r="T555" s="133"/>
      <c r="U555" s="133"/>
      <c r="V555" s="133"/>
      <c r="W555" s="133" t="s">
        <v>243</v>
      </c>
      <c r="X555" s="133"/>
    </row>
    <row r="556" spans="1:24" s="161" customFormat="1" ht="44.25" customHeight="1">
      <c r="A556" s="139">
        <v>560</v>
      </c>
      <c r="B556" s="139"/>
      <c r="C556" s="139" t="s">
        <v>1345</v>
      </c>
      <c r="D556" s="133" t="s">
        <v>1346</v>
      </c>
      <c r="E556" s="145" t="s">
        <v>1347</v>
      </c>
      <c r="F556" s="154">
        <v>9903214647</v>
      </c>
      <c r="G556" s="154" t="s">
        <v>1348</v>
      </c>
      <c r="H556" s="139" t="s">
        <v>684</v>
      </c>
      <c r="I556" s="133"/>
      <c r="J556" s="133" t="s">
        <v>716</v>
      </c>
      <c r="K556" s="133"/>
      <c r="L556" s="180"/>
      <c r="M556" s="146" t="s">
        <v>2631</v>
      </c>
      <c r="N556" s="146" t="s">
        <v>2632</v>
      </c>
      <c r="O556" s="139">
        <v>11</v>
      </c>
      <c r="P556" s="139"/>
      <c r="Q556" s="133" t="s">
        <v>195</v>
      </c>
      <c r="R556" s="139"/>
      <c r="S556" s="133" t="s">
        <v>2633</v>
      </c>
      <c r="T556" s="133"/>
      <c r="U556" s="133"/>
      <c r="V556" s="133"/>
      <c r="W556" s="133" t="s">
        <v>243</v>
      </c>
      <c r="X556" s="133"/>
    </row>
    <row r="557" spans="1:24" s="161" customFormat="1" ht="41.25" customHeight="1">
      <c r="A557" s="139">
        <v>561</v>
      </c>
      <c r="B557" s="139" t="s">
        <v>227</v>
      </c>
      <c r="C557" s="139" t="s">
        <v>1824</v>
      </c>
      <c r="D557" s="133" t="s">
        <v>2634</v>
      </c>
      <c r="E557" s="145" t="s">
        <v>1826</v>
      </c>
      <c r="F557" s="141">
        <v>9871878155</v>
      </c>
      <c r="G557" s="141" t="s">
        <v>1827</v>
      </c>
      <c r="H557" s="139" t="s">
        <v>1828</v>
      </c>
      <c r="I557" s="133" t="s">
        <v>10</v>
      </c>
      <c r="J557" s="133" t="s">
        <v>1699</v>
      </c>
      <c r="K557" s="133" t="s">
        <v>1700</v>
      </c>
      <c r="L557" s="139">
        <v>9220726732</v>
      </c>
      <c r="M557" s="413">
        <v>46030</v>
      </c>
      <c r="N557" s="142" t="s">
        <v>2635</v>
      </c>
      <c r="O557" s="139">
        <v>11</v>
      </c>
      <c r="P557" s="139"/>
      <c r="Q557" s="133" t="s">
        <v>195</v>
      </c>
      <c r="S557" s="133" t="s">
        <v>2636</v>
      </c>
      <c r="T557" s="133"/>
      <c r="U557" s="139"/>
      <c r="V557" s="139"/>
      <c r="W557" s="139" t="s">
        <v>243</v>
      </c>
    </row>
    <row r="558" spans="1:24" s="451" customFormat="1" ht="42" customHeight="1">
      <c r="A558" s="139">
        <v>562</v>
      </c>
      <c r="B558" s="450" t="s">
        <v>211</v>
      </c>
      <c r="C558" s="427" t="s">
        <v>1749</v>
      </c>
      <c r="D558" s="462" t="s">
        <v>1750</v>
      </c>
      <c r="E558" s="463" t="s">
        <v>1751</v>
      </c>
      <c r="F558" s="464">
        <v>8587869828</v>
      </c>
      <c r="G558" s="464" t="s">
        <v>1752</v>
      </c>
      <c r="H558" s="427" t="s">
        <v>512</v>
      </c>
      <c r="I558" s="462" t="s">
        <v>10</v>
      </c>
      <c r="J558" s="462" t="s">
        <v>1708</v>
      </c>
      <c r="K558" s="462" t="s">
        <v>1709</v>
      </c>
      <c r="L558" s="462" t="s">
        <v>1710</v>
      </c>
      <c r="M558" s="465" t="s">
        <v>1740</v>
      </c>
      <c r="N558" s="465" t="s">
        <v>1741</v>
      </c>
      <c r="O558" s="427">
        <v>11</v>
      </c>
      <c r="P558" s="427"/>
      <c r="Q558" s="462" t="s">
        <v>195</v>
      </c>
      <c r="S558" s="462" t="s">
        <v>2637</v>
      </c>
      <c r="T558" s="462"/>
      <c r="U558" s="427"/>
      <c r="V558" s="427"/>
      <c r="W558" s="427" t="s">
        <v>243</v>
      </c>
    </row>
    <row r="559" spans="1:24" s="161" customFormat="1" ht="45" customHeight="1">
      <c r="A559" s="139">
        <v>563</v>
      </c>
      <c r="B559" s="139"/>
      <c r="C559" s="139" t="s">
        <v>1623</v>
      </c>
      <c r="D559" s="133" t="s">
        <v>1624</v>
      </c>
      <c r="E559" s="145" t="s">
        <v>1625</v>
      </c>
      <c r="F559" s="154">
        <v>9099113786</v>
      </c>
      <c r="G559" s="154" t="s">
        <v>1626</v>
      </c>
      <c r="H559" s="139" t="s">
        <v>365</v>
      </c>
      <c r="I559" s="133"/>
      <c r="J559" s="133" t="s">
        <v>1280</v>
      </c>
      <c r="K559" s="133"/>
      <c r="L559" s="180"/>
      <c r="M559" s="146" t="s">
        <v>2638</v>
      </c>
      <c r="N559" s="146" t="s">
        <v>2639</v>
      </c>
      <c r="O559" s="139">
        <v>24</v>
      </c>
      <c r="P559" s="139" t="s">
        <v>2640</v>
      </c>
      <c r="Q559" s="133" t="s">
        <v>189</v>
      </c>
      <c r="R559" s="139"/>
      <c r="S559" s="133" t="s">
        <v>2641</v>
      </c>
      <c r="T559" s="133"/>
      <c r="U559" s="133"/>
      <c r="V559" s="133" t="s">
        <v>1628</v>
      </c>
      <c r="W559" s="133" t="s">
        <v>513</v>
      </c>
      <c r="X559" s="133"/>
    </row>
    <row r="560" spans="1:24" s="161" customFormat="1" ht="45" customHeight="1">
      <c r="A560" s="139">
        <v>564</v>
      </c>
      <c r="B560" s="139" t="s">
        <v>227</v>
      </c>
      <c r="C560" s="139" t="s">
        <v>1830</v>
      </c>
      <c r="D560" s="133" t="s">
        <v>1831</v>
      </c>
      <c r="E560" s="145" t="s">
        <v>1832</v>
      </c>
      <c r="F560" s="141">
        <v>9818276992</v>
      </c>
      <c r="G560" s="141" t="s">
        <v>1833</v>
      </c>
      <c r="H560" s="139" t="s">
        <v>261</v>
      </c>
      <c r="I560" s="133" t="s">
        <v>10</v>
      </c>
      <c r="J560" s="133" t="s">
        <v>1728</v>
      </c>
      <c r="K560" s="133" t="s">
        <v>1729</v>
      </c>
      <c r="L560" s="133" t="s">
        <v>1730</v>
      </c>
      <c r="M560" s="146">
        <v>46029</v>
      </c>
      <c r="N560" s="141" t="s">
        <v>2642</v>
      </c>
      <c r="O560" s="139">
        <v>11</v>
      </c>
      <c r="P560" s="139"/>
      <c r="Q560" s="133" t="s">
        <v>195</v>
      </c>
      <c r="R560" s="141"/>
      <c r="S560" s="133" t="s">
        <v>2643</v>
      </c>
      <c r="T560" s="133"/>
      <c r="U560" s="139" t="s">
        <v>1835</v>
      </c>
      <c r="V560" s="139"/>
      <c r="W560" s="139" t="s">
        <v>513</v>
      </c>
      <c r="X560" s="141"/>
    </row>
    <row r="561" spans="1:30" s="161" customFormat="1" ht="45" customHeight="1">
      <c r="A561" s="139">
        <v>565</v>
      </c>
      <c r="B561" s="139"/>
      <c r="C561" s="139" t="s">
        <v>1608</v>
      </c>
      <c r="D561" s="133" t="s">
        <v>1609</v>
      </c>
      <c r="E561" s="145" t="s">
        <v>1610</v>
      </c>
      <c r="F561" s="141">
        <v>9311815895</v>
      </c>
      <c r="G561" s="135" t="s">
        <v>1611</v>
      </c>
      <c r="H561" s="139" t="s">
        <v>241</v>
      </c>
      <c r="I561" s="133"/>
      <c r="J561" s="133"/>
      <c r="K561" s="133"/>
      <c r="L561" s="180"/>
      <c r="M561" s="146" t="s">
        <v>2582</v>
      </c>
      <c r="N561" s="146" t="s">
        <v>2583</v>
      </c>
      <c r="O561" s="139">
        <v>11</v>
      </c>
      <c r="P561" s="139"/>
      <c r="Q561" s="133" t="s">
        <v>176</v>
      </c>
      <c r="R561" s="139"/>
      <c r="S561" s="133" t="s">
        <v>2644</v>
      </c>
      <c r="T561" s="133"/>
      <c r="U561" s="133"/>
      <c r="V561" s="133"/>
      <c r="W561" s="133" t="s">
        <v>513</v>
      </c>
      <c r="X561" s="133"/>
    </row>
    <row r="562" spans="1:30" s="161" customFormat="1" ht="45" customHeight="1">
      <c r="A562" s="139">
        <v>566</v>
      </c>
      <c r="B562" s="139" t="s">
        <v>227</v>
      </c>
      <c r="C562" s="139" t="s">
        <v>479</v>
      </c>
      <c r="D562" s="133" t="s">
        <v>480</v>
      </c>
      <c r="E562" s="145" t="s">
        <v>481</v>
      </c>
      <c r="F562" s="135">
        <v>9899074309</v>
      </c>
      <c r="G562" s="135" t="s">
        <v>482</v>
      </c>
      <c r="H562" s="156" t="s">
        <v>365</v>
      </c>
      <c r="I562" s="133" t="s">
        <v>10</v>
      </c>
      <c r="J562" s="133" t="s">
        <v>445</v>
      </c>
      <c r="K562" s="133" t="s">
        <v>2314</v>
      </c>
      <c r="L562" s="180" t="s">
        <v>446</v>
      </c>
      <c r="M562" s="146">
        <v>46204</v>
      </c>
      <c r="N562" s="146">
        <v>46185</v>
      </c>
      <c r="O562" s="139">
        <v>12</v>
      </c>
      <c r="P562" s="139"/>
      <c r="Q562" s="133" t="s">
        <v>195</v>
      </c>
      <c r="R562" s="139">
        <v>5.5</v>
      </c>
      <c r="S562" s="133" t="s">
        <v>2645</v>
      </c>
      <c r="T562" s="133"/>
      <c r="U562" s="133">
        <v>100</v>
      </c>
      <c r="V562" s="133"/>
      <c r="W562" s="133" t="s">
        <v>188</v>
      </c>
      <c r="X562" s="133"/>
    </row>
    <row r="563" spans="1:30" s="449" customFormat="1" ht="45" customHeight="1">
      <c r="A563" s="139">
        <v>567</v>
      </c>
      <c r="B563" s="523" t="s">
        <v>227</v>
      </c>
      <c r="C563" s="523" t="s">
        <v>995</v>
      </c>
      <c r="D563" s="524" t="s">
        <v>996</v>
      </c>
      <c r="E563" s="525" t="s">
        <v>997</v>
      </c>
      <c r="F563" s="454">
        <v>9748417529</v>
      </c>
      <c r="G563" s="454" t="s">
        <v>998</v>
      </c>
      <c r="H563" s="523" t="s">
        <v>290</v>
      </c>
      <c r="I563" s="524"/>
      <c r="J563" s="524" t="s">
        <v>417</v>
      </c>
      <c r="K563" s="524"/>
      <c r="L563" s="455"/>
      <c r="M563" s="526" t="s">
        <v>118</v>
      </c>
      <c r="N563" s="526" t="s">
        <v>2646</v>
      </c>
      <c r="O563" s="523">
        <v>12</v>
      </c>
      <c r="P563" s="523"/>
      <c r="Q563" s="524" t="s">
        <v>195</v>
      </c>
      <c r="R563" s="523"/>
      <c r="S563" s="524" t="s">
        <v>2647</v>
      </c>
      <c r="T563" s="524"/>
      <c r="U563" s="524"/>
      <c r="V563" s="524"/>
      <c r="W563" s="524" t="s">
        <v>513</v>
      </c>
      <c r="X563" s="524"/>
      <c r="Y563" s="527"/>
      <c r="Z563" s="527"/>
      <c r="AA563" s="527"/>
      <c r="AB563" s="527"/>
      <c r="AC563" s="527"/>
      <c r="AD563" s="527"/>
    </row>
    <row r="564" spans="1:30" s="461" customFormat="1" ht="45" customHeight="1">
      <c r="A564" s="139">
        <v>568</v>
      </c>
      <c r="B564" s="457" t="s">
        <v>227</v>
      </c>
      <c r="C564" s="456" t="s">
        <v>1850</v>
      </c>
      <c r="D564" s="456" t="s">
        <v>191</v>
      </c>
      <c r="E564" s="458" t="s">
        <v>1851</v>
      </c>
      <c r="F564" s="459">
        <v>8178495485</v>
      </c>
      <c r="G564" s="459" t="s">
        <v>193</v>
      </c>
      <c r="H564" s="457" t="s">
        <v>194</v>
      </c>
      <c r="I564" s="456" t="s">
        <v>10</v>
      </c>
      <c r="J564" s="456" t="s">
        <v>1582</v>
      </c>
      <c r="K564" s="456" t="s">
        <v>1784</v>
      </c>
      <c r="L564" s="457">
        <v>9319775809</v>
      </c>
      <c r="M564" s="460" t="s">
        <v>2648</v>
      </c>
      <c r="N564" s="460" t="s">
        <v>2649</v>
      </c>
      <c r="O564" s="457">
        <v>11</v>
      </c>
      <c r="P564" s="457"/>
      <c r="Q564" s="456" t="s">
        <v>195</v>
      </c>
      <c r="S564" s="456" t="s">
        <v>2650</v>
      </c>
      <c r="T564" s="456"/>
      <c r="U564" s="457"/>
      <c r="V564" s="457" t="s">
        <v>1853</v>
      </c>
      <c r="W564" s="457"/>
    </row>
    <row r="565" spans="1:30" s="449" customFormat="1" ht="45" customHeight="1">
      <c r="A565" s="139">
        <v>569</v>
      </c>
      <c r="B565" s="143" t="s">
        <v>227</v>
      </c>
      <c r="C565" s="139" t="s">
        <v>1798</v>
      </c>
      <c r="D565" s="133" t="s">
        <v>1799</v>
      </c>
      <c r="E565" s="145" t="s">
        <v>1800</v>
      </c>
      <c r="F565" s="141">
        <v>9769909440</v>
      </c>
      <c r="G565" s="141" t="s">
        <v>1801</v>
      </c>
      <c r="H565" s="139" t="s">
        <v>696</v>
      </c>
      <c r="I565" s="133" t="s">
        <v>10</v>
      </c>
      <c r="J565" s="133" t="s">
        <v>1728</v>
      </c>
      <c r="K565" s="133" t="s">
        <v>1729</v>
      </c>
      <c r="L565" s="133" t="s">
        <v>1730</v>
      </c>
      <c r="M565" s="141" t="s">
        <v>1787</v>
      </c>
      <c r="N565" s="141" t="s">
        <v>2617</v>
      </c>
      <c r="O565" s="139">
        <v>11</v>
      </c>
      <c r="P565" s="139"/>
      <c r="Q565" s="133" t="s">
        <v>195</v>
      </c>
      <c r="R565" s="161"/>
      <c r="S565" s="133" t="s">
        <v>2651</v>
      </c>
      <c r="T565" s="133"/>
      <c r="U565" s="139"/>
      <c r="V565" s="139"/>
      <c r="W565" s="139" t="s">
        <v>243</v>
      </c>
      <c r="X565" s="161"/>
      <c r="Y565" s="161"/>
      <c r="Z565" s="161"/>
      <c r="AA565" s="161"/>
      <c r="AB565" s="161"/>
      <c r="AC565" s="161"/>
      <c r="AD565" s="161"/>
    </row>
    <row r="566" spans="1:30" s="161" customFormat="1" ht="45" customHeight="1">
      <c r="A566" s="139">
        <v>570</v>
      </c>
      <c r="B566" s="139" t="s">
        <v>211</v>
      </c>
      <c r="C566" s="139" t="s">
        <v>1704</v>
      </c>
      <c r="D566" s="133" t="s">
        <v>1705</v>
      </c>
      <c r="E566" s="145" t="s">
        <v>1706</v>
      </c>
      <c r="F566" s="154">
        <v>8750335799</v>
      </c>
      <c r="G566" s="154" t="s">
        <v>1707</v>
      </c>
      <c r="H566" s="139" t="s">
        <v>241</v>
      </c>
      <c r="I566" s="133" t="s">
        <v>10</v>
      </c>
      <c r="J566" s="133" t="s">
        <v>1708</v>
      </c>
      <c r="K566" s="133" t="s">
        <v>1709</v>
      </c>
      <c r="L566" s="133" t="s">
        <v>1710</v>
      </c>
      <c r="M566" s="169">
        <v>46119</v>
      </c>
      <c r="N566" s="169">
        <v>46452</v>
      </c>
      <c r="O566" s="139">
        <v>11</v>
      </c>
      <c r="P566" s="139"/>
      <c r="Q566" s="133" t="s">
        <v>176</v>
      </c>
      <c r="R566" s="139"/>
      <c r="S566" s="133" t="s">
        <v>2652</v>
      </c>
      <c r="T566" s="133"/>
      <c r="U566" s="133"/>
      <c r="V566" s="133"/>
      <c r="W566" s="133" t="s">
        <v>1714</v>
      </c>
      <c r="X566" s="133"/>
    </row>
    <row r="567" spans="1:30" s="161" customFormat="1" ht="45" customHeight="1">
      <c r="A567" s="139">
        <v>571</v>
      </c>
      <c r="B567" s="139" t="s">
        <v>227</v>
      </c>
      <c r="C567" s="139" t="s">
        <v>1954</v>
      </c>
      <c r="D567" s="133" t="s">
        <v>1955</v>
      </c>
      <c r="E567" s="145" t="s">
        <v>1956</v>
      </c>
      <c r="F567" s="141">
        <v>8921456719</v>
      </c>
      <c r="G567" s="141" t="s">
        <v>1957</v>
      </c>
      <c r="H567" s="139" t="s">
        <v>202</v>
      </c>
      <c r="I567" s="133" t="s">
        <v>10</v>
      </c>
      <c r="J567" s="133" t="s">
        <v>1884</v>
      </c>
      <c r="K567" s="133" t="s">
        <v>1709</v>
      </c>
      <c r="L567" s="139" t="s">
        <v>1885</v>
      </c>
      <c r="M567" s="146" t="s">
        <v>2653</v>
      </c>
      <c r="N567" s="146">
        <v>46729</v>
      </c>
      <c r="O567" s="139">
        <v>11</v>
      </c>
      <c r="P567" s="139"/>
      <c r="Q567" s="133" t="s">
        <v>195</v>
      </c>
      <c r="S567" s="133" t="s">
        <v>2654</v>
      </c>
      <c r="T567" s="133"/>
      <c r="U567" s="139"/>
      <c r="V567" s="139"/>
      <c r="W567" s="139" t="s">
        <v>513</v>
      </c>
    </row>
    <row r="568" spans="1:30" s="161" customFormat="1" ht="45" customHeight="1">
      <c r="A568" s="139">
        <v>572</v>
      </c>
      <c r="B568" s="139" t="s">
        <v>227</v>
      </c>
      <c r="C568" s="139" t="s">
        <v>181</v>
      </c>
      <c r="D568" s="133" t="s">
        <v>1594</v>
      </c>
      <c r="E568" s="145" t="s">
        <v>1595</v>
      </c>
      <c r="F568" s="141">
        <v>9901253086</v>
      </c>
      <c r="G568" s="135" t="s">
        <v>184</v>
      </c>
      <c r="H568" s="139" t="s">
        <v>416</v>
      </c>
      <c r="I568" s="133"/>
      <c r="J568" s="133" t="s">
        <v>1280</v>
      </c>
      <c r="K568" s="133"/>
      <c r="L568" s="180"/>
      <c r="M568" s="146" t="s">
        <v>2655</v>
      </c>
      <c r="N568" s="146" t="s">
        <v>2656</v>
      </c>
      <c r="O568" s="139">
        <v>11</v>
      </c>
      <c r="P568" s="139"/>
      <c r="Q568" s="133" t="s">
        <v>176</v>
      </c>
      <c r="R568" s="139"/>
      <c r="S568" s="133" t="s">
        <v>2657</v>
      </c>
      <c r="T568" s="133"/>
      <c r="U568" s="133"/>
      <c r="V568" s="133"/>
      <c r="W568" s="133" t="s">
        <v>1597</v>
      </c>
      <c r="X568" s="133"/>
    </row>
    <row r="569" spans="1:30" s="161" customFormat="1" ht="45" customHeight="1">
      <c r="A569" s="139">
        <v>573</v>
      </c>
      <c r="B569" s="139" t="s">
        <v>227</v>
      </c>
      <c r="C569" s="139" t="s">
        <v>1667</v>
      </c>
      <c r="D569" s="133" t="s">
        <v>1668</v>
      </c>
      <c r="E569" s="145" t="s">
        <v>1669</v>
      </c>
      <c r="F569" s="154">
        <v>7897128027</v>
      </c>
      <c r="G569" s="154" t="s">
        <v>1670</v>
      </c>
      <c r="H569" s="139" t="s">
        <v>1671</v>
      </c>
      <c r="I569" s="133"/>
      <c r="J569" s="133" t="s">
        <v>1064</v>
      </c>
      <c r="K569" s="133"/>
      <c r="L569" s="180"/>
      <c r="M569" s="146" t="s">
        <v>2557</v>
      </c>
      <c r="N569" s="146" t="s">
        <v>2558</v>
      </c>
      <c r="O569" s="139">
        <v>11</v>
      </c>
      <c r="P569" s="139"/>
      <c r="Q569" s="133" t="s">
        <v>195</v>
      </c>
      <c r="R569" s="139"/>
      <c r="S569" s="133" t="s">
        <v>2658</v>
      </c>
      <c r="T569" s="133"/>
      <c r="U569" s="133"/>
      <c r="V569" s="133"/>
      <c r="W569" s="133" t="s">
        <v>243</v>
      </c>
      <c r="X569" s="133"/>
    </row>
    <row r="570" spans="1:30" s="161" customFormat="1" ht="45" customHeight="1">
      <c r="A570" s="139">
        <v>574</v>
      </c>
      <c r="B570" s="139" t="s">
        <v>227</v>
      </c>
      <c r="C570" s="139" t="s">
        <v>1923</v>
      </c>
      <c r="D570" s="133" t="s">
        <v>1924</v>
      </c>
      <c r="E570" s="145" t="s">
        <v>1925</v>
      </c>
      <c r="F570" s="141">
        <v>9711181070</v>
      </c>
      <c r="G570" s="141" t="s">
        <v>1926</v>
      </c>
      <c r="H570" s="139" t="s">
        <v>194</v>
      </c>
      <c r="I570" s="133" t="s">
        <v>10</v>
      </c>
      <c r="J570" s="133" t="s">
        <v>549</v>
      </c>
      <c r="K570" s="133" t="s">
        <v>1784</v>
      </c>
      <c r="L570" s="139" t="s">
        <v>1843</v>
      </c>
      <c r="M570" s="146">
        <v>46243</v>
      </c>
      <c r="N570" s="146">
        <v>46576</v>
      </c>
      <c r="O570" s="139">
        <v>11</v>
      </c>
      <c r="P570" s="139"/>
      <c r="Q570" s="133" t="s">
        <v>195</v>
      </c>
      <c r="S570" s="133" t="s">
        <v>2659</v>
      </c>
      <c r="T570" s="133"/>
      <c r="U570" s="139"/>
      <c r="V570" s="139"/>
      <c r="W570" s="139" t="s">
        <v>513</v>
      </c>
    </row>
    <row r="571" spans="1:30" s="358" customFormat="1" ht="43.5" customHeight="1">
      <c r="A571" s="139">
        <v>267</v>
      </c>
      <c r="B571" s="139" t="s">
        <v>227</v>
      </c>
      <c r="C571" s="139" t="s">
        <v>1584</v>
      </c>
      <c r="D571" s="133" t="s">
        <v>1585</v>
      </c>
      <c r="E571" s="145" t="s">
        <v>1586</v>
      </c>
      <c r="F571" s="141">
        <v>9662294714</v>
      </c>
      <c r="G571" s="135" t="s">
        <v>1587</v>
      </c>
      <c r="H571" s="139" t="s">
        <v>365</v>
      </c>
      <c r="I571" s="133"/>
      <c r="J571" s="133" t="s">
        <v>716</v>
      </c>
      <c r="K571" s="133"/>
      <c r="L571" s="180"/>
      <c r="M571" s="146">
        <v>46362</v>
      </c>
      <c r="N571" s="146">
        <v>46697</v>
      </c>
      <c r="O571" s="139">
        <v>11</v>
      </c>
      <c r="P571" s="139"/>
      <c r="Q571" s="133" t="s">
        <v>195</v>
      </c>
      <c r="R571" s="139"/>
      <c r="S571" s="133" t="s">
        <v>2660</v>
      </c>
      <c r="T571" s="133"/>
      <c r="U571" s="133"/>
      <c r="V571" s="133"/>
      <c r="W571" s="133" t="s">
        <v>513</v>
      </c>
      <c r="X571" s="133"/>
      <c r="Y571" s="161"/>
      <c r="Z571" s="161"/>
      <c r="AA571" s="161"/>
      <c r="AB571" s="161"/>
      <c r="AC571" s="161"/>
      <c r="AD571" s="161"/>
    </row>
    <row r="572" spans="1:30" s="161" customFormat="1" ht="48.75" customHeight="1">
      <c r="A572" s="133">
        <v>317</v>
      </c>
      <c r="B572" s="139" t="s">
        <v>227</v>
      </c>
      <c r="C572" s="139" t="s">
        <v>1875</v>
      </c>
      <c r="D572" s="133" t="s">
        <v>1876</v>
      </c>
      <c r="E572" s="145" t="s">
        <v>1877</v>
      </c>
      <c r="F572" s="141">
        <v>7001970337</v>
      </c>
      <c r="G572" s="141" t="s">
        <v>1878</v>
      </c>
      <c r="H572" s="139" t="s">
        <v>194</v>
      </c>
      <c r="I572" s="133" t="s">
        <v>10</v>
      </c>
      <c r="J572" s="133" t="s">
        <v>1582</v>
      </c>
      <c r="K572" s="133" t="s">
        <v>1784</v>
      </c>
      <c r="L572" s="139">
        <v>9319775809</v>
      </c>
      <c r="M572" s="146" t="s">
        <v>2661</v>
      </c>
      <c r="N572" s="146" t="s">
        <v>2662</v>
      </c>
      <c r="O572" s="139">
        <v>11</v>
      </c>
      <c r="P572" s="139"/>
      <c r="Q572" s="133" t="s">
        <v>195</v>
      </c>
      <c r="S572" s="133" t="s">
        <v>2663</v>
      </c>
      <c r="T572" s="133"/>
      <c r="U572" s="139"/>
      <c r="V572" s="139"/>
      <c r="W572" s="139" t="s">
        <v>513</v>
      </c>
    </row>
    <row r="573" spans="1:30" s="161" customFormat="1" ht="48.75" customHeight="1">
      <c r="A573" s="133">
        <v>305</v>
      </c>
      <c r="B573" s="139" t="s">
        <v>227</v>
      </c>
      <c r="C573" s="139" t="s">
        <v>1808</v>
      </c>
      <c r="D573" s="133" t="s">
        <v>1809</v>
      </c>
      <c r="E573" s="133" t="s">
        <v>1810</v>
      </c>
      <c r="F573" s="139">
        <v>9910875424</v>
      </c>
      <c r="G573" s="139" t="s">
        <v>1811</v>
      </c>
      <c r="H573" s="139" t="s">
        <v>261</v>
      </c>
      <c r="I573" s="133" t="s">
        <v>10</v>
      </c>
      <c r="J573" s="133" t="s">
        <v>1783</v>
      </c>
      <c r="K573" s="133" t="s">
        <v>1784</v>
      </c>
      <c r="L573" s="133" t="s">
        <v>1785</v>
      </c>
      <c r="M573" s="142" t="s">
        <v>2664</v>
      </c>
      <c r="N573" s="142" t="s">
        <v>2665</v>
      </c>
      <c r="O573" s="139">
        <v>11</v>
      </c>
      <c r="P573" s="139"/>
      <c r="Q573" s="133" t="s">
        <v>195</v>
      </c>
      <c r="R573" s="139"/>
      <c r="S573" s="133" t="s">
        <v>2666</v>
      </c>
      <c r="T573" s="133"/>
      <c r="U573" s="139"/>
      <c r="V573" s="139"/>
      <c r="W573" s="139" t="s">
        <v>513</v>
      </c>
      <c r="X573" s="139"/>
      <c r="Y573" s="139"/>
      <c r="Z573" s="139"/>
      <c r="AA573" s="139"/>
      <c r="AB573" s="139"/>
      <c r="AC573" s="139"/>
      <c r="AD573" s="139"/>
    </row>
    <row r="574" spans="1:30" s="161" customFormat="1" ht="45" customHeight="1">
      <c r="A574" s="133">
        <v>329</v>
      </c>
      <c r="B574" s="139" t="s">
        <v>227</v>
      </c>
      <c r="C574" s="139" t="s">
        <v>1938</v>
      </c>
      <c r="D574" s="133" t="s">
        <v>1939</v>
      </c>
      <c r="E574" s="145" t="s">
        <v>1940</v>
      </c>
      <c r="F574" s="141">
        <v>9321131198</v>
      </c>
      <c r="G574" s="141" t="s">
        <v>1941</v>
      </c>
      <c r="H574" s="139" t="s">
        <v>529</v>
      </c>
      <c r="I574" s="133" t="s">
        <v>10</v>
      </c>
      <c r="J574" s="133" t="s">
        <v>1582</v>
      </c>
      <c r="K574" s="133" t="s">
        <v>1784</v>
      </c>
      <c r="L574" s="139">
        <v>9319775809</v>
      </c>
      <c r="M574" s="146">
        <v>46182</v>
      </c>
      <c r="N574" s="146">
        <v>46515</v>
      </c>
      <c r="O574" s="139">
        <v>24</v>
      </c>
      <c r="P574" s="139"/>
      <c r="Q574" s="133" t="s">
        <v>195</v>
      </c>
      <c r="S574" s="133" t="s">
        <v>2667</v>
      </c>
      <c r="T574" s="133" t="s">
        <v>2529</v>
      </c>
      <c r="U574" s="139"/>
      <c r="V574" s="139"/>
      <c r="W574" s="139" t="s">
        <v>513</v>
      </c>
    </row>
    <row r="575" spans="1:30" s="161" customFormat="1" ht="54" customHeight="1">
      <c r="A575" s="133">
        <v>341</v>
      </c>
      <c r="B575" s="139" t="s">
        <v>227</v>
      </c>
      <c r="C575" s="139" t="s">
        <v>1997</v>
      </c>
      <c r="D575" s="133" t="s">
        <v>1998</v>
      </c>
      <c r="E575" s="145" t="s">
        <v>1999</v>
      </c>
      <c r="F575" s="141">
        <v>9582807311</v>
      </c>
      <c r="G575" s="141" t="s">
        <v>2000</v>
      </c>
      <c r="H575" s="139" t="s">
        <v>194</v>
      </c>
      <c r="I575" s="133" t="s">
        <v>10</v>
      </c>
      <c r="J575" s="133" t="s">
        <v>1738</v>
      </c>
      <c r="K575" s="133" t="s">
        <v>1709</v>
      </c>
      <c r="L575" s="133" t="s">
        <v>1739</v>
      </c>
      <c r="M575" s="146" t="s">
        <v>2668</v>
      </c>
      <c r="N575" s="146" t="s">
        <v>2669</v>
      </c>
      <c r="O575" s="139">
        <v>11</v>
      </c>
      <c r="P575" s="139"/>
      <c r="Q575" s="133" t="s">
        <v>195</v>
      </c>
      <c r="S575" s="133" t="s">
        <v>2670</v>
      </c>
      <c r="T575" s="133"/>
      <c r="U575" s="139"/>
      <c r="V575" s="139"/>
      <c r="W575" s="139" t="s">
        <v>513</v>
      </c>
    </row>
    <row r="576" spans="1:30" s="161" customFormat="1" ht="48.75" customHeight="1">
      <c r="A576" s="133">
        <v>328</v>
      </c>
      <c r="B576" s="139" t="s">
        <v>227</v>
      </c>
      <c r="C576" s="139" t="s">
        <v>1933</v>
      </c>
      <c r="D576" s="133" t="s">
        <v>1934</v>
      </c>
      <c r="E576" s="145" t="s">
        <v>1935</v>
      </c>
      <c r="F576" s="141">
        <v>9811135919</v>
      </c>
      <c r="G576" s="141" t="s">
        <v>1936</v>
      </c>
      <c r="H576" s="139" t="s">
        <v>677</v>
      </c>
      <c r="I576" s="133" t="s">
        <v>10</v>
      </c>
      <c r="J576" s="133" t="s">
        <v>1783</v>
      </c>
      <c r="K576" s="133" t="s">
        <v>1784</v>
      </c>
      <c r="L576" s="133" t="s">
        <v>1858</v>
      </c>
      <c r="M576" s="146">
        <v>46091</v>
      </c>
      <c r="N576" s="146">
        <v>46427</v>
      </c>
      <c r="O576" s="139">
        <v>11</v>
      </c>
      <c r="P576" s="139"/>
      <c r="Q576" s="133" t="s">
        <v>195</v>
      </c>
      <c r="S576" s="133" t="s">
        <v>2671</v>
      </c>
      <c r="T576" s="133"/>
      <c r="U576" s="139"/>
      <c r="V576" s="139"/>
      <c r="W576" s="139" t="s">
        <v>513</v>
      </c>
    </row>
    <row r="577" spans="1:16374" s="161" customFormat="1" ht="37.5" customHeight="1">
      <c r="A577" s="133">
        <v>333</v>
      </c>
      <c r="B577" s="139" t="s">
        <v>227</v>
      </c>
      <c r="C577" s="139" t="s">
        <v>1959</v>
      </c>
      <c r="D577" s="133" t="s">
        <v>89</v>
      </c>
      <c r="E577" s="145" t="s">
        <v>1960</v>
      </c>
      <c r="F577" s="141">
        <v>7030058556</v>
      </c>
      <c r="G577" s="141"/>
      <c r="H577" s="139" t="s">
        <v>1828</v>
      </c>
      <c r="I577" s="133" t="s">
        <v>10</v>
      </c>
      <c r="J577" s="133" t="s">
        <v>1738</v>
      </c>
      <c r="K577" s="133" t="s">
        <v>1709</v>
      </c>
      <c r="L577" s="133" t="s">
        <v>1739</v>
      </c>
      <c r="M577" s="146" t="s">
        <v>2653</v>
      </c>
      <c r="N577" s="146">
        <v>46729</v>
      </c>
      <c r="O577" s="139">
        <v>11</v>
      </c>
      <c r="P577" s="139"/>
      <c r="Q577" s="133" t="s">
        <v>195</v>
      </c>
      <c r="S577" s="133" t="s">
        <v>2672</v>
      </c>
      <c r="T577" s="133"/>
      <c r="U577" s="139"/>
      <c r="V577" s="139"/>
      <c r="W577" s="139" t="s">
        <v>513</v>
      </c>
    </row>
    <row r="578" spans="1:16374" s="161" customFormat="1" ht="46.5" customHeight="1">
      <c r="A578" s="133">
        <v>334</v>
      </c>
      <c r="B578" s="139" t="s">
        <v>227</v>
      </c>
      <c r="C578" s="139" t="s">
        <v>1962</v>
      </c>
      <c r="D578" s="133" t="s">
        <v>1963</v>
      </c>
      <c r="E578" s="145" t="s">
        <v>1964</v>
      </c>
      <c r="F578" s="141">
        <v>9003990522</v>
      </c>
      <c r="G578" s="141" t="s">
        <v>1965</v>
      </c>
      <c r="H578" s="139" t="s">
        <v>1966</v>
      </c>
      <c r="I578" s="133" t="s">
        <v>10</v>
      </c>
      <c r="J578" s="133" t="s">
        <v>1738</v>
      </c>
      <c r="K578" s="133" t="s">
        <v>1709</v>
      </c>
      <c r="L578" s="133" t="s">
        <v>1739</v>
      </c>
      <c r="M578" s="146" t="s">
        <v>2673</v>
      </c>
      <c r="N578" s="146" t="s">
        <v>2674</v>
      </c>
      <c r="O578" s="139">
        <v>11</v>
      </c>
      <c r="P578" s="139"/>
      <c r="Q578" s="133" t="s">
        <v>195</v>
      </c>
      <c r="S578" s="133" t="s">
        <v>2675</v>
      </c>
      <c r="T578" s="133"/>
      <c r="U578" s="139"/>
      <c r="V578" s="139"/>
      <c r="W578" s="139" t="s">
        <v>513</v>
      </c>
    </row>
    <row r="579" spans="1:16374" s="161" customFormat="1" ht="63.75" customHeight="1">
      <c r="A579" s="133">
        <v>331</v>
      </c>
      <c r="B579" s="139" t="s">
        <v>227</v>
      </c>
      <c r="C579" s="139" t="s">
        <v>1949</v>
      </c>
      <c r="D579" s="133" t="s">
        <v>1950</v>
      </c>
      <c r="E579" s="145" t="s">
        <v>1951</v>
      </c>
      <c r="F579" s="141">
        <v>9871631273</v>
      </c>
      <c r="G579" s="141" t="s">
        <v>1952</v>
      </c>
      <c r="H579" s="139" t="s">
        <v>261</v>
      </c>
      <c r="I579" s="133" t="s">
        <v>10</v>
      </c>
      <c r="J579" s="133" t="s">
        <v>549</v>
      </c>
      <c r="K579" s="133" t="s">
        <v>1784</v>
      </c>
      <c r="L579" s="139" t="s">
        <v>1843</v>
      </c>
      <c r="M579" s="146">
        <v>46304</v>
      </c>
      <c r="N579" s="146">
        <v>46638</v>
      </c>
      <c r="O579" s="139">
        <v>11</v>
      </c>
      <c r="P579" s="139"/>
      <c r="Q579" s="133" t="s">
        <v>195</v>
      </c>
      <c r="S579" s="133" t="s">
        <v>2676</v>
      </c>
      <c r="T579" s="133"/>
      <c r="U579" s="139"/>
      <c r="V579" s="139"/>
      <c r="W579" s="139" t="s">
        <v>513</v>
      </c>
    </row>
    <row r="580" spans="1:16374" s="161" customFormat="1" ht="42" customHeight="1">
      <c r="A580" s="133">
        <v>297</v>
      </c>
      <c r="B580" s="143" t="s">
        <v>227</v>
      </c>
      <c r="C580" s="139" t="s">
        <v>1754</v>
      </c>
      <c r="D580" s="133" t="s">
        <v>1755</v>
      </c>
      <c r="E580" s="145" t="s">
        <v>1756</v>
      </c>
      <c r="F580" s="141">
        <v>9910476546</v>
      </c>
      <c r="G580" s="141" t="s">
        <v>1757</v>
      </c>
      <c r="H580" s="139" t="s">
        <v>241</v>
      </c>
      <c r="I580" s="133" t="s">
        <v>10</v>
      </c>
      <c r="J580" s="133" t="s">
        <v>1708</v>
      </c>
      <c r="K580" s="133" t="s">
        <v>1709</v>
      </c>
      <c r="L580" s="133" t="s">
        <v>1710</v>
      </c>
      <c r="M580" s="182" t="s">
        <v>1741</v>
      </c>
      <c r="N580" s="169">
        <v>46574</v>
      </c>
      <c r="O580" s="139">
        <v>11</v>
      </c>
      <c r="P580" s="139"/>
      <c r="Q580" s="133" t="s">
        <v>195</v>
      </c>
      <c r="S580" s="133" t="s">
        <v>2677</v>
      </c>
      <c r="T580" s="133"/>
      <c r="U580" s="139"/>
      <c r="V580" s="139"/>
      <c r="W580" s="139" t="s">
        <v>1714</v>
      </c>
    </row>
    <row r="581" spans="1:16374" s="161" customFormat="1" ht="55.5" customHeight="1">
      <c r="A581" s="133">
        <v>339</v>
      </c>
      <c r="B581" s="139" t="s">
        <v>227</v>
      </c>
      <c r="C581" s="139" t="s">
        <v>244</v>
      </c>
      <c r="D581" s="133" t="s">
        <v>245</v>
      </c>
      <c r="E581" s="145" t="s">
        <v>1988</v>
      </c>
      <c r="F581" s="141">
        <v>7755047992</v>
      </c>
      <c r="G581" s="141" t="s">
        <v>247</v>
      </c>
      <c r="H581" s="139" t="s">
        <v>248</v>
      </c>
      <c r="I581" s="133" t="s">
        <v>10</v>
      </c>
      <c r="J581" s="133" t="s">
        <v>1582</v>
      </c>
      <c r="K581" s="133" t="s">
        <v>1784</v>
      </c>
      <c r="L581" s="139">
        <v>9319775809</v>
      </c>
      <c r="M581" s="146" t="s">
        <v>2678</v>
      </c>
      <c r="N581" s="146" t="s">
        <v>2679</v>
      </c>
      <c r="O581" s="139">
        <v>11</v>
      </c>
      <c r="P581" s="139"/>
      <c r="Q581" s="133" t="s">
        <v>195</v>
      </c>
      <c r="S581" s="133" t="s">
        <v>2680</v>
      </c>
      <c r="T581" s="133"/>
      <c r="U581" s="139"/>
      <c r="V581" s="139" t="s">
        <v>1990</v>
      </c>
      <c r="W581" s="139" t="s">
        <v>1991</v>
      </c>
    </row>
    <row r="582" spans="1:16374" s="161" customFormat="1" ht="44.25" customHeight="1">
      <c r="A582" s="133">
        <v>340</v>
      </c>
      <c r="B582" s="139" t="s">
        <v>227</v>
      </c>
      <c r="C582" s="139" t="s">
        <v>1992</v>
      </c>
      <c r="D582" s="133" t="s">
        <v>2681</v>
      </c>
      <c r="E582" s="145" t="s">
        <v>1994</v>
      </c>
      <c r="F582" s="141">
        <v>9645331047</v>
      </c>
      <c r="G582" s="141" t="s">
        <v>1995</v>
      </c>
      <c r="H582" s="139" t="s">
        <v>202</v>
      </c>
      <c r="I582" s="133" t="s">
        <v>10</v>
      </c>
      <c r="J582" s="133" t="s">
        <v>1708</v>
      </c>
      <c r="K582" s="133" t="s">
        <v>1709</v>
      </c>
      <c r="L582" s="133" t="s">
        <v>1710</v>
      </c>
      <c r="M582" s="146" t="s">
        <v>2682</v>
      </c>
      <c r="N582" s="146" t="s">
        <v>2683</v>
      </c>
      <c r="O582" s="139">
        <v>11</v>
      </c>
      <c r="P582" s="139"/>
      <c r="Q582" s="133" t="s">
        <v>176</v>
      </c>
      <c r="S582" s="133" t="s">
        <v>2684</v>
      </c>
      <c r="T582" s="133"/>
      <c r="U582" s="139"/>
      <c r="V582" s="139"/>
      <c r="W582" s="139" t="s">
        <v>513</v>
      </c>
    </row>
    <row r="583" spans="1:16374" s="161" customFormat="1" ht="70.5" customHeight="1">
      <c r="A583" s="133">
        <v>318</v>
      </c>
      <c r="B583" s="139" t="s">
        <v>227</v>
      </c>
      <c r="C583" s="139" t="s">
        <v>1880</v>
      </c>
      <c r="D583" s="133" t="s">
        <v>1881</v>
      </c>
      <c r="E583" s="145" t="s">
        <v>1882</v>
      </c>
      <c r="F583" s="141">
        <v>9663560669</v>
      </c>
      <c r="G583" s="141" t="s">
        <v>1883</v>
      </c>
      <c r="H583" s="139" t="s">
        <v>1737</v>
      </c>
      <c r="I583" s="133" t="s">
        <v>10</v>
      </c>
      <c r="J583" s="133" t="s">
        <v>1884</v>
      </c>
      <c r="K583" s="133" t="s">
        <v>1709</v>
      </c>
      <c r="L583" s="139" t="s">
        <v>1885</v>
      </c>
      <c r="M583" s="146" t="s">
        <v>2685</v>
      </c>
      <c r="N583" s="146" t="s">
        <v>2686</v>
      </c>
      <c r="O583" s="139">
        <v>11</v>
      </c>
      <c r="P583" s="139"/>
      <c r="Q583" s="133" t="s">
        <v>176</v>
      </c>
      <c r="S583" s="133" t="s">
        <v>2687</v>
      </c>
      <c r="T583" s="133"/>
      <c r="U583" s="139"/>
      <c r="V583" s="139"/>
      <c r="W583" s="139" t="s">
        <v>188</v>
      </c>
    </row>
    <row r="584" spans="1:16374" s="161" customFormat="1" ht="52.5" customHeight="1">
      <c r="A584" s="137"/>
      <c r="B584" s="137"/>
      <c r="C584" s="333"/>
      <c r="D584" s="333"/>
      <c r="E584" s="137"/>
      <c r="F584" s="137"/>
      <c r="G584" s="333"/>
      <c r="H584" s="333"/>
      <c r="I584" s="333"/>
      <c r="J584" s="137"/>
      <c r="K584" s="137"/>
      <c r="L584" s="507"/>
      <c r="M584" s="508"/>
      <c r="N584" s="508"/>
      <c r="O584" s="333"/>
      <c r="P584" s="407"/>
      <c r="Q584" s="133"/>
      <c r="R584" s="139"/>
      <c r="S584" s="133"/>
      <c r="T584" s="133"/>
      <c r="U584" s="133"/>
      <c r="V584" s="133"/>
      <c r="W584" s="133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  <c r="AL584" s="141"/>
      <c r="AM584" s="141"/>
      <c r="AN584" s="141"/>
      <c r="AO584" s="141"/>
      <c r="AP584" s="141"/>
      <c r="AQ584" s="141"/>
      <c r="AR584" s="141"/>
      <c r="AS584" s="141"/>
      <c r="AT584" s="141"/>
      <c r="AU584" s="141"/>
      <c r="AV584" s="141"/>
      <c r="AW584" s="141"/>
      <c r="AX584" s="141"/>
      <c r="AY584" s="141"/>
      <c r="AZ584" s="141"/>
      <c r="BA584" s="141"/>
      <c r="BB584" s="141"/>
      <c r="BC584" s="141"/>
      <c r="BD584" s="141"/>
      <c r="BE584" s="141"/>
      <c r="BF584" s="141"/>
      <c r="BG584" s="141"/>
      <c r="BH584" s="141"/>
      <c r="BI584" s="141"/>
      <c r="BJ584" s="141"/>
      <c r="BK584" s="141"/>
      <c r="BL584" s="141"/>
      <c r="BM584" s="141"/>
      <c r="BN584" s="141"/>
      <c r="BO584" s="141"/>
      <c r="BP584" s="141"/>
      <c r="BQ584" s="141"/>
      <c r="BR584" s="141"/>
      <c r="BS584" s="141"/>
      <c r="BT584" s="141"/>
      <c r="BU584" s="141"/>
      <c r="BV584" s="141"/>
      <c r="BW584" s="141"/>
      <c r="BX584" s="141"/>
      <c r="BY584" s="141"/>
      <c r="BZ584" s="141"/>
      <c r="CA584" s="141"/>
      <c r="CB584" s="141"/>
      <c r="CC584" s="141"/>
      <c r="CD584" s="141"/>
      <c r="CE584" s="141"/>
      <c r="CF584" s="141"/>
      <c r="CG584" s="141"/>
      <c r="CH584" s="141"/>
      <c r="CI584" s="141"/>
      <c r="CJ584" s="141"/>
      <c r="CK584" s="141"/>
      <c r="CL584" s="141"/>
      <c r="CM584" s="141"/>
      <c r="CN584" s="141"/>
      <c r="CO584" s="141"/>
      <c r="CP584" s="141"/>
      <c r="CQ584" s="141"/>
      <c r="CR584" s="141"/>
      <c r="CS584" s="141"/>
      <c r="CT584" s="141"/>
      <c r="CU584" s="141"/>
      <c r="CV584" s="141"/>
      <c r="CW584" s="141"/>
      <c r="CX584" s="141"/>
      <c r="CY584" s="141"/>
      <c r="CZ584" s="141"/>
      <c r="DA584" s="141"/>
      <c r="DB584" s="141"/>
      <c r="DC584" s="141"/>
      <c r="DD584" s="141"/>
      <c r="DE584" s="141"/>
      <c r="DF584" s="141"/>
      <c r="DG584" s="141"/>
      <c r="DH584" s="141"/>
      <c r="DI584" s="141"/>
      <c r="DJ584" s="141"/>
      <c r="DK584" s="141"/>
      <c r="DL584" s="141"/>
      <c r="DM584" s="141"/>
      <c r="DN584" s="141"/>
      <c r="DO584" s="141"/>
      <c r="DP584" s="141"/>
      <c r="DQ584" s="141"/>
      <c r="DR584" s="141"/>
      <c r="DS584" s="141"/>
      <c r="DT584" s="141"/>
      <c r="DU584" s="141"/>
      <c r="DV584" s="141"/>
      <c r="DW584" s="141"/>
      <c r="DX584" s="141"/>
      <c r="DY584" s="141"/>
      <c r="DZ584" s="141"/>
      <c r="EA584" s="141"/>
      <c r="EB584" s="141"/>
      <c r="EC584" s="141"/>
      <c r="ED584" s="141"/>
      <c r="EE584" s="141"/>
      <c r="EF584" s="141"/>
      <c r="EG584" s="141"/>
      <c r="EH584" s="141"/>
      <c r="EI584" s="141"/>
      <c r="EJ584" s="141"/>
      <c r="EK584" s="141"/>
      <c r="EL584" s="141"/>
      <c r="EM584" s="141"/>
      <c r="EN584" s="141"/>
      <c r="EO584" s="141"/>
      <c r="EP584" s="141"/>
      <c r="EQ584" s="141"/>
      <c r="ER584" s="141"/>
      <c r="ES584" s="141"/>
      <c r="ET584" s="141"/>
      <c r="EU584" s="141"/>
      <c r="EV584" s="141"/>
      <c r="EW584" s="141"/>
      <c r="EX584" s="141"/>
      <c r="EY584" s="141"/>
      <c r="EZ584" s="141"/>
      <c r="FA584" s="141"/>
      <c r="FB584" s="141"/>
      <c r="FC584" s="141"/>
      <c r="FD584" s="141"/>
      <c r="FE584" s="141"/>
      <c r="FF584" s="141"/>
      <c r="FG584" s="141"/>
      <c r="FH584" s="141"/>
      <c r="FI584" s="141"/>
      <c r="FJ584" s="141"/>
      <c r="FK584" s="141"/>
      <c r="FL584" s="141"/>
      <c r="FM584" s="141"/>
      <c r="FN584" s="141"/>
      <c r="FO584" s="141"/>
      <c r="FP584" s="141"/>
      <c r="FQ584" s="141"/>
      <c r="FR584" s="141"/>
      <c r="FS584" s="141"/>
      <c r="FT584" s="141"/>
      <c r="FU584" s="141"/>
      <c r="FV584" s="141"/>
      <c r="FW584" s="141"/>
      <c r="FX584" s="141"/>
      <c r="FY584" s="141"/>
      <c r="FZ584" s="141"/>
      <c r="GA584" s="141"/>
      <c r="GB584" s="141"/>
      <c r="GC584" s="141"/>
      <c r="GD584" s="141"/>
      <c r="GE584" s="141"/>
      <c r="GF584" s="141"/>
      <c r="GG584" s="141"/>
      <c r="GH584" s="141"/>
      <c r="GI584" s="141"/>
      <c r="GJ584" s="141"/>
      <c r="GK584" s="141"/>
      <c r="GL584" s="141"/>
      <c r="GM584" s="141"/>
      <c r="GN584" s="141"/>
      <c r="GO584" s="141"/>
      <c r="GP584" s="141"/>
      <c r="GQ584" s="141"/>
      <c r="GR584" s="141"/>
      <c r="GS584" s="141"/>
      <c r="GT584" s="141"/>
      <c r="GU584" s="141"/>
      <c r="GV584" s="141"/>
      <c r="GW584" s="141"/>
      <c r="GX584" s="141"/>
      <c r="GY584" s="141"/>
      <c r="GZ584" s="141"/>
      <c r="HA584" s="141"/>
      <c r="HB584" s="141"/>
      <c r="HC584" s="141"/>
      <c r="HD584" s="141"/>
      <c r="HE584" s="141"/>
      <c r="HF584" s="141"/>
      <c r="HG584" s="141"/>
      <c r="HH584" s="141"/>
      <c r="HI584" s="141"/>
      <c r="HJ584" s="141"/>
      <c r="HK584" s="141"/>
      <c r="HL584" s="141"/>
      <c r="HM584" s="141"/>
      <c r="HN584" s="141"/>
      <c r="HO584" s="141"/>
      <c r="HP584" s="141"/>
      <c r="HQ584" s="141"/>
      <c r="HR584" s="141"/>
      <c r="HS584" s="141"/>
      <c r="HT584" s="141"/>
      <c r="HU584" s="141"/>
      <c r="HV584" s="141"/>
      <c r="HW584" s="141"/>
      <c r="HX584" s="141"/>
      <c r="HY584" s="141"/>
      <c r="HZ584" s="141"/>
      <c r="IA584" s="141"/>
      <c r="IB584" s="141"/>
      <c r="IC584" s="141"/>
      <c r="ID584" s="141"/>
      <c r="IE584" s="141"/>
      <c r="IF584" s="141"/>
      <c r="IG584" s="141"/>
      <c r="IH584" s="141"/>
      <c r="II584" s="141"/>
      <c r="IJ584" s="141"/>
      <c r="IK584" s="141"/>
      <c r="IL584" s="141"/>
      <c r="IM584" s="141"/>
      <c r="IN584" s="141"/>
      <c r="IO584" s="141"/>
      <c r="IP584" s="141"/>
      <c r="IQ584" s="141"/>
      <c r="IR584" s="141"/>
      <c r="IS584" s="141"/>
      <c r="IT584" s="141"/>
      <c r="IU584" s="141"/>
      <c r="IV584" s="141"/>
      <c r="IW584" s="141"/>
      <c r="IX584" s="141"/>
      <c r="IY584" s="141"/>
      <c r="IZ584" s="141"/>
      <c r="JA584" s="141"/>
      <c r="JB584" s="141"/>
      <c r="JC584" s="141"/>
      <c r="JD584" s="141"/>
      <c r="JE584" s="141"/>
      <c r="JF584" s="141"/>
      <c r="JG584" s="141"/>
      <c r="JH584" s="141"/>
      <c r="JI584" s="141"/>
      <c r="JJ584" s="141"/>
      <c r="JK584" s="141"/>
      <c r="JL584" s="141"/>
      <c r="JM584" s="141"/>
      <c r="JN584" s="141"/>
      <c r="JO584" s="141"/>
      <c r="JP584" s="141"/>
      <c r="JQ584" s="141"/>
      <c r="JR584" s="141"/>
      <c r="JS584" s="141"/>
      <c r="JT584" s="141"/>
      <c r="JU584" s="141"/>
      <c r="JV584" s="141"/>
      <c r="JW584" s="141"/>
      <c r="JX584" s="141"/>
      <c r="JY584" s="141"/>
      <c r="JZ584" s="141"/>
      <c r="KA584" s="141"/>
      <c r="KB584" s="141"/>
      <c r="KC584" s="141"/>
      <c r="KD584" s="141"/>
      <c r="KE584" s="141"/>
      <c r="KF584" s="141"/>
      <c r="KG584" s="141"/>
      <c r="KH584" s="141"/>
      <c r="KI584" s="141"/>
      <c r="KJ584" s="141"/>
      <c r="KK584" s="141"/>
      <c r="KL584" s="141"/>
      <c r="KM584" s="141"/>
      <c r="KN584" s="141"/>
      <c r="KO584" s="141"/>
      <c r="KP584" s="141"/>
      <c r="KQ584" s="141"/>
      <c r="KR584" s="141"/>
      <c r="KS584" s="141"/>
      <c r="KT584" s="141"/>
      <c r="KU584" s="141"/>
      <c r="KV584" s="141"/>
      <c r="KW584" s="141"/>
      <c r="KX584" s="141"/>
      <c r="KY584" s="141"/>
      <c r="KZ584" s="141"/>
      <c r="LA584" s="141"/>
      <c r="LB584" s="141"/>
      <c r="LC584" s="141"/>
      <c r="LD584" s="141"/>
      <c r="LE584" s="141"/>
      <c r="LF584" s="141"/>
      <c r="LG584" s="141"/>
      <c r="LH584" s="141"/>
      <c r="LI584" s="141"/>
      <c r="LJ584" s="141"/>
      <c r="LK584" s="141"/>
      <c r="LL584" s="141"/>
      <c r="LM584" s="141"/>
      <c r="LN584" s="141"/>
      <c r="LO584" s="141"/>
      <c r="LP584" s="141"/>
      <c r="LQ584" s="141"/>
      <c r="LR584" s="141"/>
      <c r="LS584" s="141"/>
      <c r="LT584" s="141"/>
      <c r="LU584" s="141"/>
      <c r="LV584" s="141"/>
      <c r="LW584" s="141"/>
      <c r="LX584" s="141"/>
      <c r="LY584" s="141"/>
      <c r="LZ584" s="141"/>
      <c r="MA584" s="141"/>
      <c r="MB584" s="141"/>
      <c r="MC584" s="141"/>
      <c r="MD584" s="141"/>
      <c r="ME584" s="141"/>
      <c r="MF584" s="141"/>
      <c r="MG584" s="141"/>
      <c r="MH584" s="141"/>
      <c r="MI584" s="141"/>
      <c r="MJ584" s="141"/>
      <c r="MK584" s="141"/>
      <c r="ML584" s="141"/>
      <c r="MM584" s="141"/>
      <c r="MN584" s="141"/>
      <c r="MO584" s="141"/>
      <c r="MP584" s="141"/>
      <c r="MQ584" s="141"/>
      <c r="MR584" s="141"/>
      <c r="MS584" s="141"/>
      <c r="MT584" s="141"/>
      <c r="MU584" s="141"/>
      <c r="MV584" s="141"/>
      <c r="MW584" s="141"/>
      <c r="MX584" s="141"/>
      <c r="MY584" s="141"/>
      <c r="MZ584" s="141"/>
      <c r="NA584" s="141"/>
      <c r="NB584" s="141"/>
      <c r="NC584" s="141"/>
      <c r="ND584" s="141"/>
      <c r="NE584" s="141"/>
      <c r="NF584" s="141"/>
      <c r="NG584" s="141"/>
      <c r="NH584" s="141"/>
      <c r="NI584" s="141"/>
      <c r="NJ584" s="141"/>
      <c r="NK584" s="141"/>
      <c r="NL584" s="141"/>
      <c r="NM584" s="141"/>
      <c r="NN584" s="141"/>
      <c r="NO584" s="141"/>
      <c r="NP584" s="141"/>
      <c r="NQ584" s="141"/>
      <c r="NR584" s="141"/>
      <c r="NS584" s="141"/>
      <c r="NT584" s="141"/>
      <c r="NU584" s="141"/>
      <c r="NV584" s="141"/>
      <c r="NW584" s="141"/>
      <c r="NX584" s="141"/>
      <c r="NY584" s="141"/>
      <c r="NZ584" s="141"/>
      <c r="OA584" s="141"/>
      <c r="OB584" s="141"/>
      <c r="OC584" s="141"/>
      <c r="OD584" s="141"/>
      <c r="OE584" s="141"/>
      <c r="OF584" s="141"/>
      <c r="OG584" s="141"/>
      <c r="OH584" s="141"/>
      <c r="OI584" s="141"/>
      <c r="OJ584" s="141"/>
      <c r="OK584" s="141"/>
      <c r="OL584" s="141"/>
      <c r="OM584" s="141"/>
      <c r="ON584" s="141"/>
      <c r="OO584" s="141"/>
      <c r="OP584" s="141"/>
      <c r="OQ584" s="141"/>
      <c r="OR584" s="141"/>
      <c r="OS584" s="141"/>
      <c r="OT584" s="141"/>
      <c r="OU584" s="141"/>
      <c r="OV584" s="141"/>
      <c r="OW584" s="141"/>
      <c r="OX584" s="141"/>
      <c r="OY584" s="141"/>
      <c r="OZ584" s="141"/>
      <c r="PA584" s="141"/>
      <c r="PB584" s="141"/>
      <c r="PC584" s="141"/>
      <c r="PD584" s="141"/>
      <c r="PE584" s="141"/>
      <c r="PF584" s="141"/>
      <c r="PG584" s="141"/>
      <c r="PH584" s="141"/>
      <c r="PI584" s="141"/>
      <c r="PJ584" s="141"/>
      <c r="PK584" s="141"/>
      <c r="PL584" s="141"/>
      <c r="PM584" s="141"/>
      <c r="PN584" s="141"/>
      <c r="PO584" s="141"/>
      <c r="PP584" s="141"/>
      <c r="PQ584" s="141"/>
      <c r="PR584" s="141"/>
      <c r="PS584" s="141"/>
      <c r="PT584" s="141"/>
      <c r="PU584" s="141"/>
      <c r="PV584" s="141"/>
      <c r="PW584" s="141"/>
      <c r="PX584" s="141"/>
      <c r="PY584" s="141"/>
      <c r="PZ584" s="141"/>
      <c r="QA584" s="141"/>
      <c r="QB584" s="141"/>
      <c r="QC584" s="141"/>
      <c r="QD584" s="141"/>
      <c r="QE584" s="141"/>
      <c r="QF584" s="141"/>
      <c r="QG584" s="141"/>
      <c r="QH584" s="141"/>
      <c r="QI584" s="141"/>
      <c r="QJ584" s="141"/>
      <c r="QK584" s="141"/>
      <c r="QL584" s="141"/>
      <c r="QM584" s="141"/>
      <c r="QN584" s="141"/>
      <c r="QO584" s="141"/>
      <c r="QP584" s="141"/>
      <c r="QQ584" s="141"/>
      <c r="QR584" s="141"/>
      <c r="QS584" s="141"/>
      <c r="QT584" s="141"/>
      <c r="QU584" s="141"/>
      <c r="QV584" s="141"/>
      <c r="QW584" s="141"/>
      <c r="QX584" s="141"/>
      <c r="QY584" s="141"/>
      <c r="QZ584" s="141"/>
      <c r="RA584" s="141"/>
      <c r="RB584" s="141"/>
      <c r="RC584" s="141"/>
      <c r="RD584" s="141"/>
      <c r="RE584" s="141"/>
      <c r="RF584" s="141"/>
      <c r="RG584" s="141"/>
      <c r="RH584" s="141"/>
      <c r="RI584" s="141"/>
      <c r="RJ584" s="141"/>
      <c r="RK584" s="141"/>
      <c r="RL584" s="141"/>
      <c r="RM584" s="141"/>
      <c r="RN584" s="141"/>
      <c r="RO584" s="141"/>
      <c r="RP584" s="141"/>
      <c r="RQ584" s="141"/>
      <c r="RR584" s="141"/>
      <c r="RS584" s="141"/>
      <c r="RT584" s="141"/>
      <c r="RU584" s="141"/>
      <c r="RV584" s="141"/>
      <c r="RW584" s="141"/>
      <c r="RX584" s="141"/>
      <c r="RY584" s="141"/>
      <c r="RZ584" s="141"/>
      <c r="SA584" s="141"/>
      <c r="SB584" s="141"/>
      <c r="SC584" s="141"/>
      <c r="SD584" s="141"/>
      <c r="SE584" s="141"/>
      <c r="SF584" s="141"/>
      <c r="SG584" s="141"/>
      <c r="SH584" s="141"/>
      <c r="SI584" s="141"/>
      <c r="SJ584" s="141"/>
      <c r="SK584" s="141"/>
      <c r="SL584" s="141"/>
      <c r="SM584" s="141"/>
      <c r="SN584" s="141"/>
      <c r="SO584" s="141"/>
      <c r="SP584" s="141"/>
      <c r="SQ584" s="141"/>
      <c r="SR584" s="141"/>
      <c r="SS584" s="141"/>
      <c r="ST584" s="141"/>
      <c r="SU584" s="141"/>
      <c r="SV584" s="141"/>
      <c r="SW584" s="141"/>
      <c r="SX584" s="141"/>
      <c r="SY584" s="141"/>
      <c r="SZ584" s="141"/>
      <c r="TA584" s="141"/>
      <c r="TB584" s="141"/>
      <c r="TC584" s="141"/>
      <c r="TD584" s="141"/>
      <c r="TE584" s="141"/>
      <c r="TF584" s="141"/>
      <c r="TG584" s="141"/>
      <c r="TH584" s="141"/>
      <c r="TI584" s="141"/>
      <c r="TJ584" s="141"/>
      <c r="TK584" s="141"/>
      <c r="TL584" s="141"/>
      <c r="TM584" s="141"/>
      <c r="TN584" s="141"/>
      <c r="TO584" s="141"/>
      <c r="TP584" s="141"/>
      <c r="TQ584" s="141"/>
      <c r="TR584" s="141"/>
      <c r="TS584" s="141"/>
      <c r="TT584" s="141"/>
      <c r="TU584" s="141"/>
      <c r="TV584" s="141"/>
      <c r="TW584" s="141"/>
      <c r="TX584" s="141"/>
      <c r="TY584" s="141"/>
      <c r="TZ584" s="141"/>
      <c r="UA584" s="141"/>
      <c r="UB584" s="141"/>
      <c r="UC584" s="141"/>
      <c r="UD584" s="141"/>
      <c r="UE584" s="141"/>
      <c r="UF584" s="141"/>
      <c r="UG584" s="141"/>
      <c r="UH584" s="141"/>
      <c r="UI584" s="141"/>
      <c r="UJ584" s="141"/>
      <c r="UK584" s="141"/>
      <c r="UL584" s="141"/>
      <c r="UM584" s="141"/>
      <c r="UN584" s="141"/>
      <c r="UO584" s="141"/>
      <c r="UP584" s="141"/>
      <c r="UQ584" s="141"/>
      <c r="UR584" s="141"/>
      <c r="US584" s="141"/>
      <c r="UT584" s="141"/>
      <c r="UU584" s="141"/>
      <c r="UV584" s="141"/>
      <c r="UW584" s="141"/>
      <c r="UX584" s="141"/>
      <c r="UY584" s="141"/>
      <c r="UZ584" s="141"/>
      <c r="VA584" s="141"/>
      <c r="VB584" s="141"/>
      <c r="VC584" s="141"/>
      <c r="VD584" s="141"/>
      <c r="VE584" s="141"/>
      <c r="VF584" s="141"/>
      <c r="VG584" s="141"/>
      <c r="VH584" s="141"/>
      <c r="VI584" s="141"/>
      <c r="VJ584" s="141"/>
      <c r="VK584" s="141"/>
      <c r="VL584" s="141"/>
      <c r="VM584" s="141"/>
      <c r="VN584" s="141"/>
      <c r="VO584" s="141"/>
      <c r="VP584" s="141"/>
      <c r="VQ584" s="141"/>
      <c r="VR584" s="141"/>
      <c r="VS584" s="141"/>
      <c r="VT584" s="141"/>
      <c r="VU584" s="141"/>
      <c r="VV584" s="141"/>
      <c r="VW584" s="141"/>
      <c r="VX584" s="141"/>
      <c r="VY584" s="141"/>
      <c r="VZ584" s="141"/>
      <c r="WA584" s="141"/>
      <c r="WB584" s="141"/>
      <c r="WC584" s="141"/>
      <c r="WD584" s="141"/>
      <c r="WE584" s="141"/>
      <c r="WF584" s="141"/>
      <c r="WG584" s="141"/>
      <c r="WH584" s="141"/>
      <c r="WI584" s="141"/>
      <c r="WJ584" s="141"/>
      <c r="WK584" s="141"/>
      <c r="WL584" s="141"/>
      <c r="WM584" s="141"/>
      <c r="WN584" s="141"/>
      <c r="WO584" s="141"/>
      <c r="WP584" s="141"/>
      <c r="WQ584" s="141"/>
      <c r="WR584" s="141"/>
      <c r="WS584" s="141"/>
      <c r="WT584" s="141"/>
      <c r="WU584" s="141"/>
      <c r="WV584" s="141"/>
      <c r="WW584" s="141"/>
      <c r="WX584" s="141"/>
      <c r="WY584" s="141"/>
      <c r="WZ584" s="141"/>
      <c r="XA584" s="141"/>
      <c r="XB584" s="141"/>
      <c r="XC584" s="141"/>
      <c r="XD584" s="141"/>
      <c r="XE584" s="141"/>
      <c r="XF584" s="141"/>
      <c r="XG584" s="141"/>
      <c r="XH584" s="141"/>
      <c r="XI584" s="141"/>
      <c r="XJ584" s="141"/>
      <c r="XK584" s="141"/>
      <c r="XL584" s="141"/>
      <c r="XM584" s="141"/>
      <c r="XN584" s="141"/>
      <c r="XO584" s="141"/>
      <c r="XP584" s="141"/>
      <c r="XQ584" s="141"/>
      <c r="XR584" s="141"/>
      <c r="XS584" s="141"/>
      <c r="XT584" s="141"/>
      <c r="XU584" s="141"/>
      <c r="XV584" s="141"/>
      <c r="XW584" s="141"/>
      <c r="XX584" s="141"/>
      <c r="XY584" s="141"/>
      <c r="XZ584" s="141"/>
      <c r="YA584" s="141"/>
      <c r="YB584" s="141"/>
      <c r="YC584" s="141"/>
      <c r="YD584" s="141"/>
      <c r="YE584" s="141"/>
      <c r="YF584" s="141"/>
      <c r="YG584" s="141"/>
      <c r="YH584" s="141"/>
      <c r="YI584" s="141"/>
      <c r="YJ584" s="141"/>
      <c r="YK584" s="141"/>
      <c r="YL584" s="141"/>
      <c r="YM584" s="141"/>
      <c r="YN584" s="141"/>
      <c r="YO584" s="141"/>
      <c r="YP584" s="141"/>
      <c r="YQ584" s="141"/>
      <c r="YR584" s="141"/>
      <c r="YS584" s="141"/>
      <c r="YT584" s="141"/>
      <c r="YU584" s="141"/>
      <c r="YV584" s="141"/>
      <c r="YW584" s="141"/>
      <c r="YX584" s="141"/>
      <c r="YY584" s="141"/>
      <c r="YZ584" s="141"/>
      <c r="ZA584" s="141"/>
      <c r="ZB584" s="141"/>
      <c r="ZC584" s="141"/>
      <c r="ZD584" s="141"/>
      <c r="ZE584" s="141"/>
      <c r="ZF584" s="141"/>
      <c r="ZG584" s="141"/>
      <c r="ZH584" s="141"/>
      <c r="ZI584" s="141"/>
      <c r="ZJ584" s="141"/>
      <c r="ZK584" s="141"/>
      <c r="ZL584" s="141"/>
      <c r="ZM584" s="141"/>
      <c r="ZN584" s="141"/>
      <c r="ZO584" s="141"/>
      <c r="ZP584" s="141"/>
      <c r="ZQ584" s="141"/>
      <c r="ZR584" s="141"/>
      <c r="ZS584" s="141"/>
      <c r="ZT584" s="141"/>
      <c r="ZU584" s="141"/>
      <c r="ZV584" s="141"/>
      <c r="ZW584" s="141"/>
      <c r="ZX584" s="141"/>
      <c r="ZY584" s="141"/>
      <c r="ZZ584" s="141"/>
      <c r="AAA584" s="141"/>
      <c r="AAB584" s="141"/>
      <c r="AAC584" s="141"/>
      <c r="AAD584" s="141"/>
      <c r="AAE584" s="141"/>
      <c r="AAF584" s="141"/>
      <c r="AAG584" s="141"/>
      <c r="AAH584" s="141"/>
      <c r="AAI584" s="141"/>
      <c r="AAJ584" s="141"/>
      <c r="AAK584" s="141"/>
      <c r="AAL584" s="141"/>
      <c r="AAM584" s="141"/>
      <c r="AAN584" s="141"/>
      <c r="AAO584" s="141"/>
      <c r="AAP584" s="141"/>
      <c r="AAQ584" s="141"/>
      <c r="AAR584" s="141"/>
      <c r="AAS584" s="141"/>
      <c r="AAT584" s="141"/>
      <c r="AAU584" s="141"/>
      <c r="AAV584" s="141"/>
      <c r="AAW584" s="141"/>
      <c r="AAX584" s="141"/>
      <c r="AAY584" s="141"/>
      <c r="AAZ584" s="141"/>
      <c r="ABA584" s="141"/>
      <c r="ABB584" s="141"/>
      <c r="ABC584" s="141"/>
      <c r="ABD584" s="141"/>
      <c r="ABE584" s="141"/>
      <c r="ABF584" s="141"/>
      <c r="ABG584" s="141"/>
      <c r="ABH584" s="141"/>
      <c r="ABI584" s="141"/>
      <c r="ABJ584" s="141"/>
      <c r="ABK584" s="141"/>
      <c r="ABL584" s="141"/>
      <c r="ABM584" s="141"/>
      <c r="ABN584" s="141"/>
      <c r="ABO584" s="141"/>
      <c r="ABP584" s="141"/>
      <c r="ABQ584" s="141"/>
      <c r="ABR584" s="141"/>
      <c r="ABS584" s="141"/>
      <c r="ABT584" s="141"/>
      <c r="ABU584" s="141"/>
      <c r="ABV584" s="141"/>
      <c r="ABW584" s="141"/>
      <c r="ABX584" s="141"/>
      <c r="ABY584" s="141"/>
      <c r="ABZ584" s="141"/>
      <c r="ACA584" s="141"/>
      <c r="ACB584" s="141"/>
      <c r="ACC584" s="141"/>
      <c r="ACD584" s="141"/>
      <c r="ACE584" s="141"/>
      <c r="ACF584" s="141"/>
      <c r="ACG584" s="141"/>
      <c r="ACH584" s="141"/>
      <c r="ACI584" s="141"/>
      <c r="ACJ584" s="141"/>
      <c r="ACK584" s="141"/>
      <c r="ACL584" s="141"/>
      <c r="ACM584" s="141"/>
      <c r="ACN584" s="141"/>
      <c r="ACO584" s="141"/>
      <c r="ACP584" s="141"/>
      <c r="ACQ584" s="141"/>
      <c r="ACR584" s="141"/>
      <c r="ACS584" s="141"/>
      <c r="ACT584" s="141"/>
      <c r="ACU584" s="141"/>
      <c r="ACV584" s="141"/>
      <c r="ACW584" s="141"/>
      <c r="ACX584" s="141"/>
      <c r="ACY584" s="141"/>
      <c r="ACZ584" s="141"/>
      <c r="ADA584" s="141"/>
      <c r="ADB584" s="141"/>
      <c r="ADC584" s="141"/>
      <c r="ADD584" s="141"/>
      <c r="ADE584" s="141"/>
      <c r="ADF584" s="141"/>
      <c r="ADG584" s="141"/>
      <c r="ADH584" s="141"/>
      <c r="ADI584" s="141"/>
      <c r="ADJ584" s="141"/>
      <c r="ADK584" s="141"/>
      <c r="ADL584" s="141"/>
      <c r="ADM584" s="141"/>
      <c r="ADN584" s="141"/>
      <c r="ADO584" s="141"/>
      <c r="ADP584" s="141"/>
      <c r="ADQ584" s="141"/>
      <c r="ADR584" s="141"/>
      <c r="ADS584" s="141"/>
      <c r="ADT584" s="141"/>
      <c r="ADU584" s="141"/>
      <c r="ADV584" s="141"/>
      <c r="ADW584" s="141"/>
      <c r="ADX584" s="141"/>
      <c r="ADY584" s="141"/>
      <c r="ADZ584" s="141"/>
      <c r="AEA584" s="141"/>
      <c r="AEB584" s="141"/>
      <c r="AEC584" s="141"/>
      <c r="AED584" s="141"/>
      <c r="AEE584" s="141"/>
      <c r="AEF584" s="141"/>
      <c r="AEG584" s="141"/>
      <c r="AEH584" s="141"/>
      <c r="AEI584" s="141"/>
      <c r="AEJ584" s="141"/>
      <c r="AEK584" s="141"/>
      <c r="AEL584" s="141"/>
      <c r="AEM584" s="141"/>
      <c r="AEN584" s="141"/>
      <c r="AEO584" s="141"/>
      <c r="AEP584" s="141"/>
      <c r="AEQ584" s="141"/>
      <c r="AER584" s="141"/>
      <c r="AES584" s="141"/>
      <c r="AET584" s="141"/>
      <c r="AEU584" s="141"/>
      <c r="AEV584" s="141"/>
      <c r="AEW584" s="141"/>
      <c r="AEX584" s="141"/>
      <c r="AEY584" s="141"/>
      <c r="AEZ584" s="141"/>
      <c r="AFA584" s="141"/>
      <c r="AFB584" s="141"/>
      <c r="AFC584" s="141"/>
      <c r="AFD584" s="141"/>
      <c r="AFE584" s="141"/>
      <c r="AFF584" s="141"/>
      <c r="AFG584" s="141"/>
      <c r="AFH584" s="141"/>
      <c r="AFI584" s="141"/>
      <c r="AFJ584" s="141"/>
      <c r="AFK584" s="141"/>
      <c r="AFL584" s="141"/>
      <c r="AFM584" s="141"/>
      <c r="AFN584" s="141"/>
      <c r="AFO584" s="141"/>
      <c r="AFP584" s="141"/>
      <c r="AFQ584" s="141"/>
      <c r="AFR584" s="141"/>
      <c r="AFS584" s="141"/>
      <c r="AFT584" s="141"/>
      <c r="AFU584" s="141"/>
      <c r="AFV584" s="141"/>
      <c r="AFW584" s="141"/>
      <c r="AFX584" s="141"/>
      <c r="AFY584" s="141"/>
      <c r="AFZ584" s="141"/>
      <c r="AGA584" s="141"/>
      <c r="AGB584" s="141"/>
      <c r="AGC584" s="141"/>
      <c r="AGD584" s="141"/>
      <c r="AGE584" s="141"/>
      <c r="AGF584" s="141"/>
      <c r="AGG584" s="141"/>
      <c r="AGH584" s="141"/>
      <c r="AGI584" s="141"/>
      <c r="AGJ584" s="141"/>
      <c r="AGK584" s="141"/>
      <c r="AGL584" s="141"/>
      <c r="AGM584" s="141"/>
      <c r="AGN584" s="141"/>
      <c r="AGO584" s="141"/>
      <c r="AGP584" s="141"/>
      <c r="AGQ584" s="141"/>
      <c r="AGR584" s="141"/>
      <c r="AGS584" s="141"/>
      <c r="AGT584" s="141"/>
      <c r="AGU584" s="141"/>
      <c r="AGV584" s="141"/>
      <c r="AGW584" s="141"/>
      <c r="AGX584" s="141"/>
      <c r="AGY584" s="141"/>
      <c r="AGZ584" s="141"/>
      <c r="AHA584" s="141"/>
      <c r="AHB584" s="141"/>
      <c r="AHC584" s="141"/>
      <c r="AHD584" s="141"/>
      <c r="AHE584" s="141"/>
      <c r="AHF584" s="141"/>
      <c r="AHG584" s="141"/>
      <c r="AHH584" s="141"/>
      <c r="AHI584" s="141"/>
      <c r="AHJ584" s="141"/>
      <c r="AHK584" s="141"/>
      <c r="AHL584" s="141"/>
      <c r="AHM584" s="141"/>
      <c r="AHN584" s="141"/>
      <c r="AHO584" s="141"/>
      <c r="AHP584" s="141"/>
      <c r="AHQ584" s="141"/>
      <c r="AHR584" s="141"/>
      <c r="AHS584" s="141"/>
      <c r="AHT584" s="141"/>
      <c r="AHU584" s="141"/>
      <c r="AHV584" s="141"/>
      <c r="AHW584" s="141"/>
      <c r="AHX584" s="141"/>
      <c r="AHY584" s="141"/>
      <c r="AHZ584" s="141"/>
      <c r="AIA584" s="141"/>
      <c r="AIB584" s="141"/>
      <c r="AIC584" s="141"/>
      <c r="AID584" s="141"/>
      <c r="AIE584" s="141"/>
      <c r="AIF584" s="141"/>
      <c r="AIG584" s="141"/>
      <c r="AIH584" s="141"/>
      <c r="AII584" s="141"/>
      <c r="AIJ584" s="141"/>
      <c r="AIK584" s="141"/>
      <c r="AIL584" s="141"/>
      <c r="AIM584" s="141"/>
      <c r="AIN584" s="141"/>
      <c r="AIO584" s="141"/>
      <c r="AIP584" s="141"/>
      <c r="AIQ584" s="141"/>
      <c r="AIR584" s="141"/>
      <c r="AIS584" s="141"/>
      <c r="AIT584" s="141"/>
      <c r="AIU584" s="141"/>
      <c r="AIV584" s="141"/>
      <c r="AIW584" s="141"/>
      <c r="AIX584" s="141"/>
      <c r="AIY584" s="141"/>
      <c r="AIZ584" s="141"/>
      <c r="AJA584" s="141"/>
      <c r="AJB584" s="141"/>
      <c r="AJC584" s="141"/>
      <c r="AJD584" s="141"/>
      <c r="AJE584" s="141"/>
      <c r="AJF584" s="141"/>
      <c r="AJG584" s="141"/>
      <c r="AJH584" s="141"/>
      <c r="AJI584" s="141"/>
      <c r="AJJ584" s="141"/>
      <c r="AJK584" s="141"/>
      <c r="AJL584" s="141"/>
      <c r="AJM584" s="141"/>
      <c r="AJN584" s="141"/>
      <c r="AJO584" s="141"/>
      <c r="AJP584" s="141"/>
      <c r="AJQ584" s="141"/>
      <c r="AJR584" s="141"/>
      <c r="AJS584" s="141"/>
      <c r="AJT584" s="141"/>
      <c r="AJU584" s="141"/>
      <c r="AJV584" s="141"/>
      <c r="AJW584" s="141"/>
      <c r="AJX584" s="141"/>
      <c r="AJY584" s="141"/>
      <c r="AJZ584" s="141"/>
      <c r="AKA584" s="141"/>
      <c r="AKB584" s="141"/>
      <c r="AKC584" s="141"/>
      <c r="AKD584" s="141"/>
      <c r="AKE584" s="141"/>
      <c r="AKF584" s="141"/>
      <c r="AKG584" s="141"/>
      <c r="AKH584" s="141"/>
      <c r="AKI584" s="141"/>
      <c r="AKJ584" s="141"/>
      <c r="AKK584" s="141"/>
      <c r="AKL584" s="141"/>
      <c r="AKM584" s="141"/>
      <c r="AKN584" s="141"/>
      <c r="AKO584" s="141"/>
      <c r="AKP584" s="141"/>
      <c r="AKQ584" s="141"/>
      <c r="AKR584" s="141"/>
      <c r="AKS584" s="141"/>
      <c r="AKT584" s="141"/>
      <c r="AKU584" s="141"/>
      <c r="AKV584" s="141"/>
      <c r="AKW584" s="141"/>
      <c r="AKX584" s="141"/>
      <c r="AKY584" s="141"/>
      <c r="AKZ584" s="141"/>
      <c r="ALA584" s="141"/>
      <c r="ALB584" s="141"/>
      <c r="ALC584" s="141"/>
      <c r="ALD584" s="141"/>
      <c r="ALE584" s="141"/>
      <c r="ALF584" s="141"/>
      <c r="ALG584" s="141"/>
      <c r="ALH584" s="141"/>
      <c r="ALI584" s="141"/>
      <c r="ALJ584" s="141"/>
      <c r="ALK584" s="141"/>
      <c r="ALL584" s="141"/>
      <c r="ALM584" s="141"/>
      <c r="ALN584" s="141"/>
      <c r="ALO584" s="141"/>
      <c r="ALP584" s="141"/>
      <c r="ALQ584" s="141"/>
      <c r="ALR584" s="141"/>
      <c r="ALS584" s="141"/>
      <c r="ALT584" s="141"/>
      <c r="ALU584" s="141"/>
      <c r="ALV584" s="141"/>
      <c r="ALW584" s="141"/>
      <c r="ALX584" s="141"/>
      <c r="ALY584" s="141"/>
      <c r="ALZ584" s="141"/>
      <c r="AMA584" s="141"/>
      <c r="AMB584" s="141"/>
      <c r="AMC584" s="141"/>
      <c r="AMD584" s="141"/>
      <c r="AME584" s="141"/>
      <c r="AMF584" s="141"/>
      <c r="AMG584" s="141"/>
      <c r="AMH584" s="141"/>
      <c r="AMI584" s="141"/>
      <c r="AMJ584" s="141"/>
      <c r="AMK584" s="141"/>
      <c r="AML584" s="141"/>
      <c r="AMM584" s="141"/>
      <c r="AMN584" s="141"/>
      <c r="AMO584" s="141"/>
      <c r="AMP584" s="141"/>
      <c r="AMQ584" s="141"/>
      <c r="AMR584" s="141"/>
      <c r="AMS584" s="141"/>
      <c r="AMT584" s="141"/>
      <c r="AMU584" s="141"/>
      <c r="AMV584" s="141"/>
      <c r="AMW584" s="141"/>
      <c r="AMX584" s="141"/>
      <c r="AMY584" s="141"/>
      <c r="AMZ584" s="141"/>
      <c r="ANA584" s="141"/>
      <c r="ANB584" s="141"/>
      <c r="ANC584" s="141"/>
      <c r="AND584" s="141"/>
      <c r="ANE584" s="141"/>
      <c r="ANF584" s="141"/>
      <c r="ANG584" s="141"/>
      <c r="ANH584" s="141"/>
      <c r="ANI584" s="141"/>
      <c r="ANJ584" s="141"/>
      <c r="ANK584" s="141"/>
      <c r="ANL584" s="141"/>
      <c r="ANM584" s="141"/>
      <c r="ANN584" s="141"/>
      <c r="ANO584" s="141"/>
      <c r="ANP584" s="141"/>
      <c r="ANQ584" s="141"/>
      <c r="ANR584" s="141"/>
      <c r="ANS584" s="141"/>
      <c r="ANT584" s="141"/>
      <c r="ANU584" s="141"/>
      <c r="ANV584" s="141"/>
      <c r="ANW584" s="141"/>
      <c r="ANX584" s="141"/>
      <c r="ANY584" s="141"/>
      <c r="ANZ584" s="141"/>
      <c r="AOA584" s="141"/>
      <c r="AOB584" s="141"/>
      <c r="AOC584" s="141"/>
      <c r="AOD584" s="141"/>
      <c r="AOE584" s="141"/>
      <c r="AOF584" s="141"/>
      <c r="AOG584" s="141"/>
      <c r="AOH584" s="141"/>
      <c r="AOI584" s="141"/>
      <c r="AOJ584" s="141"/>
      <c r="AOK584" s="141"/>
      <c r="AOL584" s="141"/>
      <c r="AOM584" s="141"/>
      <c r="AON584" s="141"/>
      <c r="AOO584" s="141"/>
      <c r="AOP584" s="141"/>
      <c r="AOQ584" s="141"/>
      <c r="AOR584" s="141"/>
      <c r="AOS584" s="141"/>
      <c r="AOT584" s="141"/>
      <c r="AOU584" s="141"/>
      <c r="AOV584" s="141"/>
      <c r="AOW584" s="141"/>
      <c r="AOX584" s="141"/>
      <c r="AOY584" s="141"/>
      <c r="AOZ584" s="141"/>
      <c r="APA584" s="141"/>
      <c r="APB584" s="141"/>
      <c r="APC584" s="141"/>
      <c r="APD584" s="141"/>
      <c r="APE584" s="141"/>
      <c r="APF584" s="141"/>
      <c r="APG584" s="141"/>
      <c r="APH584" s="141"/>
      <c r="API584" s="141"/>
      <c r="APJ584" s="141"/>
      <c r="APK584" s="141"/>
      <c r="APL584" s="141"/>
      <c r="APM584" s="141"/>
      <c r="APN584" s="141"/>
      <c r="APO584" s="141"/>
      <c r="APP584" s="141"/>
      <c r="APQ584" s="141"/>
      <c r="APR584" s="141"/>
      <c r="APS584" s="141"/>
      <c r="APT584" s="141"/>
      <c r="APU584" s="141"/>
      <c r="APV584" s="141"/>
      <c r="APW584" s="141"/>
      <c r="APX584" s="141"/>
      <c r="APY584" s="141"/>
      <c r="APZ584" s="141"/>
      <c r="AQA584" s="141"/>
      <c r="AQB584" s="141"/>
      <c r="AQC584" s="141"/>
      <c r="AQD584" s="141"/>
      <c r="AQE584" s="141"/>
      <c r="AQF584" s="141"/>
      <c r="AQG584" s="141"/>
      <c r="AQH584" s="141"/>
      <c r="AQI584" s="141"/>
      <c r="AQJ584" s="141"/>
      <c r="AQK584" s="141"/>
      <c r="AQL584" s="141"/>
      <c r="AQM584" s="141"/>
      <c r="AQN584" s="141"/>
      <c r="AQO584" s="141"/>
      <c r="AQP584" s="141"/>
      <c r="AQQ584" s="141"/>
      <c r="AQR584" s="141"/>
      <c r="AQS584" s="141"/>
      <c r="AQT584" s="141"/>
      <c r="AQU584" s="141"/>
      <c r="AQV584" s="141"/>
      <c r="AQW584" s="141"/>
      <c r="AQX584" s="141"/>
      <c r="AQY584" s="141"/>
      <c r="AQZ584" s="141"/>
      <c r="ARA584" s="141"/>
      <c r="ARB584" s="141"/>
      <c r="ARC584" s="141"/>
      <c r="ARD584" s="141"/>
      <c r="ARE584" s="141"/>
      <c r="ARF584" s="141"/>
      <c r="ARG584" s="141"/>
      <c r="ARH584" s="141"/>
      <c r="ARI584" s="141"/>
      <c r="ARJ584" s="141"/>
      <c r="ARK584" s="141"/>
      <c r="ARL584" s="141"/>
      <c r="ARM584" s="141"/>
      <c r="ARN584" s="141"/>
      <c r="ARO584" s="141"/>
      <c r="ARP584" s="141"/>
      <c r="ARQ584" s="141"/>
      <c r="ARR584" s="141"/>
      <c r="ARS584" s="141"/>
      <c r="ART584" s="141"/>
      <c r="ARU584" s="141"/>
      <c r="ARV584" s="141"/>
      <c r="ARW584" s="141"/>
      <c r="ARX584" s="141"/>
      <c r="ARY584" s="141"/>
      <c r="ARZ584" s="141"/>
      <c r="ASA584" s="141"/>
      <c r="ASB584" s="141"/>
      <c r="ASC584" s="141"/>
      <c r="ASD584" s="141"/>
      <c r="ASE584" s="141"/>
      <c r="ASF584" s="141"/>
      <c r="ASG584" s="141"/>
      <c r="ASH584" s="141"/>
      <c r="ASI584" s="141"/>
      <c r="ASJ584" s="141"/>
      <c r="ASK584" s="141"/>
      <c r="ASL584" s="141"/>
      <c r="ASM584" s="141"/>
      <c r="ASN584" s="141"/>
      <c r="ASO584" s="141"/>
      <c r="ASP584" s="141"/>
      <c r="ASQ584" s="141"/>
      <c r="ASR584" s="141"/>
      <c r="ASS584" s="141"/>
      <c r="AST584" s="141"/>
      <c r="ASU584" s="141"/>
      <c r="ASV584" s="141"/>
      <c r="ASW584" s="141"/>
      <c r="ASX584" s="141"/>
      <c r="ASY584" s="141"/>
      <c r="ASZ584" s="141"/>
      <c r="ATA584" s="141"/>
      <c r="ATB584" s="141"/>
      <c r="ATC584" s="141"/>
      <c r="ATD584" s="141"/>
      <c r="ATE584" s="141"/>
      <c r="ATF584" s="141"/>
      <c r="ATG584" s="141"/>
      <c r="ATH584" s="141"/>
      <c r="ATI584" s="141"/>
      <c r="ATJ584" s="141"/>
      <c r="ATK584" s="141"/>
      <c r="ATL584" s="141"/>
      <c r="ATM584" s="141"/>
      <c r="ATN584" s="141"/>
      <c r="ATO584" s="141"/>
      <c r="ATP584" s="141"/>
      <c r="ATQ584" s="141"/>
      <c r="ATR584" s="141"/>
      <c r="ATS584" s="141"/>
      <c r="ATT584" s="141"/>
      <c r="ATU584" s="141"/>
      <c r="ATV584" s="141"/>
      <c r="ATW584" s="141"/>
      <c r="ATX584" s="141"/>
      <c r="ATY584" s="141"/>
      <c r="ATZ584" s="141"/>
      <c r="AUA584" s="141"/>
      <c r="AUB584" s="141"/>
      <c r="AUC584" s="141"/>
      <c r="AUD584" s="141"/>
      <c r="AUE584" s="141"/>
      <c r="AUF584" s="141"/>
      <c r="AUG584" s="141"/>
      <c r="AUH584" s="141"/>
      <c r="AUI584" s="141"/>
      <c r="AUJ584" s="141"/>
      <c r="AUK584" s="141"/>
      <c r="AUL584" s="141"/>
      <c r="AUM584" s="141"/>
      <c r="AUN584" s="141"/>
      <c r="AUO584" s="141"/>
      <c r="AUP584" s="141"/>
      <c r="AUQ584" s="141"/>
      <c r="AUR584" s="141"/>
      <c r="AUS584" s="141"/>
      <c r="AUT584" s="141"/>
      <c r="AUU584" s="141"/>
      <c r="AUV584" s="141"/>
      <c r="AUW584" s="141"/>
      <c r="AUX584" s="141"/>
      <c r="AUY584" s="141"/>
      <c r="AUZ584" s="141"/>
      <c r="AVA584" s="141"/>
      <c r="AVB584" s="141"/>
      <c r="AVC584" s="141"/>
      <c r="AVD584" s="141"/>
      <c r="AVE584" s="141"/>
      <c r="AVF584" s="141"/>
      <c r="AVG584" s="141"/>
      <c r="AVH584" s="141"/>
      <c r="AVI584" s="141"/>
      <c r="AVJ584" s="141"/>
      <c r="AVK584" s="141"/>
      <c r="AVL584" s="141"/>
      <c r="AVM584" s="141"/>
      <c r="AVN584" s="141"/>
      <c r="AVO584" s="141"/>
      <c r="AVP584" s="141"/>
      <c r="AVQ584" s="141"/>
      <c r="AVR584" s="141"/>
      <c r="AVS584" s="141"/>
      <c r="AVT584" s="141"/>
      <c r="AVU584" s="141"/>
      <c r="AVV584" s="141"/>
      <c r="AVW584" s="141"/>
      <c r="AVX584" s="141"/>
      <c r="AVY584" s="141"/>
      <c r="AVZ584" s="141"/>
      <c r="AWA584" s="141"/>
      <c r="AWB584" s="141"/>
      <c r="AWC584" s="141"/>
      <c r="AWD584" s="141"/>
      <c r="AWE584" s="141"/>
      <c r="AWF584" s="141"/>
      <c r="AWG584" s="141"/>
      <c r="AWH584" s="141"/>
      <c r="AWI584" s="141"/>
      <c r="AWJ584" s="141"/>
      <c r="AWK584" s="141"/>
      <c r="AWL584" s="141"/>
      <c r="AWM584" s="141"/>
      <c r="AWN584" s="141"/>
      <c r="AWO584" s="141"/>
      <c r="AWP584" s="141"/>
      <c r="AWQ584" s="141"/>
      <c r="AWR584" s="141"/>
      <c r="AWS584" s="141"/>
      <c r="AWT584" s="141"/>
      <c r="AWU584" s="141"/>
      <c r="AWV584" s="141"/>
      <c r="AWW584" s="141"/>
      <c r="AWX584" s="141"/>
      <c r="AWY584" s="141"/>
      <c r="AWZ584" s="141"/>
      <c r="AXA584" s="141"/>
      <c r="AXB584" s="141"/>
      <c r="AXC584" s="141"/>
      <c r="AXD584" s="141"/>
      <c r="AXE584" s="141"/>
      <c r="AXF584" s="141"/>
      <c r="AXG584" s="141"/>
      <c r="AXH584" s="141"/>
      <c r="AXI584" s="141"/>
      <c r="AXJ584" s="141"/>
      <c r="AXK584" s="141"/>
      <c r="AXL584" s="141"/>
      <c r="AXM584" s="141"/>
      <c r="AXN584" s="141"/>
      <c r="AXO584" s="141"/>
      <c r="AXP584" s="141"/>
      <c r="AXQ584" s="141"/>
      <c r="AXR584" s="141"/>
      <c r="AXS584" s="141"/>
      <c r="AXT584" s="141"/>
      <c r="AXU584" s="141"/>
      <c r="AXV584" s="141"/>
      <c r="AXW584" s="141"/>
      <c r="AXX584" s="141"/>
      <c r="AXY584" s="141"/>
      <c r="AXZ584" s="141"/>
      <c r="AYA584" s="141"/>
      <c r="AYB584" s="141"/>
      <c r="AYC584" s="141"/>
      <c r="AYD584" s="141"/>
      <c r="AYE584" s="141"/>
      <c r="AYF584" s="141"/>
      <c r="AYG584" s="141"/>
      <c r="AYH584" s="141"/>
      <c r="AYI584" s="141"/>
      <c r="AYJ584" s="141"/>
      <c r="AYK584" s="141"/>
      <c r="AYL584" s="141"/>
      <c r="AYM584" s="141"/>
      <c r="AYN584" s="141"/>
      <c r="AYO584" s="141"/>
      <c r="AYP584" s="141"/>
      <c r="AYQ584" s="141"/>
      <c r="AYR584" s="141"/>
      <c r="AYS584" s="141"/>
      <c r="AYT584" s="141"/>
      <c r="AYU584" s="141"/>
      <c r="AYV584" s="141"/>
      <c r="AYW584" s="141"/>
      <c r="AYX584" s="141"/>
      <c r="AYY584" s="141"/>
      <c r="AYZ584" s="141"/>
      <c r="AZA584" s="141"/>
      <c r="AZB584" s="141"/>
      <c r="AZC584" s="141"/>
      <c r="AZD584" s="141"/>
      <c r="AZE584" s="141"/>
      <c r="AZF584" s="141"/>
      <c r="AZG584" s="141"/>
      <c r="AZH584" s="141"/>
      <c r="AZI584" s="141"/>
      <c r="AZJ584" s="141"/>
      <c r="AZK584" s="141"/>
      <c r="AZL584" s="141"/>
      <c r="AZM584" s="141"/>
      <c r="AZN584" s="141"/>
      <c r="AZO584" s="141"/>
      <c r="AZP584" s="141"/>
      <c r="AZQ584" s="141"/>
      <c r="AZR584" s="141"/>
      <c r="AZS584" s="141"/>
      <c r="AZT584" s="141"/>
      <c r="AZU584" s="141"/>
      <c r="AZV584" s="141"/>
      <c r="AZW584" s="141"/>
      <c r="AZX584" s="141"/>
      <c r="AZY584" s="141"/>
      <c r="AZZ584" s="141"/>
      <c r="BAA584" s="141"/>
      <c r="BAB584" s="141"/>
      <c r="BAC584" s="141"/>
      <c r="BAD584" s="141"/>
      <c r="BAE584" s="141"/>
      <c r="BAF584" s="141"/>
      <c r="BAG584" s="141"/>
      <c r="BAH584" s="141"/>
      <c r="BAI584" s="141"/>
      <c r="BAJ584" s="141"/>
      <c r="BAK584" s="141"/>
      <c r="BAL584" s="141"/>
      <c r="BAM584" s="141"/>
      <c r="BAN584" s="141"/>
      <c r="BAO584" s="141"/>
      <c r="BAP584" s="141"/>
      <c r="BAQ584" s="141"/>
      <c r="BAR584" s="141"/>
      <c r="BAS584" s="141"/>
      <c r="BAT584" s="141"/>
      <c r="BAU584" s="141"/>
      <c r="BAV584" s="141"/>
      <c r="BAW584" s="141"/>
      <c r="BAX584" s="141"/>
      <c r="BAY584" s="141"/>
      <c r="BAZ584" s="141"/>
      <c r="BBA584" s="141"/>
      <c r="BBB584" s="141"/>
      <c r="BBC584" s="141"/>
      <c r="BBD584" s="141"/>
      <c r="BBE584" s="141"/>
      <c r="BBF584" s="141"/>
      <c r="BBG584" s="141"/>
      <c r="BBH584" s="141"/>
      <c r="BBI584" s="141"/>
      <c r="BBJ584" s="141"/>
      <c r="BBK584" s="141"/>
      <c r="BBL584" s="141"/>
      <c r="BBM584" s="141"/>
      <c r="BBN584" s="141"/>
      <c r="BBO584" s="141"/>
      <c r="BBP584" s="141"/>
      <c r="BBQ584" s="141"/>
      <c r="BBR584" s="141"/>
      <c r="BBS584" s="141"/>
      <c r="BBT584" s="141"/>
      <c r="BBU584" s="141"/>
      <c r="BBV584" s="141"/>
      <c r="BBW584" s="141"/>
      <c r="BBX584" s="141"/>
      <c r="BBY584" s="141"/>
      <c r="BBZ584" s="141"/>
      <c r="BCA584" s="141"/>
      <c r="BCB584" s="141"/>
      <c r="BCC584" s="141"/>
      <c r="BCD584" s="141"/>
      <c r="BCE584" s="141"/>
      <c r="BCF584" s="141"/>
      <c r="BCG584" s="141"/>
      <c r="BCH584" s="141"/>
      <c r="BCI584" s="141"/>
      <c r="BCJ584" s="141"/>
      <c r="BCK584" s="141"/>
      <c r="BCL584" s="141"/>
      <c r="BCM584" s="141"/>
      <c r="BCN584" s="141"/>
      <c r="BCO584" s="141"/>
      <c r="BCP584" s="141"/>
      <c r="BCQ584" s="141"/>
      <c r="BCR584" s="141"/>
      <c r="BCS584" s="141"/>
      <c r="BCT584" s="141"/>
      <c r="BCU584" s="141"/>
      <c r="BCV584" s="141"/>
      <c r="BCW584" s="141"/>
      <c r="BCX584" s="141"/>
      <c r="BCY584" s="141"/>
      <c r="BCZ584" s="141"/>
      <c r="BDA584" s="141"/>
      <c r="BDB584" s="141"/>
      <c r="BDC584" s="141"/>
      <c r="BDD584" s="141"/>
      <c r="BDE584" s="141"/>
      <c r="BDF584" s="141"/>
      <c r="BDG584" s="141"/>
      <c r="BDH584" s="141"/>
      <c r="BDI584" s="141"/>
      <c r="BDJ584" s="141"/>
      <c r="BDK584" s="141"/>
      <c r="BDL584" s="141"/>
      <c r="BDM584" s="141"/>
      <c r="BDN584" s="141"/>
      <c r="BDO584" s="141"/>
      <c r="BDP584" s="141"/>
      <c r="BDQ584" s="141"/>
      <c r="BDR584" s="141"/>
      <c r="BDS584" s="141"/>
      <c r="BDT584" s="141"/>
      <c r="BDU584" s="141"/>
      <c r="BDV584" s="141"/>
      <c r="BDW584" s="141"/>
      <c r="BDX584" s="141"/>
      <c r="BDY584" s="141"/>
      <c r="BDZ584" s="141"/>
      <c r="BEA584" s="141"/>
      <c r="BEB584" s="141"/>
      <c r="BEC584" s="141"/>
      <c r="BED584" s="141"/>
      <c r="BEE584" s="141"/>
      <c r="BEF584" s="141"/>
      <c r="BEG584" s="141"/>
      <c r="BEH584" s="141"/>
      <c r="BEI584" s="141"/>
      <c r="BEJ584" s="141"/>
      <c r="BEK584" s="141"/>
      <c r="BEL584" s="141"/>
      <c r="BEM584" s="141"/>
      <c r="BEN584" s="141"/>
      <c r="BEO584" s="141"/>
      <c r="BEP584" s="141"/>
      <c r="BEQ584" s="141"/>
      <c r="BER584" s="141"/>
      <c r="BES584" s="141"/>
      <c r="BET584" s="141"/>
      <c r="BEU584" s="141"/>
      <c r="BEV584" s="141"/>
      <c r="BEW584" s="141"/>
      <c r="BEX584" s="141"/>
      <c r="BEY584" s="141"/>
      <c r="BEZ584" s="141"/>
      <c r="BFA584" s="141"/>
      <c r="BFB584" s="141"/>
      <c r="BFC584" s="141"/>
      <c r="BFD584" s="141"/>
      <c r="BFE584" s="141"/>
      <c r="BFF584" s="141"/>
      <c r="BFG584" s="141"/>
      <c r="BFH584" s="141"/>
      <c r="BFI584" s="141"/>
      <c r="BFJ584" s="141"/>
      <c r="BFK584" s="141"/>
      <c r="BFL584" s="141"/>
      <c r="BFM584" s="141"/>
      <c r="BFN584" s="141"/>
      <c r="BFO584" s="141"/>
      <c r="BFP584" s="141"/>
      <c r="BFQ584" s="141"/>
      <c r="BFR584" s="141"/>
      <c r="BFS584" s="141"/>
      <c r="BFT584" s="141"/>
      <c r="BFU584" s="141"/>
      <c r="BFV584" s="141"/>
      <c r="BFW584" s="141"/>
      <c r="BFX584" s="141"/>
      <c r="BFY584" s="141"/>
      <c r="BFZ584" s="141"/>
      <c r="BGA584" s="141"/>
      <c r="BGB584" s="141"/>
      <c r="BGC584" s="141"/>
      <c r="BGD584" s="141"/>
      <c r="BGE584" s="141"/>
      <c r="BGF584" s="141"/>
      <c r="BGG584" s="141"/>
      <c r="BGH584" s="141"/>
      <c r="BGI584" s="141"/>
      <c r="BGJ584" s="141"/>
      <c r="BGK584" s="141"/>
      <c r="BGL584" s="141"/>
      <c r="BGM584" s="141"/>
      <c r="BGN584" s="141"/>
      <c r="BGO584" s="141"/>
      <c r="BGP584" s="141"/>
      <c r="BGQ584" s="141"/>
      <c r="BGR584" s="141"/>
      <c r="BGS584" s="141"/>
      <c r="BGT584" s="141"/>
      <c r="BGU584" s="141"/>
      <c r="BGV584" s="141"/>
      <c r="BGW584" s="141"/>
      <c r="BGX584" s="141"/>
      <c r="BGY584" s="141"/>
      <c r="BGZ584" s="141"/>
      <c r="BHA584" s="141"/>
      <c r="BHB584" s="141"/>
      <c r="BHC584" s="141"/>
      <c r="BHD584" s="141"/>
      <c r="BHE584" s="141"/>
      <c r="BHF584" s="141"/>
      <c r="BHG584" s="141"/>
      <c r="BHH584" s="141"/>
      <c r="BHI584" s="141"/>
      <c r="BHJ584" s="141"/>
      <c r="BHK584" s="141"/>
      <c r="BHL584" s="141"/>
      <c r="BHM584" s="141"/>
      <c r="BHN584" s="141"/>
      <c r="BHO584" s="141"/>
      <c r="BHP584" s="141"/>
      <c r="BHQ584" s="141"/>
      <c r="BHR584" s="141"/>
      <c r="BHS584" s="141"/>
      <c r="BHT584" s="141"/>
      <c r="BHU584" s="141"/>
      <c r="BHV584" s="141"/>
      <c r="BHW584" s="141"/>
      <c r="BHX584" s="141"/>
      <c r="BHY584" s="141"/>
      <c r="BHZ584" s="141"/>
      <c r="BIA584" s="141"/>
      <c r="BIB584" s="141"/>
      <c r="BIC584" s="141"/>
      <c r="BID584" s="141"/>
      <c r="BIE584" s="141"/>
      <c r="BIF584" s="141"/>
      <c r="BIG584" s="141"/>
      <c r="BIH584" s="141"/>
      <c r="BII584" s="141"/>
      <c r="BIJ584" s="141"/>
      <c r="BIK584" s="141"/>
      <c r="BIL584" s="141"/>
      <c r="BIM584" s="141"/>
      <c r="BIN584" s="141"/>
      <c r="BIO584" s="141"/>
      <c r="BIP584" s="141"/>
      <c r="BIQ584" s="141"/>
      <c r="BIR584" s="141"/>
      <c r="BIS584" s="141"/>
      <c r="BIT584" s="141"/>
      <c r="BIU584" s="141"/>
      <c r="BIV584" s="141"/>
      <c r="BIW584" s="141"/>
      <c r="BIX584" s="141"/>
      <c r="BIY584" s="141"/>
      <c r="BIZ584" s="141"/>
      <c r="BJA584" s="141"/>
      <c r="BJB584" s="141"/>
      <c r="BJC584" s="141"/>
      <c r="BJD584" s="141"/>
      <c r="BJE584" s="141"/>
      <c r="BJF584" s="141"/>
      <c r="BJG584" s="141"/>
      <c r="BJH584" s="141"/>
      <c r="BJI584" s="141"/>
      <c r="BJJ584" s="141"/>
      <c r="BJK584" s="141"/>
      <c r="BJL584" s="141"/>
      <c r="BJM584" s="141"/>
      <c r="BJN584" s="141"/>
      <c r="BJO584" s="141"/>
      <c r="BJP584" s="141"/>
      <c r="BJQ584" s="141"/>
      <c r="BJR584" s="141"/>
      <c r="BJS584" s="141"/>
      <c r="BJT584" s="141"/>
      <c r="BJU584" s="141"/>
      <c r="BJV584" s="141"/>
      <c r="BJW584" s="141"/>
      <c r="BJX584" s="141"/>
      <c r="BJY584" s="141"/>
      <c r="BJZ584" s="141"/>
      <c r="BKA584" s="141"/>
      <c r="BKB584" s="141"/>
      <c r="BKC584" s="141"/>
      <c r="BKD584" s="141"/>
      <c r="BKE584" s="141"/>
      <c r="BKF584" s="141"/>
      <c r="BKG584" s="141"/>
      <c r="BKH584" s="141"/>
      <c r="BKI584" s="141"/>
      <c r="BKJ584" s="141"/>
      <c r="BKK584" s="141"/>
      <c r="BKL584" s="141"/>
      <c r="BKM584" s="141"/>
      <c r="BKN584" s="141"/>
      <c r="BKO584" s="141"/>
      <c r="BKP584" s="141"/>
      <c r="BKQ584" s="141"/>
      <c r="BKR584" s="141"/>
      <c r="BKS584" s="141"/>
      <c r="BKT584" s="141"/>
      <c r="BKU584" s="141"/>
      <c r="BKV584" s="141"/>
      <c r="BKW584" s="141"/>
      <c r="BKX584" s="141"/>
      <c r="BKY584" s="141"/>
      <c r="BKZ584" s="141"/>
      <c r="BLA584" s="141"/>
      <c r="BLB584" s="141"/>
      <c r="BLC584" s="141"/>
      <c r="BLD584" s="141"/>
      <c r="BLE584" s="141"/>
      <c r="BLF584" s="141"/>
      <c r="BLG584" s="141"/>
      <c r="BLH584" s="141"/>
      <c r="BLI584" s="141"/>
      <c r="BLJ584" s="141"/>
      <c r="BLK584" s="141"/>
      <c r="BLL584" s="141"/>
      <c r="BLM584" s="141"/>
      <c r="BLN584" s="141"/>
      <c r="BLO584" s="141"/>
      <c r="BLP584" s="141"/>
      <c r="BLQ584" s="141"/>
      <c r="BLR584" s="141"/>
      <c r="BLS584" s="141"/>
      <c r="BLT584" s="141"/>
      <c r="BLU584" s="141"/>
      <c r="BLV584" s="141"/>
      <c r="BLW584" s="141"/>
      <c r="BLX584" s="141"/>
      <c r="BLY584" s="141"/>
      <c r="BLZ584" s="141"/>
      <c r="BMA584" s="141"/>
      <c r="BMB584" s="141"/>
      <c r="BMC584" s="141"/>
      <c r="BMD584" s="141"/>
      <c r="BME584" s="141"/>
      <c r="BMF584" s="141"/>
      <c r="BMG584" s="141"/>
      <c r="BMH584" s="141"/>
      <c r="BMI584" s="141"/>
      <c r="BMJ584" s="141"/>
      <c r="BMK584" s="141"/>
      <c r="BML584" s="141"/>
      <c r="BMM584" s="141"/>
      <c r="BMN584" s="141"/>
      <c r="BMO584" s="141"/>
      <c r="BMP584" s="141"/>
      <c r="BMQ584" s="141"/>
      <c r="BMR584" s="141"/>
      <c r="BMS584" s="141"/>
      <c r="BMT584" s="141"/>
      <c r="BMU584" s="141"/>
      <c r="BMV584" s="141"/>
      <c r="BMW584" s="141"/>
      <c r="BMX584" s="141"/>
      <c r="BMY584" s="141"/>
      <c r="BMZ584" s="141"/>
      <c r="BNA584" s="141"/>
      <c r="BNB584" s="141"/>
      <c r="BNC584" s="141"/>
      <c r="BND584" s="141"/>
      <c r="BNE584" s="141"/>
      <c r="BNF584" s="141"/>
      <c r="BNG584" s="141"/>
      <c r="BNH584" s="141"/>
      <c r="BNI584" s="141"/>
      <c r="BNJ584" s="141"/>
      <c r="BNK584" s="141"/>
      <c r="BNL584" s="141"/>
      <c r="BNM584" s="141"/>
      <c r="BNN584" s="141"/>
      <c r="BNO584" s="141"/>
      <c r="BNP584" s="141"/>
      <c r="BNQ584" s="141"/>
      <c r="BNR584" s="141"/>
      <c r="BNS584" s="141"/>
      <c r="BNT584" s="141"/>
      <c r="BNU584" s="141"/>
      <c r="BNV584" s="141"/>
      <c r="BNW584" s="141"/>
      <c r="BNX584" s="141"/>
      <c r="BNY584" s="141"/>
      <c r="BNZ584" s="141"/>
      <c r="BOA584" s="141"/>
      <c r="BOB584" s="141"/>
      <c r="BOC584" s="141"/>
      <c r="BOD584" s="141"/>
      <c r="BOE584" s="141"/>
      <c r="BOF584" s="141"/>
      <c r="BOG584" s="141"/>
      <c r="BOH584" s="141"/>
      <c r="BOI584" s="141"/>
      <c r="BOJ584" s="141"/>
      <c r="BOK584" s="141"/>
      <c r="BOL584" s="141"/>
      <c r="BOM584" s="141"/>
      <c r="BON584" s="141"/>
      <c r="BOO584" s="141"/>
      <c r="BOP584" s="141"/>
      <c r="BOQ584" s="141"/>
      <c r="BOR584" s="141"/>
      <c r="BOS584" s="141"/>
      <c r="BOT584" s="141"/>
      <c r="BOU584" s="141"/>
      <c r="BOV584" s="141"/>
      <c r="BOW584" s="141"/>
      <c r="BOX584" s="141"/>
      <c r="BOY584" s="141"/>
      <c r="BOZ584" s="141"/>
      <c r="BPA584" s="141"/>
      <c r="BPB584" s="141"/>
      <c r="BPC584" s="141"/>
      <c r="BPD584" s="141"/>
      <c r="BPE584" s="141"/>
      <c r="BPF584" s="141"/>
      <c r="BPG584" s="141"/>
      <c r="BPH584" s="141"/>
      <c r="BPI584" s="141"/>
      <c r="BPJ584" s="141"/>
      <c r="BPK584" s="141"/>
      <c r="BPL584" s="141"/>
      <c r="BPM584" s="141"/>
      <c r="BPN584" s="141"/>
      <c r="BPO584" s="141"/>
      <c r="BPP584" s="141"/>
      <c r="BPQ584" s="141"/>
      <c r="BPR584" s="141"/>
      <c r="BPS584" s="141"/>
      <c r="BPT584" s="141"/>
      <c r="BPU584" s="141"/>
      <c r="BPV584" s="141"/>
      <c r="BPW584" s="141"/>
      <c r="BPX584" s="141"/>
      <c r="BPY584" s="141"/>
      <c r="BPZ584" s="141"/>
      <c r="BQA584" s="141"/>
      <c r="BQB584" s="141"/>
      <c r="BQC584" s="141"/>
      <c r="BQD584" s="141"/>
      <c r="BQE584" s="141"/>
      <c r="BQF584" s="141"/>
      <c r="BQG584" s="141"/>
      <c r="BQH584" s="141"/>
      <c r="BQI584" s="141"/>
      <c r="BQJ584" s="141"/>
      <c r="BQK584" s="141"/>
      <c r="BQL584" s="141"/>
      <c r="BQM584" s="141"/>
      <c r="BQN584" s="141"/>
      <c r="BQO584" s="141"/>
      <c r="BQP584" s="141"/>
      <c r="BQQ584" s="141"/>
      <c r="BQR584" s="141"/>
      <c r="BQS584" s="141"/>
      <c r="BQT584" s="141"/>
      <c r="BQU584" s="141"/>
      <c r="BQV584" s="141"/>
      <c r="BQW584" s="141"/>
      <c r="BQX584" s="141"/>
      <c r="BQY584" s="141"/>
      <c r="BQZ584" s="141"/>
      <c r="BRA584" s="141"/>
      <c r="BRB584" s="141"/>
      <c r="BRC584" s="141"/>
      <c r="BRD584" s="141"/>
      <c r="BRE584" s="141"/>
      <c r="BRF584" s="141"/>
      <c r="BRG584" s="141"/>
      <c r="BRH584" s="141"/>
      <c r="BRI584" s="141"/>
      <c r="BRJ584" s="141"/>
      <c r="BRK584" s="141"/>
      <c r="BRL584" s="141"/>
      <c r="BRM584" s="141"/>
      <c r="BRN584" s="141"/>
      <c r="BRO584" s="141"/>
      <c r="BRP584" s="141"/>
      <c r="BRQ584" s="141"/>
      <c r="BRR584" s="141"/>
      <c r="BRS584" s="141"/>
      <c r="BRT584" s="141"/>
      <c r="BRU584" s="141"/>
      <c r="BRV584" s="141"/>
      <c r="BRW584" s="141"/>
      <c r="BRX584" s="141"/>
      <c r="BRY584" s="141"/>
      <c r="BRZ584" s="141"/>
      <c r="BSA584" s="141"/>
      <c r="BSB584" s="141"/>
      <c r="BSC584" s="141"/>
      <c r="BSD584" s="141"/>
      <c r="BSE584" s="141"/>
      <c r="BSF584" s="141"/>
      <c r="BSG584" s="141"/>
      <c r="BSH584" s="141"/>
      <c r="BSI584" s="141"/>
      <c r="BSJ584" s="141"/>
      <c r="BSK584" s="141"/>
      <c r="BSL584" s="141"/>
      <c r="BSM584" s="141"/>
      <c r="BSN584" s="141"/>
      <c r="BSO584" s="141"/>
      <c r="BSP584" s="141"/>
      <c r="BSQ584" s="141"/>
      <c r="BSR584" s="141"/>
      <c r="BSS584" s="141"/>
      <c r="BST584" s="141"/>
      <c r="BSU584" s="141"/>
      <c r="BSV584" s="141"/>
      <c r="BSW584" s="141"/>
      <c r="BSX584" s="141"/>
      <c r="BSY584" s="141"/>
      <c r="BSZ584" s="141"/>
      <c r="BTA584" s="141"/>
      <c r="BTB584" s="141"/>
      <c r="BTC584" s="141"/>
      <c r="BTD584" s="141"/>
      <c r="BTE584" s="141"/>
      <c r="BTF584" s="141"/>
      <c r="BTG584" s="141"/>
      <c r="BTH584" s="141"/>
      <c r="BTI584" s="141"/>
      <c r="BTJ584" s="141"/>
      <c r="BTK584" s="141"/>
      <c r="BTL584" s="141"/>
      <c r="BTM584" s="141"/>
      <c r="BTN584" s="141"/>
      <c r="BTO584" s="141"/>
      <c r="BTP584" s="141"/>
      <c r="BTQ584" s="141"/>
      <c r="BTR584" s="141"/>
      <c r="BTS584" s="141"/>
      <c r="BTT584" s="141"/>
      <c r="BTU584" s="141"/>
      <c r="BTV584" s="141"/>
      <c r="BTW584" s="141"/>
      <c r="BTX584" s="141"/>
      <c r="BTY584" s="141"/>
      <c r="BTZ584" s="141"/>
      <c r="BUA584" s="141"/>
      <c r="BUB584" s="141"/>
      <c r="BUC584" s="141"/>
      <c r="BUD584" s="141"/>
      <c r="BUE584" s="141"/>
      <c r="BUF584" s="141"/>
      <c r="BUG584" s="141"/>
      <c r="BUH584" s="141"/>
      <c r="BUI584" s="141"/>
      <c r="BUJ584" s="141"/>
      <c r="BUK584" s="141"/>
      <c r="BUL584" s="141"/>
      <c r="BUM584" s="141"/>
      <c r="BUN584" s="141"/>
      <c r="BUO584" s="141"/>
      <c r="BUP584" s="141"/>
      <c r="BUQ584" s="141"/>
      <c r="BUR584" s="141"/>
      <c r="BUS584" s="141"/>
      <c r="BUT584" s="141"/>
      <c r="BUU584" s="141"/>
      <c r="BUV584" s="141"/>
      <c r="BUW584" s="141"/>
      <c r="BUX584" s="141"/>
      <c r="BUY584" s="141"/>
      <c r="BUZ584" s="141"/>
      <c r="BVA584" s="141"/>
      <c r="BVB584" s="141"/>
      <c r="BVC584" s="141"/>
      <c r="BVD584" s="141"/>
      <c r="BVE584" s="141"/>
      <c r="BVF584" s="141"/>
      <c r="BVG584" s="141"/>
      <c r="BVH584" s="141"/>
      <c r="BVI584" s="141"/>
      <c r="BVJ584" s="141"/>
      <c r="BVK584" s="141"/>
      <c r="BVL584" s="141"/>
      <c r="BVM584" s="141"/>
      <c r="BVN584" s="141"/>
      <c r="BVO584" s="141"/>
      <c r="BVP584" s="141"/>
      <c r="BVQ584" s="141"/>
      <c r="BVR584" s="141"/>
      <c r="BVS584" s="141"/>
      <c r="BVT584" s="141"/>
      <c r="BVU584" s="141"/>
      <c r="BVV584" s="141"/>
      <c r="BVW584" s="141"/>
      <c r="BVX584" s="141"/>
      <c r="BVY584" s="141"/>
      <c r="BVZ584" s="141"/>
      <c r="BWA584" s="141"/>
      <c r="BWB584" s="141"/>
      <c r="BWC584" s="141"/>
      <c r="BWD584" s="141"/>
      <c r="BWE584" s="141"/>
      <c r="BWF584" s="141"/>
      <c r="BWG584" s="141"/>
      <c r="BWH584" s="141"/>
      <c r="BWI584" s="141"/>
      <c r="BWJ584" s="141"/>
      <c r="BWK584" s="141"/>
      <c r="BWL584" s="141"/>
      <c r="BWM584" s="141"/>
      <c r="BWN584" s="141"/>
      <c r="BWO584" s="141"/>
      <c r="BWP584" s="141"/>
      <c r="BWQ584" s="141"/>
      <c r="BWR584" s="141"/>
      <c r="BWS584" s="141"/>
      <c r="BWT584" s="141"/>
      <c r="BWU584" s="141"/>
      <c r="BWV584" s="141"/>
      <c r="BWW584" s="141"/>
      <c r="BWX584" s="141"/>
      <c r="BWY584" s="141"/>
      <c r="BWZ584" s="141"/>
      <c r="BXA584" s="141"/>
      <c r="BXB584" s="141"/>
      <c r="BXC584" s="141"/>
      <c r="BXD584" s="141"/>
      <c r="BXE584" s="141"/>
      <c r="BXF584" s="141"/>
      <c r="BXG584" s="141"/>
      <c r="BXH584" s="141"/>
      <c r="BXI584" s="141"/>
      <c r="BXJ584" s="141"/>
      <c r="BXK584" s="141"/>
      <c r="BXL584" s="141"/>
      <c r="BXM584" s="141"/>
      <c r="BXN584" s="141"/>
      <c r="BXO584" s="141"/>
      <c r="BXP584" s="141"/>
      <c r="BXQ584" s="141"/>
      <c r="BXR584" s="141"/>
      <c r="BXS584" s="141"/>
      <c r="BXT584" s="141"/>
      <c r="BXU584" s="141"/>
      <c r="BXV584" s="141"/>
      <c r="BXW584" s="141"/>
      <c r="BXX584" s="141"/>
      <c r="BXY584" s="141"/>
      <c r="BXZ584" s="141"/>
      <c r="BYA584" s="141"/>
      <c r="BYB584" s="141"/>
      <c r="BYC584" s="141"/>
      <c r="BYD584" s="141"/>
      <c r="BYE584" s="141"/>
      <c r="BYF584" s="141"/>
      <c r="BYG584" s="141"/>
      <c r="BYH584" s="141"/>
      <c r="BYI584" s="141"/>
      <c r="BYJ584" s="141"/>
      <c r="BYK584" s="141"/>
      <c r="BYL584" s="141"/>
      <c r="BYM584" s="141"/>
      <c r="BYN584" s="141"/>
      <c r="BYO584" s="141"/>
      <c r="BYP584" s="141"/>
      <c r="BYQ584" s="141"/>
      <c r="BYR584" s="141"/>
      <c r="BYS584" s="141"/>
      <c r="BYT584" s="141"/>
      <c r="BYU584" s="141"/>
      <c r="BYV584" s="141"/>
      <c r="BYW584" s="141"/>
      <c r="BYX584" s="141"/>
      <c r="BYY584" s="141"/>
      <c r="BYZ584" s="141"/>
      <c r="BZA584" s="141"/>
      <c r="BZB584" s="141"/>
      <c r="BZC584" s="141"/>
      <c r="BZD584" s="141"/>
      <c r="BZE584" s="141"/>
      <c r="BZF584" s="141"/>
      <c r="BZG584" s="141"/>
      <c r="BZH584" s="141"/>
      <c r="BZI584" s="141"/>
      <c r="BZJ584" s="141"/>
      <c r="BZK584" s="141"/>
      <c r="BZL584" s="141"/>
      <c r="BZM584" s="141"/>
      <c r="BZN584" s="141"/>
      <c r="BZO584" s="141"/>
      <c r="BZP584" s="141"/>
      <c r="BZQ584" s="141"/>
      <c r="BZR584" s="141"/>
      <c r="BZS584" s="141"/>
      <c r="BZT584" s="141"/>
      <c r="BZU584" s="141"/>
      <c r="BZV584" s="141"/>
      <c r="BZW584" s="141"/>
      <c r="BZX584" s="141"/>
      <c r="BZY584" s="141"/>
      <c r="BZZ584" s="141"/>
      <c r="CAA584" s="141"/>
      <c r="CAB584" s="141"/>
      <c r="CAC584" s="141"/>
      <c r="CAD584" s="141"/>
      <c r="CAE584" s="141"/>
      <c r="CAF584" s="141"/>
      <c r="CAG584" s="141"/>
      <c r="CAH584" s="141"/>
      <c r="CAI584" s="141"/>
      <c r="CAJ584" s="141"/>
      <c r="CAK584" s="141"/>
      <c r="CAL584" s="141"/>
      <c r="CAM584" s="141"/>
      <c r="CAN584" s="141"/>
      <c r="CAO584" s="141"/>
      <c r="CAP584" s="141"/>
      <c r="CAQ584" s="141"/>
      <c r="CAR584" s="141"/>
      <c r="CAS584" s="141"/>
      <c r="CAT584" s="141"/>
      <c r="CAU584" s="141"/>
      <c r="CAV584" s="141"/>
      <c r="CAW584" s="141"/>
      <c r="CAX584" s="141"/>
      <c r="CAY584" s="141"/>
      <c r="CAZ584" s="141"/>
      <c r="CBA584" s="141"/>
      <c r="CBB584" s="141"/>
      <c r="CBC584" s="141"/>
      <c r="CBD584" s="141"/>
      <c r="CBE584" s="141"/>
      <c r="CBF584" s="141"/>
      <c r="CBG584" s="141"/>
      <c r="CBH584" s="141"/>
      <c r="CBI584" s="141"/>
      <c r="CBJ584" s="141"/>
      <c r="CBK584" s="141"/>
      <c r="CBL584" s="141"/>
      <c r="CBM584" s="141"/>
      <c r="CBN584" s="141"/>
      <c r="CBO584" s="141"/>
      <c r="CBP584" s="141"/>
      <c r="CBQ584" s="141"/>
      <c r="CBR584" s="141"/>
      <c r="CBS584" s="141"/>
      <c r="CBT584" s="141"/>
      <c r="CBU584" s="141"/>
      <c r="CBV584" s="141"/>
      <c r="CBW584" s="141"/>
      <c r="CBX584" s="141"/>
      <c r="CBY584" s="141"/>
      <c r="CBZ584" s="141"/>
      <c r="CCA584" s="141"/>
      <c r="CCB584" s="141"/>
      <c r="CCC584" s="141"/>
      <c r="CCD584" s="141"/>
      <c r="CCE584" s="141"/>
      <c r="CCF584" s="141"/>
      <c r="CCG584" s="141"/>
      <c r="CCH584" s="141"/>
      <c r="CCI584" s="141"/>
      <c r="CCJ584" s="141"/>
      <c r="CCK584" s="141"/>
      <c r="CCL584" s="141"/>
      <c r="CCM584" s="141"/>
      <c r="CCN584" s="141"/>
      <c r="CCO584" s="141"/>
      <c r="CCP584" s="141"/>
      <c r="CCQ584" s="141"/>
      <c r="CCR584" s="141"/>
      <c r="CCS584" s="141"/>
      <c r="CCT584" s="141"/>
      <c r="CCU584" s="141"/>
      <c r="CCV584" s="141"/>
      <c r="CCW584" s="141"/>
      <c r="CCX584" s="141"/>
      <c r="CCY584" s="141"/>
      <c r="CCZ584" s="141"/>
      <c r="CDA584" s="141"/>
      <c r="CDB584" s="141"/>
      <c r="CDC584" s="141"/>
      <c r="CDD584" s="141"/>
      <c r="CDE584" s="141"/>
      <c r="CDF584" s="141"/>
      <c r="CDG584" s="141"/>
      <c r="CDH584" s="141"/>
      <c r="CDI584" s="141"/>
      <c r="CDJ584" s="141"/>
      <c r="CDK584" s="141"/>
      <c r="CDL584" s="141"/>
      <c r="CDM584" s="141"/>
      <c r="CDN584" s="141"/>
      <c r="CDO584" s="141"/>
      <c r="CDP584" s="141"/>
      <c r="CDQ584" s="141"/>
      <c r="CDR584" s="141"/>
      <c r="CDS584" s="141"/>
      <c r="CDT584" s="141"/>
      <c r="CDU584" s="141"/>
      <c r="CDV584" s="141"/>
      <c r="CDW584" s="141"/>
      <c r="CDX584" s="141"/>
      <c r="CDY584" s="141"/>
      <c r="CDZ584" s="141"/>
      <c r="CEA584" s="141"/>
      <c r="CEB584" s="141"/>
      <c r="CEC584" s="141"/>
      <c r="CED584" s="141"/>
      <c r="CEE584" s="141"/>
      <c r="CEF584" s="141"/>
      <c r="CEG584" s="141"/>
      <c r="CEH584" s="141"/>
      <c r="CEI584" s="141"/>
      <c r="CEJ584" s="141"/>
      <c r="CEK584" s="141"/>
      <c r="CEL584" s="141"/>
      <c r="CEM584" s="141"/>
      <c r="CEN584" s="141"/>
      <c r="CEO584" s="141"/>
      <c r="CEP584" s="141"/>
      <c r="CEQ584" s="141"/>
      <c r="CER584" s="141"/>
      <c r="CES584" s="141"/>
      <c r="CET584" s="141"/>
      <c r="CEU584" s="141"/>
      <c r="CEV584" s="141"/>
      <c r="CEW584" s="141"/>
      <c r="CEX584" s="141"/>
      <c r="CEY584" s="141"/>
      <c r="CEZ584" s="141"/>
      <c r="CFA584" s="141"/>
      <c r="CFB584" s="141"/>
      <c r="CFC584" s="141"/>
      <c r="CFD584" s="141"/>
      <c r="CFE584" s="141"/>
      <c r="CFF584" s="141"/>
      <c r="CFG584" s="141"/>
      <c r="CFH584" s="141"/>
      <c r="CFI584" s="141"/>
      <c r="CFJ584" s="141"/>
      <c r="CFK584" s="141"/>
      <c r="CFL584" s="141"/>
      <c r="CFM584" s="141"/>
      <c r="CFN584" s="141"/>
      <c r="CFO584" s="141"/>
      <c r="CFP584" s="141"/>
      <c r="CFQ584" s="141"/>
      <c r="CFR584" s="141"/>
      <c r="CFS584" s="141"/>
      <c r="CFT584" s="141"/>
      <c r="CFU584" s="141"/>
      <c r="CFV584" s="141"/>
      <c r="CFW584" s="141"/>
      <c r="CFX584" s="141"/>
      <c r="CFY584" s="141"/>
      <c r="CFZ584" s="141"/>
      <c r="CGA584" s="141"/>
      <c r="CGB584" s="141"/>
      <c r="CGC584" s="141"/>
      <c r="CGD584" s="141"/>
      <c r="CGE584" s="141"/>
      <c r="CGF584" s="141"/>
      <c r="CGG584" s="141"/>
      <c r="CGH584" s="141"/>
      <c r="CGI584" s="141"/>
      <c r="CGJ584" s="141"/>
      <c r="CGK584" s="141"/>
      <c r="CGL584" s="141"/>
      <c r="CGM584" s="141"/>
      <c r="CGN584" s="141"/>
      <c r="CGO584" s="141"/>
      <c r="CGP584" s="141"/>
      <c r="CGQ584" s="141"/>
      <c r="CGR584" s="141"/>
      <c r="CGS584" s="141"/>
      <c r="CGT584" s="141"/>
      <c r="CGU584" s="141"/>
      <c r="CGV584" s="141"/>
      <c r="CGW584" s="141"/>
      <c r="CGX584" s="141"/>
      <c r="CGY584" s="141"/>
      <c r="CGZ584" s="141"/>
      <c r="CHA584" s="141"/>
      <c r="CHB584" s="141"/>
      <c r="CHC584" s="141"/>
      <c r="CHD584" s="141"/>
      <c r="CHE584" s="141"/>
      <c r="CHF584" s="141"/>
      <c r="CHG584" s="141"/>
      <c r="CHH584" s="141"/>
      <c r="CHI584" s="141"/>
      <c r="CHJ584" s="141"/>
      <c r="CHK584" s="141"/>
      <c r="CHL584" s="141"/>
      <c r="CHM584" s="141"/>
      <c r="CHN584" s="141"/>
      <c r="CHO584" s="141"/>
      <c r="CHP584" s="141"/>
      <c r="CHQ584" s="141"/>
      <c r="CHR584" s="141"/>
      <c r="CHS584" s="141"/>
      <c r="CHT584" s="141"/>
      <c r="CHU584" s="141"/>
      <c r="CHV584" s="141"/>
      <c r="CHW584" s="141"/>
      <c r="CHX584" s="141"/>
      <c r="CHY584" s="141"/>
      <c r="CHZ584" s="141"/>
      <c r="CIA584" s="141"/>
      <c r="CIB584" s="141"/>
      <c r="CIC584" s="141"/>
      <c r="CID584" s="141"/>
      <c r="CIE584" s="141"/>
      <c r="CIF584" s="141"/>
      <c r="CIG584" s="141"/>
      <c r="CIH584" s="141"/>
      <c r="CII584" s="141"/>
      <c r="CIJ584" s="141"/>
      <c r="CIK584" s="141"/>
      <c r="CIL584" s="141"/>
      <c r="CIM584" s="141"/>
      <c r="CIN584" s="141"/>
      <c r="CIO584" s="141"/>
      <c r="CIP584" s="141"/>
      <c r="CIQ584" s="141"/>
      <c r="CIR584" s="141"/>
      <c r="CIS584" s="141"/>
      <c r="CIT584" s="141"/>
      <c r="CIU584" s="141"/>
      <c r="CIV584" s="141"/>
      <c r="CIW584" s="141"/>
      <c r="CIX584" s="141"/>
      <c r="CIY584" s="141"/>
      <c r="CIZ584" s="141"/>
      <c r="CJA584" s="141"/>
      <c r="CJB584" s="141"/>
      <c r="CJC584" s="141"/>
      <c r="CJD584" s="141"/>
      <c r="CJE584" s="141"/>
      <c r="CJF584" s="141"/>
      <c r="CJG584" s="141"/>
      <c r="CJH584" s="141"/>
      <c r="CJI584" s="141"/>
      <c r="CJJ584" s="141"/>
      <c r="CJK584" s="141"/>
      <c r="CJL584" s="141"/>
      <c r="CJM584" s="141"/>
      <c r="CJN584" s="141"/>
      <c r="CJO584" s="141"/>
      <c r="CJP584" s="141"/>
      <c r="CJQ584" s="141"/>
      <c r="CJR584" s="141"/>
      <c r="CJS584" s="141"/>
      <c r="CJT584" s="141"/>
      <c r="CJU584" s="141"/>
      <c r="CJV584" s="141"/>
      <c r="CJW584" s="141"/>
      <c r="CJX584" s="141"/>
      <c r="CJY584" s="141"/>
      <c r="CJZ584" s="141"/>
      <c r="CKA584" s="141"/>
      <c r="CKB584" s="141"/>
      <c r="CKC584" s="141"/>
      <c r="CKD584" s="141"/>
      <c r="CKE584" s="141"/>
      <c r="CKF584" s="141"/>
      <c r="CKG584" s="141"/>
      <c r="CKH584" s="141"/>
      <c r="CKI584" s="141"/>
      <c r="CKJ584" s="141"/>
      <c r="CKK584" s="141"/>
      <c r="CKL584" s="141"/>
      <c r="CKM584" s="141"/>
      <c r="CKN584" s="141"/>
      <c r="CKO584" s="141"/>
      <c r="CKP584" s="141"/>
      <c r="CKQ584" s="141"/>
      <c r="CKR584" s="141"/>
      <c r="CKS584" s="141"/>
      <c r="CKT584" s="141"/>
      <c r="CKU584" s="141"/>
      <c r="CKV584" s="141"/>
      <c r="CKW584" s="141"/>
      <c r="CKX584" s="141"/>
      <c r="CKY584" s="141"/>
      <c r="CKZ584" s="141"/>
      <c r="CLA584" s="141"/>
      <c r="CLB584" s="141"/>
      <c r="CLC584" s="141"/>
      <c r="CLD584" s="141"/>
      <c r="CLE584" s="141"/>
      <c r="CLF584" s="141"/>
      <c r="CLG584" s="141"/>
      <c r="CLH584" s="141"/>
      <c r="CLI584" s="141"/>
      <c r="CLJ584" s="141"/>
      <c r="CLK584" s="141"/>
      <c r="CLL584" s="141"/>
      <c r="CLM584" s="141"/>
      <c r="CLN584" s="141"/>
      <c r="CLO584" s="141"/>
      <c r="CLP584" s="141"/>
      <c r="CLQ584" s="141"/>
      <c r="CLR584" s="141"/>
      <c r="CLS584" s="141"/>
      <c r="CLT584" s="141"/>
      <c r="CLU584" s="141"/>
      <c r="CLV584" s="141"/>
      <c r="CLW584" s="141"/>
      <c r="CLX584" s="141"/>
      <c r="CLY584" s="141"/>
      <c r="CLZ584" s="141"/>
      <c r="CMA584" s="141"/>
      <c r="CMB584" s="141"/>
      <c r="CMC584" s="141"/>
      <c r="CMD584" s="141"/>
      <c r="CME584" s="141"/>
      <c r="CMF584" s="141"/>
      <c r="CMG584" s="141"/>
      <c r="CMH584" s="141"/>
      <c r="CMI584" s="141"/>
      <c r="CMJ584" s="141"/>
      <c r="CMK584" s="141"/>
      <c r="CML584" s="141"/>
      <c r="CMM584" s="141"/>
      <c r="CMN584" s="141"/>
      <c r="CMO584" s="141"/>
      <c r="CMP584" s="141"/>
      <c r="CMQ584" s="141"/>
      <c r="CMR584" s="141"/>
      <c r="CMS584" s="141"/>
      <c r="CMT584" s="141"/>
      <c r="CMU584" s="141"/>
      <c r="CMV584" s="141"/>
      <c r="CMW584" s="141"/>
      <c r="CMX584" s="141"/>
      <c r="CMY584" s="141"/>
      <c r="CMZ584" s="141"/>
      <c r="CNA584" s="141"/>
      <c r="CNB584" s="141"/>
      <c r="CNC584" s="141"/>
      <c r="CND584" s="141"/>
      <c r="CNE584" s="141"/>
      <c r="CNF584" s="141"/>
      <c r="CNG584" s="141"/>
      <c r="CNH584" s="141"/>
      <c r="CNI584" s="141"/>
      <c r="CNJ584" s="141"/>
      <c r="CNK584" s="141"/>
      <c r="CNL584" s="141"/>
      <c r="CNM584" s="141"/>
      <c r="CNN584" s="141"/>
      <c r="CNO584" s="141"/>
      <c r="CNP584" s="141"/>
      <c r="CNQ584" s="141"/>
      <c r="CNR584" s="141"/>
      <c r="CNS584" s="141"/>
      <c r="CNT584" s="141"/>
      <c r="CNU584" s="141"/>
      <c r="CNV584" s="141"/>
      <c r="CNW584" s="141"/>
      <c r="CNX584" s="141"/>
      <c r="CNY584" s="141"/>
      <c r="CNZ584" s="141"/>
      <c r="COA584" s="141"/>
      <c r="COB584" s="141"/>
      <c r="COC584" s="141"/>
      <c r="COD584" s="141"/>
      <c r="COE584" s="141"/>
      <c r="COF584" s="141"/>
      <c r="COG584" s="141"/>
      <c r="COH584" s="141"/>
      <c r="COI584" s="141"/>
      <c r="COJ584" s="141"/>
      <c r="COK584" s="141"/>
      <c r="COL584" s="141"/>
      <c r="COM584" s="141"/>
      <c r="CON584" s="141"/>
      <c r="COO584" s="141"/>
      <c r="COP584" s="141"/>
      <c r="COQ584" s="141"/>
      <c r="COR584" s="141"/>
      <c r="COS584" s="141"/>
      <c r="COT584" s="141"/>
      <c r="COU584" s="141"/>
      <c r="COV584" s="141"/>
      <c r="COW584" s="141"/>
      <c r="COX584" s="141"/>
      <c r="COY584" s="141"/>
      <c r="COZ584" s="141"/>
      <c r="CPA584" s="141"/>
      <c r="CPB584" s="141"/>
      <c r="CPC584" s="141"/>
      <c r="CPD584" s="141"/>
      <c r="CPE584" s="141"/>
      <c r="CPF584" s="141"/>
      <c r="CPG584" s="141"/>
      <c r="CPH584" s="141"/>
      <c r="CPI584" s="141"/>
      <c r="CPJ584" s="141"/>
      <c r="CPK584" s="141"/>
      <c r="CPL584" s="141"/>
      <c r="CPM584" s="141"/>
      <c r="CPN584" s="141"/>
      <c r="CPO584" s="141"/>
      <c r="CPP584" s="141"/>
      <c r="CPQ584" s="141"/>
      <c r="CPR584" s="141"/>
      <c r="CPS584" s="141"/>
      <c r="CPT584" s="141"/>
      <c r="CPU584" s="141"/>
      <c r="CPV584" s="141"/>
      <c r="CPW584" s="141"/>
      <c r="CPX584" s="141"/>
      <c r="CPY584" s="141"/>
      <c r="CPZ584" s="141"/>
      <c r="CQA584" s="141"/>
      <c r="CQB584" s="141"/>
      <c r="CQC584" s="141"/>
      <c r="CQD584" s="141"/>
      <c r="CQE584" s="141"/>
      <c r="CQF584" s="141"/>
      <c r="CQG584" s="141"/>
      <c r="CQH584" s="141"/>
      <c r="CQI584" s="141"/>
      <c r="CQJ584" s="141"/>
      <c r="CQK584" s="141"/>
      <c r="CQL584" s="141"/>
      <c r="CQM584" s="141"/>
      <c r="CQN584" s="141"/>
      <c r="CQO584" s="141"/>
      <c r="CQP584" s="141"/>
      <c r="CQQ584" s="141"/>
      <c r="CQR584" s="141"/>
      <c r="CQS584" s="141"/>
      <c r="CQT584" s="141"/>
      <c r="CQU584" s="141"/>
      <c r="CQV584" s="141"/>
      <c r="CQW584" s="141"/>
      <c r="CQX584" s="141"/>
      <c r="CQY584" s="141"/>
      <c r="CQZ584" s="141"/>
      <c r="CRA584" s="141"/>
      <c r="CRB584" s="141"/>
      <c r="CRC584" s="141"/>
      <c r="CRD584" s="141"/>
      <c r="CRE584" s="141"/>
      <c r="CRF584" s="141"/>
      <c r="CRG584" s="141"/>
      <c r="CRH584" s="141"/>
      <c r="CRI584" s="141"/>
      <c r="CRJ584" s="141"/>
      <c r="CRK584" s="141"/>
      <c r="CRL584" s="141"/>
      <c r="CRM584" s="141"/>
      <c r="CRN584" s="141"/>
      <c r="CRO584" s="141"/>
      <c r="CRP584" s="141"/>
      <c r="CRQ584" s="141"/>
      <c r="CRR584" s="141"/>
      <c r="CRS584" s="141"/>
      <c r="CRT584" s="141"/>
      <c r="CRU584" s="141"/>
      <c r="CRV584" s="141"/>
      <c r="CRW584" s="141"/>
      <c r="CRX584" s="141"/>
      <c r="CRY584" s="141"/>
      <c r="CRZ584" s="141"/>
      <c r="CSA584" s="141"/>
      <c r="CSB584" s="141"/>
      <c r="CSC584" s="141"/>
      <c r="CSD584" s="141"/>
      <c r="CSE584" s="141"/>
      <c r="CSF584" s="141"/>
      <c r="CSG584" s="141"/>
      <c r="CSH584" s="141"/>
      <c r="CSI584" s="141"/>
      <c r="CSJ584" s="141"/>
      <c r="CSK584" s="141"/>
      <c r="CSL584" s="141"/>
      <c r="CSM584" s="141"/>
      <c r="CSN584" s="141"/>
      <c r="CSO584" s="141"/>
      <c r="CSP584" s="141"/>
      <c r="CSQ584" s="141"/>
      <c r="CSR584" s="141"/>
      <c r="CSS584" s="141"/>
      <c r="CST584" s="141"/>
      <c r="CSU584" s="141"/>
      <c r="CSV584" s="141"/>
      <c r="CSW584" s="141"/>
      <c r="CSX584" s="141"/>
      <c r="CSY584" s="141"/>
      <c r="CSZ584" s="141"/>
      <c r="CTA584" s="141"/>
      <c r="CTB584" s="141"/>
      <c r="CTC584" s="141"/>
      <c r="CTD584" s="141"/>
      <c r="CTE584" s="141"/>
      <c r="CTF584" s="141"/>
      <c r="CTG584" s="141"/>
      <c r="CTH584" s="141"/>
      <c r="CTI584" s="141"/>
      <c r="CTJ584" s="141"/>
      <c r="CTK584" s="141"/>
      <c r="CTL584" s="141"/>
      <c r="CTM584" s="141"/>
      <c r="CTN584" s="141"/>
      <c r="CTO584" s="141"/>
      <c r="CTP584" s="141"/>
      <c r="CTQ584" s="141"/>
      <c r="CTR584" s="141"/>
      <c r="CTS584" s="141"/>
      <c r="CTT584" s="141"/>
      <c r="CTU584" s="141"/>
      <c r="CTV584" s="141"/>
      <c r="CTW584" s="141"/>
      <c r="CTX584" s="141"/>
      <c r="CTY584" s="141"/>
      <c r="CTZ584" s="141"/>
      <c r="CUA584" s="141"/>
      <c r="CUB584" s="141"/>
      <c r="CUC584" s="141"/>
      <c r="CUD584" s="141"/>
      <c r="CUE584" s="141"/>
      <c r="CUF584" s="141"/>
      <c r="CUG584" s="141"/>
      <c r="CUH584" s="141"/>
      <c r="CUI584" s="141"/>
      <c r="CUJ584" s="141"/>
      <c r="CUK584" s="141"/>
      <c r="CUL584" s="141"/>
      <c r="CUM584" s="141"/>
      <c r="CUN584" s="141"/>
      <c r="CUO584" s="141"/>
      <c r="CUP584" s="141"/>
      <c r="CUQ584" s="141"/>
      <c r="CUR584" s="141"/>
      <c r="CUS584" s="141"/>
      <c r="CUT584" s="141"/>
      <c r="CUU584" s="141"/>
      <c r="CUV584" s="141"/>
      <c r="CUW584" s="141"/>
      <c r="CUX584" s="141"/>
      <c r="CUY584" s="141"/>
      <c r="CUZ584" s="141"/>
      <c r="CVA584" s="141"/>
      <c r="CVB584" s="141"/>
      <c r="CVC584" s="141"/>
      <c r="CVD584" s="141"/>
      <c r="CVE584" s="141"/>
      <c r="CVF584" s="141"/>
      <c r="CVG584" s="141"/>
      <c r="CVH584" s="141"/>
      <c r="CVI584" s="141"/>
      <c r="CVJ584" s="141"/>
      <c r="CVK584" s="141"/>
      <c r="CVL584" s="141"/>
      <c r="CVM584" s="141"/>
      <c r="CVN584" s="141"/>
      <c r="CVO584" s="141"/>
      <c r="CVP584" s="141"/>
      <c r="CVQ584" s="141"/>
      <c r="CVR584" s="141"/>
      <c r="CVS584" s="141"/>
      <c r="CVT584" s="141"/>
      <c r="CVU584" s="141"/>
      <c r="CVV584" s="141"/>
      <c r="CVW584" s="141"/>
      <c r="CVX584" s="141"/>
      <c r="CVY584" s="141"/>
      <c r="CVZ584" s="141"/>
      <c r="CWA584" s="141"/>
      <c r="CWB584" s="141"/>
      <c r="CWC584" s="141"/>
      <c r="CWD584" s="141"/>
      <c r="CWE584" s="141"/>
      <c r="CWF584" s="141"/>
      <c r="CWG584" s="141"/>
      <c r="CWH584" s="141"/>
      <c r="CWI584" s="141"/>
      <c r="CWJ584" s="141"/>
      <c r="CWK584" s="141"/>
      <c r="CWL584" s="141"/>
      <c r="CWM584" s="141"/>
      <c r="CWN584" s="141"/>
      <c r="CWO584" s="141"/>
      <c r="CWP584" s="141"/>
      <c r="CWQ584" s="141"/>
      <c r="CWR584" s="141"/>
      <c r="CWS584" s="141"/>
      <c r="CWT584" s="141"/>
      <c r="CWU584" s="141"/>
      <c r="CWV584" s="141"/>
      <c r="CWW584" s="141"/>
      <c r="CWX584" s="141"/>
      <c r="CWY584" s="141"/>
      <c r="CWZ584" s="141"/>
      <c r="CXA584" s="141"/>
      <c r="CXB584" s="141"/>
      <c r="CXC584" s="141"/>
      <c r="CXD584" s="141"/>
      <c r="CXE584" s="141"/>
      <c r="CXF584" s="141"/>
      <c r="CXG584" s="141"/>
      <c r="CXH584" s="141"/>
      <c r="CXI584" s="141"/>
      <c r="CXJ584" s="141"/>
      <c r="CXK584" s="141"/>
      <c r="CXL584" s="141"/>
      <c r="CXM584" s="141"/>
      <c r="CXN584" s="141"/>
      <c r="CXO584" s="141"/>
      <c r="CXP584" s="141"/>
      <c r="CXQ584" s="141"/>
      <c r="CXR584" s="141"/>
      <c r="CXS584" s="141"/>
      <c r="CXT584" s="141"/>
      <c r="CXU584" s="141"/>
      <c r="CXV584" s="141"/>
      <c r="CXW584" s="141"/>
      <c r="CXX584" s="141"/>
      <c r="CXY584" s="141"/>
      <c r="CXZ584" s="141"/>
      <c r="CYA584" s="141"/>
      <c r="CYB584" s="141"/>
      <c r="CYC584" s="141"/>
      <c r="CYD584" s="141"/>
      <c r="CYE584" s="141"/>
      <c r="CYF584" s="141"/>
      <c r="CYG584" s="141"/>
      <c r="CYH584" s="141"/>
      <c r="CYI584" s="141"/>
      <c r="CYJ584" s="141"/>
      <c r="CYK584" s="141"/>
      <c r="CYL584" s="141"/>
      <c r="CYM584" s="141"/>
      <c r="CYN584" s="141"/>
      <c r="CYO584" s="141"/>
      <c r="CYP584" s="141"/>
      <c r="CYQ584" s="141"/>
      <c r="CYR584" s="141"/>
      <c r="CYS584" s="141"/>
      <c r="CYT584" s="141"/>
      <c r="CYU584" s="141"/>
      <c r="CYV584" s="141"/>
      <c r="CYW584" s="141"/>
      <c r="CYX584" s="141"/>
      <c r="CYY584" s="141"/>
      <c r="CYZ584" s="141"/>
      <c r="CZA584" s="141"/>
      <c r="CZB584" s="141"/>
      <c r="CZC584" s="141"/>
      <c r="CZD584" s="141"/>
      <c r="CZE584" s="141"/>
      <c r="CZF584" s="141"/>
      <c r="CZG584" s="141"/>
      <c r="CZH584" s="141"/>
      <c r="CZI584" s="141"/>
      <c r="CZJ584" s="141"/>
      <c r="CZK584" s="141"/>
      <c r="CZL584" s="141"/>
      <c r="CZM584" s="141"/>
      <c r="CZN584" s="141"/>
      <c r="CZO584" s="141"/>
      <c r="CZP584" s="141"/>
      <c r="CZQ584" s="141"/>
      <c r="CZR584" s="141"/>
      <c r="CZS584" s="141"/>
      <c r="CZT584" s="141"/>
      <c r="CZU584" s="141"/>
      <c r="CZV584" s="141"/>
      <c r="CZW584" s="141"/>
      <c r="CZX584" s="141"/>
      <c r="CZY584" s="141"/>
      <c r="CZZ584" s="141"/>
      <c r="DAA584" s="141"/>
      <c r="DAB584" s="141"/>
      <c r="DAC584" s="141"/>
      <c r="DAD584" s="141"/>
      <c r="DAE584" s="141"/>
      <c r="DAF584" s="141"/>
      <c r="DAG584" s="141"/>
      <c r="DAH584" s="141"/>
      <c r="DAI584" s="141"/>
      <c r="DAJ584" s="141"/>
      <c r="DAK584" s="141"/>
      <c r="DAL584" s="141"/>
      <c r="DAM584" s="141"/>
      <c r="DAN584" s="141"/>
      <c r="DAO584" s="141"/>
      <c r="DAP584" s="141"/>
      <c r="DAQ584" s="141"/>
      <c r="DAR584" s="141"/>
      <c r="DAS584" s="141"/>
      <c r="DAT584" s="141"/>
      <c r="DAU584" s="141"/>
      <c r="DAV584" s="141"/>
      <c r="DAW584" s="141"/>
      <c r="DAX584" s="141"/>
      <c r="DAY584" s="141"/>
      <c r="DAZ584" s="141"/>
      <c r="DBA584" s="141"/>
      <c r="DBB584" s="141"/>
      <c r="DBC584" s="141"/>
      <c r="DBD584" s="141"/>
      <c r="DBE584" s="141"/>
      <c r="DBF584" s="141"/>
      <c r="DBG584" s="141"/>
      <c r="DBH584" s="141"/>
      <c r="DBI584" s="141"/>
      <c r="DBJ584" s="141"/>
      <c r="DBK584" s="141"/>
      <c r="DBL584" s="141"/>
      <c r="DBM584" s="141"/>
      <c r="DBN584" s="141"/>
      <c r="DBO584" s="141"/>
      <c r="DBP584" s="141"/>
      <c r="DBQ584" s="141"/>
      <c r="DBR584" s="141"/>
      <c r="DBS584" s="141"/>
      <c r="DBT584" s="141"/>
      <c r="DBU584" s="141"/>
      <c r="DBV584" s="141"/>
      <c r="DBW584" s="141"/>
      <c r="DBX584" s="141"/>
      <c r="DBY584" s="141"/>
      <c r="DBZ584" s="141"/>
      <c r="DCA584" s="141"/>
      <c r="DCB584" s="141"/>
      <c r="DCC584" s="141"/>
      <c r="DCD584" s="141"/>
      <c r="DCE584" s="141"/>
      <c r="DCF584" s="141"/>
      <c r="DCG584" s="141"/>
      <c r="DCH584" s="141"/>
      <c r="DCI584" s="141"/>
      <c r="DCJ584" s="141"/>
      <c r="DCK584" s="141"/>
      <c r="DCL584" s="141"/>
      <c r="DCM584" s="141"/>
      <c r="DCN584" s="141"/>
      <c r="DCO584" s="141"/>
      <c r="DCP584" s="141"/>
      <c r="DCQ584" s="141"/>
      <c r="DCR584" s="141"/>
      <c r="DCS584" s="141"/>
      <c r="DCT584" s="141"/>
      <c r="DCU584" s="141"/>
      <c r="DCV584" s="141"/>
      <c r="DCW584" s="141"/>
      <c r="DCX584" s="141"/>
      <c r="DCY584" s="141"/>
      <c r="DCZ584" s="141"/>
      <c r="DDA584" s="141"/>
      <c r="DDB584" s="141"/>
      <c r="DDC584" s="141"/>
      <c r="DDD584" s="141"/>
      <c r="DDE584" s="141"/>
      <c r="DDF584" s="141"/>
      <c r="DDG584" s="141"/>
      <c r="DDH584" s="141"/>
      <c r="DDI584" s="141"/>
      <c r="DDJ584" s="141"/>
      <c r="DDK584" s="141"/>
      <c r="DDL584" s="141"/>
      <c r="DDM584" s="141"/>
      <c r="DDN584" s="141"/>
      <c r="DDO584" s="141"/>
      <c r="DDP584" s="141"/>
      <c r="DDQ584" s="141"/>
      <c r="DDR584" s="141"/>
      <c r="DDS584" s="141"/>
      <c r="DDT584" s="141"/>
      <c r="DDU584" s="141"/>
      <c r="DDV584" s="141"/>
      <c r="DDW584" s="141"/>
      <c r="DDX584" s="141"/>
      <c r="DDY584" s="141"/>
      <c r="DDZ584" s="141"/>
      <c r="DEA584" s="141"/>
      <c r="DEB584" s="141"/>
      <c r="DEC584" s="141"/>
      <c r="DED584" s="141"/>
      <c r="DEE584" s="141"/>
      <c r="DEF584" s="141"/>
      <c r="DEG584" s="141"/>
      <c r="DEH584" s="141"/>
      <c r="DEI584" s="141"/>
      <c r="DEJ584" s="141"/>
      <c r="DEK584" s="141"/>
      <c r="DEL584" s="141"/>
      <c r="DEM584" s="141"/>
      <c r="DEN584" s="141"/>
      <c r="DEO584" s="141"/>
      <c r="DEP584" s="141"/>
      <c r="DEQ584" s="141"/>
      <c r="DER584" s="141"/>
      <c r="DES584" s="141"/>
      <c r="DET584" s="141"/>
      <c r="DEU584" s="141"/>
      <c r="DEV584" s="141"/>
      <c r="DEW584" s="141"/>
      <c r="DEX584" s="141"/>
      <c r="DEY584" s="141"/>
      <c r="DEZ584" s="141"/>
      <c r="DFA584" s="141"/>
      <c r="DFB584" s="141"/>
      <c r="DFC584" s="141"/>
      <c r="DFD584" s="141"/>
      <c r="DFE584" s="141"/>
      <c r="DFF584" s="141"/>
      <c r="DFG584" s="141"/>
      <c r="DFH584" s="141"/>
      <c r="DFI584" s="141"/>
      <c r="DFJ584" s="141"/>
      <c r="DFK584" s="141"/>
      <c r="DFL584" s="141"/>
      <c r="DFM584" s="141"/>
      <c r="DFN584" s="141"/>
      <c r="DFO584" s="141"/>
      <c r="DFP584" s="141"/>
      <c r="DFQ584" s="141"/>
      <c r="DFR584" s="141"/>
      <c r="DFS584" s="141"/>
      <c r="DFT584" s="141"/>
      <c r="DFU584" s="141"/>
      <c r="DFV584" s="141"/>
      <c r="DFW584" s="141"/>
      <c r="DFX584" s="141"/>
      <c r="DFY584" s="141"/>
      <c r="DFZ584" s="141"/>
      <c r="DGA584" s="141"/>
      <c r="DGB584" s="141"/>
      <c r="DGC584" s="141"/>
      <c r="DGD584" s="141"/>
      <c r="DGE584" s="141"/>
      <c r="DGF584" s="141"/>
      <c r="DGG584" s="141"/>
      <c r="DGH584" s="141"/>
      <c r="DGI584" s="141"/>
      <c r="DGJ584" s="141"/>
      <c r="DGK584" s="141"/>
      <c r="DGL584" s="141"/>
      <c r="DGM584" s="141"/>
      <c r="DGN584" s="141"/>
      <c r="DGO584" s="141"/>
      <c r="DGP584" s="141"/>
      <c r="DGQ584" s="141"/>
      <c r="DGR584" s="141"/>
      <c r="DGS584" s="141"/>
      <c r="DGT584" s="141"/>
      <c r="DGU584" s="141"/>
      <c r="DGV584" s="141"/>
      <c r="DGW584" s="141"/>
      <c r="DGX584" s="141"/>
      <c r="DGY584" s="141"/>
      <c r="DGZ584" s="141"/>
      <c r="DHA584" s="141"/>
      <c r="DHB584" s="141"/>
      <c r="DHC584" s="141"/>
      <c r="DHD584" s="141"/>
      <c r="DHE584" s="141"/>
      <c r="DHF584" s="141"/>
      <c r="DHG584" s="141"/>
      <c r="DHH584" s="141"/>
      <c r="DHI584" s="141"/>
      <c r="DHJ584" s="141"/>
      <c r="DHK584" s="141"/>
      <c r="DHL584" s="141"/>
      <c r="DHM584" s="141"/>
      <c r="DHN584" s="141"/>
      <c r="DHO584" s="141"/>
      <c r="DHP584" s="141"/>
      <c r="DHQ584" s="141"/>
      <c r="DHR584" s="141"/>
      <c r="DHS584" s="141"/>
      <c r="DHT584" s="141"/>
      <c r="DHU584" s="141"/>
      <c r="DHV584" s="141"/>
      <c r="DHW584" s="141"/>
      <c r="DHX584" s="141"/>
      <c r="DHY584" s="141"/>
      <c r="DHZ584" s="141"/>
      <c r="DIA584" s="141"/>
      <c r="DIB584" s="141"/>
      <c r="DIC584" s="141"/>
      <c r="DID584" s="141"/>
      <c r="DIE584" s="141"/>
      <c r="DIF584" s="141"/>
      <c r="DIG584" s="141"/>
      <c r="DIH584" s="141"/>
      <c r="DII584" s="141"/>
      <c r="DIJ584" s="141"/>
      <c r="DIK584" s="141"/>
      <c r="DIL584" s="141"/>
      <c r="DIM584" s="141"/>
      <c r="DIN584" s="141"/>
      <c r="DIO584" s="141"/>
      <c r="DIP584" s="141"/>
      <c r="DIQ584" s="141"/>
      <c r="DIR584" s="141"/>
      <c r="DIS584" s="141"/>
      <c r="DIT584" s="141"/>
      <c r="DIU584" s="141"/>
      <c r="DIV584" s="141"/>
      <c r="DIW584" s="141"/>
      <c r="DIX584" s="141"/>
      <c r="DIY584" s="141"/>
      <c r="DIZ584" s="141"/>
      <c r="DJA584" s="141"/>
      <c r="DJB584" s="141"/>
      <c r="DJC584" s="141"/>
      <c r="DJD584" s="141"/>
      <c r="DJE584" s="141"/>
      <c r="DJF584" s="141"/>
      <c r="DJG584" s="141"/>
      <c r="DJH584" s="141"/>
      <c r="DJI584" s="141"/>
      <c r="DJJ584" s="141"/>
      <c r="DJK584" s="141"/>
      <c r="DJL584" s="141"/>
      <c r="DJM584" s="141"/>
      <c r="DJN584" s="141"/>
      <c r="DJO584" s="141"/>
      <c r="DJP584" s="141"/>
      <c r="DJQ584" s="141"/>
      <c r="DJR584" s="141"/>
      <c r="DJS584" s="141"/>
      <c r="DJT584" s="141"/>
      <c r="DJU584" s="141"/>
      <c r="DJV584" s="141"/>
      <c r="DJW584" s="141"/>
      <c r="DJX584" s="141"/>
      <c r="DJY584" s="141"/>
      <c r="DJZ584" s="141"/>
      <c r="DKA584" s="141"/>
      <c r="DKB584" s="141"/>
      <c r="DKC584" s="141"/>
      <c r="DKD584" s="141"/>
      <c r="DKE584" s="141"/>
      <c r="DKF584" s="141"/>
      <c r="DKG584" s="141"/>
      <c r="DKH584" s="141"/>
      <c r="DKI584" s="141"/>
      <c r="DKJ584" s="141"/>
      <c r="DKK584" s="141"/>
      <c r="DKL584" s="141"/>
      <c r="DKM584" s="141"/>
      <c r="DKN584" s="141"/>
      <c r="DKO584" s="141"/>
      <c r="DKP584" s="141"/>
      <c r="DKQ584" s="141"/>
      <c r="DKR584" s="141"/>
      <c r="DKS584" s="141"/>
      <c r="DKT584" s="141"/>
      <c r="DKU584" s="141"/>
      <c r="DKV584" s="141"/>
      <c r="DKW584" s="141"/>
      <c r="DKX584" s="141"/>
      <c r="DKY584" s="141"/>
      <c r="DKZ584" s="141"/>
      <c r="DLA584" s="141"/>
      <c r="DLB584" s="141"/>
      <c r="DLC584" s="141"/>
      <c r="DLD584" s="141"/>
      <c r="DLE584" s="141"/>
      <c r="DLF584" s="141"/>
      <c r="DLG584" s="141"/>
      <c r="DLH584" s="141"/>
      <c r="DLI584" s="141"/>
      <c r="DLJ584" s="141"/>
      <c r="DLK584" s="141"/>
      <c r="DLL584" s="141"/>
      <c r="DLM584" s="141"/>
      <c r="DLN584" s="141"/>
      <c r="DLO584" s="141"/>
      <c r="DLP584" s="141"/>
      <c r="DLQ584" s="141"/>
      <c r="DLR584" s="141"/>
      <c r="DLS584" s="141"/>
      <c r="DLT584" s="141"/>
      <c r="DLU584" s="141"/>
      <c r="DLV584" s="141"/>
      <c r="DLW584" s="141"/>
      <c r="DLX584" s="141"/>
      <c r="DLY584" s="141"/>
      <c r="DLZ584" s="141"/>
      <c r="DMA584" s="141"/>
      <c r="DMB584" s="141"/>
      <c r="DMC584" s="141"/>
      <c r="DMD584" s="141"/>
      <c r="DME584" s="141"/>
      <c r="DMF584" s="141"/>
      <c r="DMG584" s="141"/>
      <c r="DMH584" s="141"/>
      <c r="DMI584" s="141"/>
      <c r="DMJ584" s="141"/>
      <c r="DMK584" s="141"/>
      <c r="DML584" s="141"/>
      <c r="DMM584" s="141"/>
      <c r="DMN584" s="141"/>
      <c r="DMO584" s="141"/>
      <c r="DMP584" s="141"/>
      <c r="DMQ584" s="141"/>
      <c r="DMR584" s="141"/>
      <c r="DMS584" s="141"/>
      <c r="DMT584" s="141"/>
      <c r="DMU584" s="141"/>
      <c r="DMV584" s="141"/>
      <c r="DMW584" s="141"/>
      <c r="DMX584" s="141"/>
      <c r="DMY584" s="141"/>
      <c r="DMZ584" s="141"/>
      <c r="DNA584" s="141"/>
      <c r="DNB584" s="141"/>
      <c r="DNC584" s="141"/>
      <c r="DND584" s="141"/>
      <c r="DNE584" s="141"/>
      <c r="DNF584" s="141"/>
      <c r="DNG584" s="141"/>
      <c r="DNH584" s="141"/>
      <c r="DNI584" s="141"/>
      <c r="DNJ584" s="141"/>
      <c r="DNK584" s="141"/>
      <c r="DNL584" s="141"/>
      <c r="DNM584" s="141"/>
      <c r="DNN584" s="141"/>
      <c r="DNO584" s="141"/>
      <c r="DNP584" s="141"/>
      <c r="DNQ584" s="141"/>
      <c r="DNR584" s="141"/>
      <c r="DNS584" s="141"/>
      <c r="DNT584" s="141"/>
      <c r="DNU584" s="141"/>
      <c r="DNV584" s="141"/>
      <c r="DNW584" s="141"/>
      <c r="DNX584" s="141"/>
      <c r="DNY584" s="141"/>
      <c r="DNZ584" s="141"/>
      <c r="DOA584" s="141"/>
      <c r="DOB584" s="141"/>
      <c r="DOC584" s="141"/>
      <c r="DOD584" s="141"/>
      <c r="DOE584" s="141"/>
      <c r="DOF584" s="141"/>
      <c r="DOG584" s="141"/>
      <c r="DOH584" s="141"/>
      <c r="DOI584" s="141"/>
      <c r="DOJ584" s="141"/>
      <c r="DOK584" s="141"/>
      <c r="DOL584" s="141"/>
      <c r="DOM584" s="141"/>
      <c r="DON584" s="141"/>
      <c r="DOO584" s="141"/>
      <c r="DOP584" s="141"/>
      <c r="DOQ584" s="141"/>
      <c r="DOR584" s="141"/>
      <c r="DOS584" s="141"/>
      <c r="DOT584" s="141"/>
      <c r="DOU584" s="141"/>
      <c r="DOV584" s="141"/>
      <c r="DOW584" s="141"/>
      <c r="DOX584" s="141"/>
      <c r="DOY584" s="141"/>
      <c r="DOZ584" s="141"/>
      <c r="DPA584" s="141"/>
      <c r="DPB584" s="141"/>
      <c r="DPC584" s="141"/>
      <c r="DPD584" s="141"/>
      <c r="DPE584" s="141"/>
      <c r="DPF584" s="141"/>
      <c r="DPG584" s="141"/>
      <c r="DPH584" s="141"/>
      <c r="DPI584" s="141"/>
      <c r="DPJ584" s="141"/>
      <c r="DPK584" s="141"/>
      <c r="DPL584" s="141"/>
      <c r="DPM584" s="141"/>
      <c r="DPN584" s="141"/>
      <c r="DPO584" s="141"/>
      <c r="DPP584" s="141"/>
      <c r="DPQ584" s="141"/>
      <c r="DPR584" s="141"/>
      <c r="DPS584" s="141"/>
      <c r="DPT584" s="141"/>
      <c r="DPU584" s="141"/>
      <c r="DPV584" s="141"/>
      <c r="DPW584" s="141"/>
      <c r="DPX584" s="141"/>
      <c r="DPY584" s="141"/>
      <c r="DPZ584" s="141"/>
      <c r="DQA584" s="141"/>
      <c r="DQB584" s="141"/>
      <c r="DQC584" s="141"/>
      <c r="DQD584" s="141"/>
      <c r="DQE584" s="141"/>
      <c r="DQF584" s="141"/>
      <c r="DQG584" s="141"/>
      <c r="DQH584" s="141"/>
      <c r="DQI584" s="141"/>
      <c r="DQJ584" s="141"/>
      <c r="DQK584" s="141"/>
      <c r="DQL584" s="141"/>
      <c r="DQM584" s="141"/>
      <c r="DQN584" s="141"/>
      <c r="DQO584" s="141"/>
      <c r="DQP584" s="141"/>
      <c r="DQQ584" s="141"/>
      <c r="DQR584" s="141"/>
      <c r="DQS584" s="141"/>
      <c r="DQT584" s="141"/>
      <c r="DQU584" s="141"/>
      <c r="DQV584" s="141"/>
      <c r="DQW584" s="141"/>
      <c r="DQX584" s="141"/>
      <c r="DQY584" s="141"/>
      <c r="DQZ584" s="141"/>
      <c r="DRA584" s="141"/>
      <c r="DRB584" s="141"/>
      <c r="DRC584" s="141"/>
      <c r="DRD584" s="141"/>
      <c r="DRE584" s="141"/>
      <c r="DRF584" s="141"/>
      <c r="DRG584" s="141"/>
      <c r="DRH584" s="141"/>
      <c r="DRI584" s="141"/>
      <c r="DRJ584" s="141"/>
      <c r="DRK584" s="141"/>
      <c r="DRL584" s="141"/>
      <c r="DRM584" s="141"/>
      <c r="DRN584" s="141"/>
      <c r="DRO584" s="141"/>
      <c r="DRP584" s="141"/>
      <c r="DRQ584" s="141"/>
      <c r="DRR584" s="141"/>
      <c r="DRS584" s="141"/>
      <c r="DRT584" s="141"/>
      <c r="DRU584" s="141"/>
      <c r="DRV584" s="141"/>
      <c r="DRW584" s="141"/>
      <c r="DRX584" s="141"/>
      <c r="DRY584" s="141"/>
      <c r="DRZ584" s="141"/>
      <c r="DSA584" s="141"/>
      <c r="DSB584" s="141"/>
      <c r="DSC584" s="141"/>
      <c r="DSD584" s="141"/>
      <c r="DSE584" s="141"/>
      <c r="DSF584" s="141"/>
      <c r="DSG584" s="141"/>
      <c r="DSH584" s="141"/>
      <c r="DSI584" s="141"/>
      <c r="DSJ584" s="141"/>
      <c r="DSK584" s="141"/>
      <c r="DSL584" s="141"/>
      <c r="DSM584" s="141"/>
      <c r="DSN584" s="141"/>
      <c r="DSO584" s="141"/>
      <c r="DSP584" s="141"/>
      <c r="DSQ584" s="141"/>
      <c r="DSR584" s="141"/>
      <c r="DSS584" s="141"/>
      <c r="DST584" s="141"/>
      <c r="DSU584" s="141"/>
      <c r="DSV584" s="141"/>
      <c r="DSW584" s="141"/>
      <c r="DSX584" s="141"/>
      <c r="DSY584" s="141"/>
      <c r="DSZ584" s="141"/>
      <c r="DTA584" s="141"/>
      <c r="DTB584" s="141"/>
      <c r="DTC584" s="141"/>
      <c r="DTD584" s="141"/>
      <c r="DTE584" s="141"/>
      <c r="DTF584" s="141"/>
      <c r="DTG584" s="141"/>
      <c r="DTH584" s="141"/>
      <c r="DTI584" s="141"/>
      <c r="DTJ584" s="141"/>
      <c r="DTK584" s="141"/>
      <c r="DTL584" s="141"/>
      <c r="DTM584" s="141"/>
      <c r="DTN584" s="141"/>
      <c r="DTO584" s="141"/>
      <c r="DTP584" s="141"/>
      <c r="DTQ584" s="141"/>
      <c r="DTR584" s="141"/>
      <c r="DTS584" s="141"/>
      <c r="DTT584" s="141"/>
      <c r="DTU584" s="141"/>
      <c r="DTV584" s="141"/>
      <c r="DTW584" s="141"/>
      <c r="DTX584" s="141"/>
      <c r="DTY584" s="141"/>
      <c r="DTZ584" s="141"/>
      <c r="DUA584" s="141"/>
      <c r="DUB584" s="141"/>
      <c r="DUC584" s="141"/>
      <c r="DUD584" s="141"/>
      <c r="DUE584" s="141"/>
      <c r="DUF584" s="141"/>
      <c r="DUG584" s="141"/>
      <c r="DUH584" s="141"/>
      <c r="DUI584" s="141"/>
      <c r="DUJ584" s="141"/>
      <c r="DUK584" s="141"/>
      <c r="DUL584" s="141"/>
      <c r="DUM584" s="141"/>
      <c r="DUN584" s="141"/>
      <c r="DUO584" s="141"/>
      <c r="DUP584" s="141"/>
      <c r="DUQ584" s="141"/>
      <c r="DUR584" s="141"/>
      <c r="DUS584" s="141"/>
      <c r="DUT584" s="141"/>
      <c r="DUU584" s="141"/>
      <c r="DUV584" s="141"/>
      <c r="DUW584" s="141"/>
      <c r="DUX584" s="141"/>
      <c r="DUY584" s="141"/>
      <c r="DUZ584" s="141"/>
      <c r="DVA584" s="141"/>
      <c r="DVB584" s="141"/>
      <c r="DVC584" s="141"/>
      <c r="DVD584" s="141"/>
      <c r="DVE584" s="141"/>
      <c r="DVF584" s="141"/>
      <c r="DVG584" s="141"/>
      <c r="DVH584" s="141"/>
      <c r="DVI584" s="141"/>
      <c r="DVJ584" s="141"/>
      <c r="DVK584" s="141"/>
      <c r="DVL584" s="141"/>
      <c r="DVM584" s="141"/>
      <c r="DVN584" s="141"/>
      <c r="DVO584" s="141"/>
      <c r="DVP584" s="141"/>
      <c r="DVQ584" s="141"/>
      <c r="DVR584" s="141"/>
      <c r="DVS584" s="141"/>
      <c r="DVT584" s="141"/>
      <c r="DVU584" s="141"/>
      <c r="DVV584" s="141"/>
      <c r="DVW584" s="141"/>
      <c r="DVX584" s="141"/>
      <c r="DVY584" s="141"/>
      <c r="DVZ584" s="141"/>
      <c r="DWA584" s="141"/>
      <c r="DWB584" s="141"/>
      <c r="DWC584" s="141"/>
      <c r="DWD584" s="141"/>
      <c r="DWE584" s="141"/>
      <c r="DWF584" s="141"/>
      <c r="DWG584" s="141"/>
      <c r="DWH584" s="141"/>
      <c r="DWI584" s="141"/>
      <c r="DWJ584" s="141"/>
      <c r="DWK584" s="141"/>
      <c r="DWL584" s="141"/>
      <c r="DWM584" s="141"/>
      <c r="DWN584" s="141"/>
      <c r="DWO584" s="141"/>
      <c r="DWP584" s="141"/>
      <c r="DWQ584" s="141"/>
      <c r="DWR584" s="141"/>
      <c r="DWS584" s="141"/>
      <c r="DWT584" s="141"/>
      <c r="DWU584" s="141"/>
      <c r="DWV584" s="141"/>
      <c r="DWW584" s="141"/>
      <c r="DWX584" s="141"/>
      <c r="DWY584" s="141"/>
      <c r="DWZ584" s="141"/>
      <c r="DXA584" s="141"/>
      <c r="DXB584" s="141"/>
      <c r="DXC584" s="141"/>
      <c r="DXD584" s="141"/>
      <c r="DXE584" s="141"/>
      <c r="DXF584" s="141"/>
      <c r="DXG584" s="141"/>
      <c r="DXH584" s="141"/>
      <c r="DXI584" s="141"/>
      <c r="DXJ584" s="141"/>
      <c r="DXK584" s="141"/>
      <c r="DXL584" s="141"/>
      <c r="DXM584" s="141"/>
      <c r="DXN584" s="141"/>
      <c r="DXO584" s="141"/>
      <c r="DXP584" s="141"/>
      <c r="DXQ584" s="141"/>
      <c r="DXR584" s="141"/>
      <c r="DXS584" s="141"/>
      <c r="DXT584" s="141"/>
      <c r="DXU584" s="141"/>
      <c r="DXV584" s="141"/>
      <c r="DXW584" s="141"/>
      <c r="DXX584" s="141"/>
      <c r="DXY584" s="141"/>
      <c r="DXZ584" s="141"/>
      <c r="DYA584" s="141"/>
      <c r="DYB584" s="141"/>
      <c r="DYC584" s="141"/>
      <c r="DYD584" s="141"/>
      <c r="DYE584" s="141"/>
      <c r="DYF584" s="141"/>
      <c r="DYG584" s="141"/>
      <c r="DYH584" s="141"/>
      <c r="DYI584" s="141"/>
      <c r="DYJ584" s="141"/>
      <c r="DYK584" s="141"/>
      <c r="DYL584" s="141"/>
      <c r="DYM584" s="141"/>
      <c r="DYN584" s="141"/>
      <c r="DYO584" s="141"/>
      <c r="DYP584" s="141"/>
      <c r="DYQ584" s="141"/>
      <c r="DYR584" s="141"/>
      <c r="DYS584" s="141"/>
      <c r="DYT584" s="141"/>
      <c r="DYU584" s="141"/>
      <c r="DYV584" s="141"/>
      <c r="DYW584" s="141"/>
      <c r="DYX584" s="141"/>
      <c r="DYY584" s="141"/>
      <c r="DYZ584" s="141"/>
      <c r="DZA584" s="141"/>
      <c r="DZB584" s="141"/>
      <c r="DZC584" s="141"/>
      <c r="DZD584" s="141"/>
      <c r="DZE584" s="141"/>
      <c r="DZF584" s="141"/>
      <c r="DZG584" s="141"/>
      <c r="DZH584" s="141"/>
      <c r="DZI584" s="141"/>
      <c r="DZJ584" s="141"/>
      <c r="DZK584" s="141"/>
      <c r="DZL584" s="141"/>
      <c r="DZM584" s="141"/>
      <c r="DZN584" s="141"/>
      <c r="DZO584" s="141"/>
      <c r="DZP584" s="141"/>
      <c r="DZQ584" s="141"/>
      <c r="DZR584" s="141"/>
      <c r="DZS584" s="141"/>
      <c r="DZT584" s="141"/>
      <c r="DZU584" s="141"/>
      <c r="DZV584" s="141"/>
      <c r="DZW584" s="141"/>
      <c r="DZX584" s="141"/>
      <c r="DZY584" s="141"/>
      <c r="DZZ584" s="141"/>
      <c r="EAA584" s="141"/>
      <c r="EAB584" s="141"/>
      <c r="EAC584" s="141"/>
      <c r="EAD584" s="141"/>
      <c r="EAE584" s="141"/>
      <c r="EAF584" s="141"/>
      <c r="EAG584" s="141"/>
      <c r="EAH584" s="141"/>
      <c r="EAI584" s="141"/>
      <c r="EAJ584" s="141"/>
      <c r="EAK584" s="141"/>
      <c r="EAL584" s="141"/>
      <c r="EAM584" s="141"/>
      <c r="EAN584" s="141"/>
      <c r="EAO584" s="141"/>
      <c r="EAP584" s="141"/>
      <c r="EAQ584" s="141"/>
      <c r="EAR584" s="141"/>
      <c r="EAS584" s="141"/>
      <c r="EAT584" s="141"/>
      <c r="EAU584" s="141"/>
      <c r="EAV584" s="141"/>
      <c r="EAW584" s="141"/>
      <c r="EAX584" s="141"/>
      <c r="EAY584" s="141"/>
      <c r="EAZ584" s="141"/>
      <c r="EBA584" s="141"/>
      <c r="EBB584" s="141"/>
      <c r="EBC584" s="141"/>
      <c r="EBD584" s="141"/>
      <c r="EBE584" s="141"/>
      <c r="EBF584" s="141"/>
      <c r="EBG584" s="141"/>
      <c r="EBH584" s="141"/>
      <c r="EBI584" s="141"/>
      <c r="EBJ584" s="141"/>
      <c r="EBK584" s="141"/>
      <c r="EBL584" s="141"/>
      <c r="EBM584" s="141"/>
      <c r="EBN584" s="141"/>
      <c r="EBO584" s="141"/>
      <c r="EBP584" s="141"/>
      <c r="EBQ584" s="141"/>
      <c r="EBR584" s="141"/>
      <c r="EBS584" s="141"/>
      <c r="EBT584" s="141"/>
      <c r="EBU584" s="141"/>
      <c r="EBV584" s="141"/>
      <c r="EBW584" s="141"/>
      <c r="EBX584" s="141"/>
      <c r="EBY584" s="141"/>
      <c r="EBZ584" s="141"/>
      <c r="ECA584" s="141"/>
      <c r="ECB584" s="141"/>
      <c r="ECC584" s="141"/>
      <c r="ECD584" s="141"/>
      <c r="ECE584" s="141"/>
      <c r="ECF584" s="141"/>
      <c r="ECG584" s="141"/>
      <c r="ECH584" s="141"/>
      <c r="ECI584" s="141"/>
      <c r="ECJ584" s="141"/>
      <c r="ECK584" s="141"/>
      <c r="ECL584" s="141"/>
      <c r="ECM584" s="141"/>
      <c r="ECN584" s="141"/>
      <c r="ECO584" s="141"/>
      <c r="ECP584" s="141"/>
      <c r="ECQ584" s="141"/>
      <c r="ECR584" s="141"/>
      <c r="ECS584" s="141"/>
      <c r="ECT584" s="141"/>
      <c r="ECU584" s="141"/>
      <c r="ECV584" s="141"/>
      <c r="ECW584" s="141"/>
      <c r="ECX584" s="141"/>
      <c r="ECY584" s="141"/>
      <c r="ECZ584" s="141"/>
      <c r="EDA584" s="141"/>
      <c r="EDB584" s="141"/>
      <c r="EDC584" s="141"/>
      <c r="EDD584" s="141"/>
      <c r="EDE584" s="141"/>
      <c r="EDF584" s="141"/>
      <c r="EDG584" s="141"/>
      <c r="EDH584" s="141"/>
      <c r="EDI584" s="141"/>
      <c r="EDJ584" s="141"/>
      <c r="EDK584" s="141"/>
      <c r="EDL584" s="141"/>
      <c r="EDM584" s="141"/>
      <c r="EDN584" s="141"/>
      <c r="EDO584" s="141"/>
      <c r="EDP584" s="141"/>
      <c r="EDQ584" s="141"/>
      <c r="EDR584" s="141"/>
      <c r="EDS584" s="141"/>
      <c r="EDT584" s="141"/>
      <c r="EDU584" s="141"/>
      <c r="EDV584" s="141"/>
      <c r="EDW584" s="141"/>
      <c r="EDX584" s="141"/>
      <c r="EDY584" s="141"/>
      <c r="EDZ584" s="141"/>
      <c r="EEA584" s="141"/>
      <c r="EEB584" s="141"/>
      <c r="EEC584" s="141"/>
      <c r="EED584" s="141"/>
      <c r="EEE584" s="141"/>
      <c r="EEF584" s="141"/>
      <c r="EEG584" s="141"/>
      <c r="EEH584" s="141"/>
      <c r="EEI584" s="141"/>
      <c r="EEJ584" s="141"/>
      <c r="EEK584" s="141"/>
      <c r="EEL584" s="141"/>
      <c r="EEM584" s="141"/>
      <c r="EEN584" s="141"/>
      <c r="EEO584" s="141"/>
      <c r="EEP584" s="141"/>
      <c r="EEQ584" s="141"/>
      <c r="EER584" s="141"/>
      <c r="EES584" s="141"/>
      <c r="EET584" s="141"/>
      <c r="EEU584" s="141"/>
      <c r="EEV584" s="141"/>
      <c r="EEW584" s="141"/>
      <c r="EEX584" s="141"/>
      <c r="EEY584" s="141"/>
      <c r="EEZ584" s="141"/>
      <c r="EFA584" s="141"/>
      <c r="EFB584" s="141"/>
      <c r="EFC584" s="141"/>
      <c r="EFD584" s="141"/>
      <c r="EFE584" s="141"/>
      <c r="EFF584" s="141"/>
      <c r="EFG584" s="141"/>
      <c r="EFH584" s="141"/>
      <c r="EFI584" s="141"/>
      <c r="EFJ584" s="141"/>
      <c r="EFK584" s="141"/>
      <c r="EFL584" s="141"/>
      <c r="EFM584" s="141"/>
      <c r="EFN584" s="141"/>
      <c r="EFO584" s="141"/>
      <c r="EFP584" s="141"/>
      <c r="EFQ584" s="141"/>
      <c r="EFR584" s="141"/>
      <c r="EFS584" s="141"/>
      <c r="EFT584" s="141"/>
      <c r="EFU584" s="141"/>
      <c r="EFV584" s="141"/>
      <c r="EFW584" s="141"/>
      <c r="EFX584" s="141"/>
      <c r="EFY584" s="141"/>
      <c r="EFZ584" s="141"/>
      <c r="EGA584" s="141"/>
      <c r="EGB584" s="141"/>
      <c r="EGC584" s="141"/>
      <c r="EGD584" s="141"/>
      <c r="EGE584" s="141"/>
      <c r="EGF584" s="141"/>
      <c r="EGG584" s="141"/>
      <c r="EGH584" s="141"/>
      <c r="EGI584" s="141"/>
      <c r="EGJ584" s="141"/>
      <c r="EGK584" s="141"/>
      <c r="EGL584" s="141"/>
      <c r="EGM584" s="141"/>
      <c r="EGN584" s="141"/>
      <c r="EGO584" s="141"/>
      <c r="EGP584" s="141"/>
      <c r="EGQ584" s="141"/>
      <c r="EGR584" s="141"/>
      <c r="EGS584" s="141"/>
      <c r="EGT584" s="141"/>
      <c r="EGU584" s="141"/>
      <c r="EGV584" s="141"/>
      <c r="EGW584" s="141"/>
      <c r="EGX584" s="141"/>
      <c r="EGY584" s="141"/>
      <c r="EGZ584" s="141"/>
      <c r="EHA584" s="141"/>
      <c r="EHB584" s="141"/>
      <c r="EHC584" s="141"/>
      <c r="EHD584" s="141"/>
      <c r="EHE584" s="141"/>
      <c r="EHF584" s="141"/>
      <c r="EHG584" s="141"/>
      <c r="EHH584" s="141"/>
      <c r="EHI584" s="141"/>
      <c r="EHJ584" s="141"/>
      <c r="EHK584" s="141"/>
      <c r="EHL584" s="141"/>
      <c r="EHM584" s="141"/>
      <c r="EHN584" s="141"/>
      <c r="EHO584" s="141"/>
      <c r="EHP584" s="141"/>
      <c r="EHQ584" s="141"/>
      <c r="EHR584" s="141"/>
      <c r="EHS584" s="141"/>
      <c r="EHT584" s="141"/>
      <c r="EHU584" s="141"/>
      <c r="EHV584" s="141"/>
      <c r="EHW584" s="141"/>
      <c r="EHX584" s="141"/>
      <c r="EHY584" s="141"/>
      <c r="EHZ584" s="141"/>
      <c r="EIA584" s="141"/>
      <c r="EIB584" s="141"/>
      <c r="EIC584" s="141"/>
      <c r="EID584" s="141"/>
      <c r="EIE584" s="141"/>
      <c r="EIF584" s="141"/>
      <c r="EIG584" s="141"/>
      <c r="EIH584" s="141"/>
      <c r="EII584" s="141"/>
      <c r="EIJ584" s="141"/>
      <c r="EIK584" s="141"/>
      <c r="EIL584" s="141"/>
      <c r="EIM584" s="141"/>
      <c r="EIN584" s="141"/>
      <c r="EIO584" s="141"/>
      <c r="EIP584" s="141"/>
      <c r="EIQ584" s="141"/>
      <c r="EIR584" s="141"/>
      <c r="EIS584" s="141"/>
      <c r="EIT584" s="141"/>
      <c r="EIU584" s="141"/>
      <c r="EIV584" s="141"/>
      <c r="EIW584" s="141"/>
      <c r="EIX584" s="141"/>
      <c r="EIY584" s="141"/>
      <c r="EIZ584" s="141"/>
      <c r="EJA584" s="141"/>
      <c r="EJB584" s="141"/>
      <c r="EJC584" s="141"/>
      <c r="EJD584" s="141"/>
      <c r="EJE584" s="141"/>
      <c r="EJF584" s="141"/>
      <c r="EJG584" s="141"/>
      <c r="EJH584" s="141"/>
      <c r="EJI584" s="141"/>
      <c r="EJJ584" s="141"/>
      <c r="EJK584" s="141"/>
      <c r="EJL584" s="141"/>
      <c r="EJM584" s="141"/>
      <c r="EJN584" s="141"/>
      <c r="EJO584" s="141"/>
      <c r="EJP584" s="141"/>
      <c r="EJQ584" s="141"/>
      <c r="EJR584" s="141"/>
      <c r="EJS584" s="141"/>
      <c r="EJT584" s="141"/>
      <c r="EJU584" s="141"/>
      <c r="EJV584" s="141"/>
      <c r="EJW584" s="141"/>
      <c r="EJX584" s="141"/>
      <c r="EJY584" s="141"/>
      <c r="EJZ584" s="141"/>
      <c r="EKA584" s="141"/>
      <c r="EKB584" s="141"/>
      <c r="EKC584" s="141"/>
      <c r="EKD584" s="141"/>
      <c r="EKE584" s="141"/>
      <c r="EKF584" s="141"/>
      <c r="EKG584" s="141"/>
      <c r="EKH584" s="141"/>
      <c r="EKI584" s="141"/>
      <c r="EKJ584" s="141"/>
      <c r="EKK584" s="141"/>
      <c r="EKL584" s="141"/>
      <c r="EKM584" s="141"/>
      <c r="EKN584" s="141"/>
      <c r="EKO584" s="141"/>
      <c r="EKP584" s="141"/>
      <c r="EKQ584" s="141"/>
      <c r="EKR584" s="141"/>
      <c r="EKS584" s="141"/>
      <c r="EKT584" s="141"/>
      <c r="EKU584" s="141"/>
      <c r="EKV584" s="141"/>
      <c r="EKW584" s="141"/>
      <c r="EKX584" s="141"/>
      <c r="EKY584" s="141"/>
      <c r="EKZ584" s="141"/>
      <c r="ELA584" s="141"/>
      <c r="ELB584" s="141"/>
      <c r="ELC584" s="141"/>
      <c r="ELD584" s="141"/>
      <c r="ELE584" s="141"/>
      <c r="ELF584" s="141"/>
      <c r="ELG584" s="141"/>
      <c r="ELH584" s="141"/>
      <c r="ELI584" s="141"/>
      <c r="ELJ584" s="141"/>
      <c r="ELK584" s="141"/>
      <c r="ELL584" s="141"/>
      <c r="ELM584" s="141"/>
      <c r="ELN584" s="141"/>
      <c r="ELO584" s="141"/>
      <c r="ELP584" s="141"/>
      <c r="ELQ584" s="141"/>
      <c r="ELR584" s="141"/>
      <c r="ELS584" s="141"/>
      <c r="ELT584" s="141"/>
      <c r="ELU584" s="141"/>
      <c r="ELV584" s="141"/>
      <c r="ELW584" s="141"/>
      <c r="ELX584" s="141"/>
      <c r="ELY584" s="141"/>
      <c r="ELZ584" s="141"/>
      <c r="EMA584" s="141"/>
      <c r="EMB584" s="141"/>
      <c r="EMC584" s="141"/>
      <c r="EMD584" s="141"/>
      <c r="EME584" s="141"/>
      <c r="EMF584" s="141"/>
      <c r="EMG584" s="141"/>
      <c r="EMH584" s="141"/>
      <c r="EMI584" s="141"/>
      <c r="EMJ584" s="141"/>
      <c r="EMK584" s="141"/>
      <c r="EML584" s="141"/>
      <c r="EMM584" s="141"/>
      <c r="EMN584" s="141"/>
      <c r="EMO584" s="141"/>
      <c r="EMP584" s="141"/>
      <c r="EMQ584" s="141"/>
      <c r="EMR584" s="141"/>
      <c r="EMS584" s="141"/>
      <c r="EMT584" s="141"/>
      <c r="EMU584" s="141"/>
      <c r="EMV584" s="141"/>
      <c r="EMW584" s="141"/>
      <c r="EMX584" s="141"/>
      <c r="EMY584" s="141"/>
      <c r="EMZ584" s="141"/>
      <c r="ENA584" s="141"/>
      <c r="ENB584" s="141"/>
      <c r="ENC584" s="141"/>
      <c r="END584" s="141"/>
      <c r="ENE584" s="141"/>
      <c r="ENF584" s="141"/>
      <c r="ENG584" s="141"/>
      <c r="ENH584" s="141"/>
      <c r="ENI584" s="141"/>
      <c r="ENJ584" s="141"/>
      <c r="ENK584" s="141"/>
      <c r="ENL584" s="141"/>
      <c r="ENM584" s="141"/>
      <c r="ENN584" s="141"/>
      <c r="ENO584" s="141"/>
      <c r="ENP584" s="141"/>
      <c r="ENQ584" s="141"/>
      <c r="ENR584" s="141"/>
      <c r="ENS584" s="141"/>
      <c r="ENT584" s="141"/>
      <c r="ENU584" s="141"/>
      <c r="ENV584" s="141"/>
      <c r="ENW584" s="141"/>
      <c r="ENX584" s="141"/>
      <c r="ENY584" s="141"/>
      <c r="ENZ584" s="141"/>
      <c r="EOA584" s="141"/>
      <c r="EOB584" s="141"/>
      <c r="EOC584" s="141"/>
      <c r="EOD584" s="141"/>
      <c r="EOE584" s="141"/>
      <c r="EOF584" s="141"/>
      <c r="EOG584" s="141"/>
      <c r="EOH584" s="141"/>
      <c r="EOI584" s="141"/>
      <c r="EOJ584" s="141"/>
      <c r="EOK584" s="141"/>
      <c r="EOL584" s="141"/>
      <c r="EOM584" s="141"/>
      <c r="EON584" s="141"/>
      <c r="EOO584" s="141"/>
      <c r="EOP584" s="141"/>
      <c r="EOQ584" s="141"/>
      <c r="EOR584" s="141"/>
      <c r="EOS584" s="141"/>
      <c r="EOT584" s="141"/>
      <c r="EOU584" s="141"/>
      <c r="EOV584" s="141"/>
      <c r="EOW584" s="141"/>
      <c r="EOX584" s="141"/>
      <c r="EOY584" s="141"/>
      <c r="EOZ584" s="141"/>
      <c r="EPA584" s="141"/>
      <c r="EPB584" s="141"/>
      <c r="EPC584" s="141"/>
      <c r="EPD584" s="141"/>
      <c r="EPE584" s="141"/>
      <c r="EPF584" s="141"/>
      <c r="EPG584" s="141"/>
      <c r="EPH584" s="141"/>
      <c r="EPI584" s="141"/>
      <c r="EPJ584" s="141"/>
      <c r="EPK584" s="141"/>
      <c r="EPL584" s="141"/>
      <c r="EPM584" s="141"/>
      <c r="EPN584" s="141"/>
      <c r="EPO584" s="141"/>
      <c r="EPP584" s="141"/>
      <c r="EPQ584" s="141"/>
      <c r="EPR584" s="141"/>
      <c r="EPS584" s="141"/>
      <c r="EPT584" s="141"/>
      <c r="EPU584" s="141"/>
      <c r="EPV584" s="141"/>
      <c r="EPW584" s="141"/>
      <c r="EPX584" s="141"/>
      <c r="EPY584" s="141"/>
      <c r="EPZ584" s="141"/>
      <c r="EQA584" s="141"/>
      <c r="EQB584" s="141"/>
      <c r="EQC584" s="141"/>
      <c r="EQD584" s="141"/>
      <c r="EQE584" s="141"/>
      <c r="EQF584" s="141"/>
      <c r="EQG584" s="141"/>
      <c r="EQH584" s="141"/>
      <c r="EQI584" s="141"/>
      <c r="EQJ584" s="141"/>
      <c r="EQK584" s="141"/>
      <c r="EQL584" s="141"/>
      <c r="EQM584" s="141"/>
      <c r="EQN584" s="141"/>
      <c r="EQO584" s="141"/>
      <c r="EQP584" s="141"/>
      <c r="EQQ584" s="141"/>
      <c r="EQR584" s="141"/>
      <c r="EQS584" s="141"/>
      <c r="EQT584" s="141"/>
      <c r="EQU584" s="141"/>
      <c r="EQV584" s="141"/>
      <c r="EQW584" s="141"/>
      <c r="EQX584" s="141"/>
      <c r="EQY584" s="141"/>
      <c r="EQZ584" s="141"/>
      <c r="ERA584" s="141"/>
      <c r="ERB584" s="141"/>
      <c r="ERC584" s="141"/>
      <c r="ERD584" s="141"/>
      <c r="ERE584" s="141"/>
      <c r="ERF584" s="141"/>
      <c r="ERG584" s="141"/>
      <c r="ERH584" s="141"/>
      <c r="ERI584" s="141"/>
      <c r="ERJ584" s="141"/>
      <c r="ERK584" s="141"/>
      <c r="ERL584" s="141"/>
      <c r="ERM584" s="141"/>
      <c r="ERN584" s="141"/>
      <c r="ERO584" s="141"/>
      <c r="ERP584" s="141"/>
      <c r="ERQ584" s="141"/>
      <c r="ERR584" s="141"/>
      <c r="ERS584" s="141"/>
      <c r="ERT584" s="141"/>
      <c r="ERU584" s="141"/>
      <c r="ERV584" s="141"/>
      <c r="ERW584" s="141"/>
      <c r="ERX584" s="141"/>
      <c r="ERY584" s="141"/>
      <c r="ERZ584" s="141"/>
      <c r="ESA584" s="141"/>
      <c r="ESB584" s="141"/>
      <c r="ESC584" s="141"/>
      <c r="ESD584" s="141"/>
      <c r="ESE584" s="141"/>
      <c r="ESF584" s="141"/>
      <c r="ESG584" s="141"/>
      <c r="ESH584" s="141"/>
      <c r="ESI584" s="141"/>
      <c r="ESJ584" s="141"/>
      <c r="ESK584" s="141"/>
      <c r="ESL584" s="141"/>
      <c r="ESM584" s="141"/>
      <c r="ESN584" s="141"/>
      <c r="ESO584" s="141"/>
      <c r="ESP584" s="141"/>
      <c r="ESQ584" s="141"/>
      <c r="ESR584" s="141"/>
      <c r="ESS584" s="141"/>
      <c r="EST584" s="141"/>
      <c r="ESU584" s="141"/>
      <c r="ESV584" s="141"/>
      <c r="ESW584" s="141"/>
      <c r="ESX584" s="141"/>
      <c r="ESY584" s="141"/>
      <c r="ESZ584" s="141"/>
      <c r="ETA584" s="141"/>
      <c r="ETB584" s="141"/>
      <c r="ETC584" s="141"/>
      <c r="ETD584" s="141"/>
      <c r="ETE584" s="141"/>
      <c r="ETF584" s="141"/>
      <c r="ETG584" s="141"/>
      <c r="ETH584" s="141"/>
      <c r="ETI584" s="141"/>
      <c r="ETJ584" s="141"/>
      <c r="ETK584" s="141"/>
      <c r="ETL584" s="141"/>
      <c r="ETM584" s="141"/>
      <c r="ETN584" s="141"/>
      <c r="ETO584" s="141"/>
      <c r="ETP584" s="141"/>
      <c r="ETQ584" s="141"/>
      <c r="ETR584" s="141"/>
      <c r="ETS584" s="141"/>
      <c r="ETT584" s="141"/>
      <c r="ETU584" s="141"/>
      <c r="ETV584" s="141"/>
      <c r="ETW584" s="141"/>
      <c r="ETX584" s="141"/>
      <c r="ETY584" s="141"/>
      <c r="ETZ584" s="141"/>
      <c r="EUA584" s="141"/>
      <c r="EUB584" s="141"/>
      <c r="EUC584" s="141"/>
      <c r="EUD584" s="141"/>
      <c r="EUE584" s="141"/>
      <c r="EUF584" s="141"/>
      <c r="EUG584" s="141"/>
      <c r="EUH584" s="141"/>
      <c r="EUI584" s="141"/>
      <c r="EUJ584" s="141"/>
      <c r="EUK584" s="141"/>
      <c r="EUL584" s="141"/>
      <c r="EUM584" s="141"/>
      <c r="EUN584" s="141"/>
      <c r="EUO584" s="141"/>
      <c r="EUP584" s="141"/>
      <c r="EUQ584" s="141"/>
      <c r="EUR584" s="141"/>
      <c r="EUS584" s="141"/>
      <c r="EUT584" s="141"/>
      <c r="EUU584" s="141"/>
      <c r="EUV584" s="141"/>
      <c r="EUW584" s="141"/>
      <c r="EUX584" s="141"/>
      <c r="EUY584" s="141"/>
      <c r="EUZ584" s="141"/>
      <c r="EVA584" s="141"/>
      <c r="EVB584" s="141"/>
      <c r="EVC584" s="141"/>
      <c r="EVD584" s="141"/>
      <c r="EVE584" s="141"/>
      <c r="EVF584" s="141"/>
      <c r="EVG584" s="141"/>
      <c r="EVH584" s="141"/>
      <c r="EVI584" s="141"/>
      <c r="EVJ584" s="141"/>
      <c r="EVK584" s="141"/>
      <c r="EVL584" s="141"/>
      <c r="EVM584" s="141"/>
      <c r="EVN584" s="141"/>
      <c r="EVO584" s="141"/>
      <c r="EVP584" s="141"/>
      <c r="EVQ584" s="141"/>
      <c r="EVR584" s="141"/>
      <c r="EVS584" s="141"/>
      <c r="EVT584" s="141"/>
      <c r="EVU584" s="141"/>
      <c r="EVV584" s="141"/>
      <c r="EVW584" s="141"/>
      <c r="EVX584" s="141"/>
      <c r="EVY584" s="141"/>
      <c r="EVZ584" s="141"/>
      <c r="EWA584" s="141"/>
      <c r="EWB584" s="141"/>
      <c r="EWC584" s="141"/>
      <c r="EWD584" s="141"/>
      <c r="EWE584" s="141"/>
      <c r="EWF584" s="141"/>
      <c r="EWG584" s="141"/>
      <c r="EWH584" s="141"/>
      <c r="EWI584" s="141"/>
      <c r="EWJ584" s="141"/>
      <c r="EWK584" s="141"/>
      <c r="EWL584" s="141"/>
      <c r="EWM584" s="141"/>
      <c r="EWN584" s="141"/>
      <c r="EWO584" s="141"/>
      <c r="EWP584" s="141"/>
      <c r="EWQ584" s="141"/>
      <c r="EWR584" s="141"/>
      <c r="EWS584" s="141"/>
      <c r="EWT584" s="141"/>
      <c r="EWU584" s="141"/>
      <c r="EWV584" s="141"/>
      <c r="EWW584" s="141"/>
      <c r="EWX584" s="141"/>
      <c r="EWY584" s="141"/>
      <c r="EWZ584" s="141"/>
      <c r="EXA584" s="141"/>
      <c r="EXB584" s="141"/>
      <c r="EXC584" s="141"/>
      <c r="EXD584" s="141"/>
      <c r="EXE584" s="141"/>
      <c r="EXF584" s="141"/>
      <c r="EXG584" s="141"/>
      <c r="EXH584" s="141"/>
      <c r="EXI584" s="141"/>
      <c r="EXJ584" s="141"/>
      <c r="EXK584" s="141"/>
      <c r="EXL584" s="141"/>
      <c r="EXM584" s="141"/>
      <c r="EXN584" s="141"/>
      <c r="EXO584" s="141"/>
      <c r="EXP584" s="141"/>
      <c r="EXQ584" s="141"/>
      <c r="EXR584" s="141"/>
      <c r="EXS584" s="141"/>
      <c r="EXT584" s="141"/>
      <c r="EXU584" s="141"/>
      <c r="EXV584" s="141"/>
      <c r="EXW584" s="141"/>
      <c r="EXX584" s="141"/>
      <c r="EXY584" s="141"/>
      <c r="EXZ584" s="141"/>
      <c r="EYA584" s="141"/>
      <c r="EYB584" s="141"/>
      <c r="EYC584" s="141"/>
      <c r="EYD584" s="141"/>
      <c r="EYE584" s="141"/>
      <c r="EYF584" s="141"/>
      <c r="EYG584" s="141"/>
      <c r="EYH584" s="141"/>
      <c r="EYI584" s="141"/>
      <c r="EYJ584" s="141"/>
      <c r="EYK584" s="141"/>
      <c r="EYL584" s="141"/>
      <c r="EYM584" s="141"/>
      <c r="EYN584" s="141"/>
      <c r="EYO584" s="141"/>
      <c r="EYP584" s="141"/>
      <c r="EYQ584" s="141"/>
      <c r="EYR584" s="141"/>
      <c r="EYS584" s="141"/>
      <c r="EYT584" s="141"/>
      <c r="EYU584" s="141"/>
      <c r="EYV584" s="141"/>
      <c r="EYW584" s="141"/>
      <c r="EYX584" s="141"/>
      <c r="EYY584" s="141"/>
      <c r="EYZ584" s="141"/>
      <c r="EZA584" s="141"/>
      <c r="EZB584" s="141"/>
      <c r="EZC584" s="141"/>
      <c r="EZD584" s="141"/>
      <c r="EZE584" s="141"/>
      <c r="EZF584" s="141"/>
      <c r="EZG584" s="141"/>
      <c r="EZH584" s="141"/>
      <c r="EZI584" s="141"/>
      <c r="EZJ584" s="141"/>
      <c r="EZK584" s="141"/>
      <c r="EZL584" s="141"/>
      <c r="EZM584" s="141"/>
      <c r="EZN584" s="141"/>
      <c r="EZO584" s="141"/>
      <c r="EZP584" s="141"/>
      <c r="EZQ584" s="141"/>
      <c r="EZR584" s="141"/>
      <c r="EZS584" s="141"/>
      <c r="EZT584" s="141"/>
      <c r="EZU584" s="141"/>
      <c r="EZV584" s="141"/>
      <c r="EZW584" s="141"/>
      <c r="EZX584" s="141"/>
      <c r="EZY584" s="141"/>
      <c r="EZZ584" s="141"/>
      <c r="FAA584" s="141"/>
      <c r="FAB584" s="141"/>
      <c r="FAC584" s="141"/>
      <c r="FAD584" s="141"/>
      <c r="FAE584" s="141"/>
      <c r="FAF584" s="141"/>
      <c r="FAG584" s="141"/>
      <c r="FAH584" s="141"/>
      <c r="FAI584" s="141"/>
      <c r="FAJ584" s="141"/>
      <c r="FAK584" s="141"/>
      <c r="FAL584" s="141"/>
      <c r="FAM584" s="141"/>
      <c r="FAN584" s="141"/>
      <c r="FAO584" s="141"/>
      <c r="FAP584" s="141"/>
      <c r="FAQ584" s="141"/>
      <c r="FAR584" s="141"/>
      <c r="FAS584" s="141"/>
      <c r="FAT584" s="141"/>
      <c r="FAU584" s="141"/>
      <c r="FAV584" s="141"/>
      <c r="FAW584" s="141"/>
      <c r="FAX584" s="141"/>
      <c r="FAY584" s="141"/>
      <c r="FAZ584" s="141"/>
      <c r="FBA584" s="141"/>
      <c r="FBB584" s="141"/>
      <c r="FBC584" s="141"/>
      <c r="FBD584" s="141"/>
      <c r="FBE584" s="141"/>
      <c r="FBF584" s="141"/>
      <c r="FBG584" s="141"/>
      <c r="FBH584" s="141"/>
      <c r="FBI584" s="141"/>
      <c r="FBJ584" s="141"/>
      <c r="FBK584" s="141"/>
      <c r="FBL584" s="141"/>
      <c r="FBM584" s="141"/>
      <c r="FBN584" s="141"/>
      <c r="FBO584" s="141"/>
      <c r="FBP584" s="141"/>
      <c r="FBQ584" s="141"/>
      <c r="FBR584" s="141"/>
      <c r="FBS584" s="141"/>
      <c r="FBT584" s="141"/>
      <c r="FBU584" s="141"/>
      <c r="FBV584" s="141"/>
      <c r="FBW584" s="141"/>
      <c r="FBX584" s="141"/>
      <c r="FBY584" s="141"/>
      <c r="FBZ584" s="141"/>
      <c r="FCA584" s="141"/>
      <c r="FCB584" s="141"/>
      <c r="FCC584" s="141"/>
      <c r="FCD584" s="141"/>
      <c r="FCE584" s="141"/>
      <c r="FCF584" s="141"/>
      <c r="FCG584" s="141"/>
      <c r="FCH584" s="141"/>
      <c r="FCI584" s="141"/>
      <c r="FCJ584" s="141"/>
      <c r="FCK584" s="141"/>
      <c r="FCL584" s="141"/>
      <c r="FCM584" s="141"/>
      <c r="FCN584" s="141"/>
      <c r="FCO584" s="141"/>
      <c r="FCP584" s="141"/>
      <c r="FCQ584" s="141"/>
      <c r="FCR584" s="141"/>
      <c r="FCS584" s="141"/>
      <c r="FCT584" s="141"/>
      <c r="FCU584" s="141"/>
      <c r="FCV584" s="141"/>
      <c r="FCW584" s="141"/>
      <c r="FCX584" s="141"/>
      <c r="FCY584" s="141"/>
      <c r="FCZ584" s="141"/>
      <c r="FDA584" s="141"/>
      <c r="FDB584" s="141"/>
      <c r="FDC584" s="141"/>
      <c r="FDD584" s="141"/>
      <c r="FDE584" s="141"/>
      <c r="FDF584" s="141"/>
      <c r="FDG584" s="141"/>
      <c r="FDH584" s="141"/>
      <c r="FDI584" s="141"/>
      <c r="FDJ584" s="141"/>
      <c r="FDK584" s="141"/>
      <c r="FDL584" s="141"/>
      <c r="FDM584" s="141"/>
      <c r="FDN584" s="141"/>
      <c r="FDO584" s="141"/>
      <c r="FDP584" s="141"/>
      <c r="FDQ584" s="141"/>
      <c r="FDR584" s="141"/>
      <c r="FDS584" s="141"/>
      <c r="FDT584" s="141"/>
      <c r="FDU584" s="141"/>
      <c r="FDV584" s="141"/>
      <c r="FDW584" s="141"/>
      <c r="FDX584" s="141"/>
      <c r="FDY584" s="141"/>
      <c r="FDZ584" s="141"/>
      <c r="FEA584" s="141"/>
      <c r="FEB584" s="141"/>
      <c r="FEC584" s="141"/>
      <c r="FED584" s="141"/>
      <c r="FEE584" s="141"/>
      <c r="FEF584" s="141"/>
      <c r="FEG584" s="141"/>
      <c r="FEH584" s="141"/>
      <c r="FEI584" s="141"/>
      <c r="FEJ584" s="141"/>
      <c r="FEK584" s="141"/>
      <c r="FEL584" s="141"/>
      <c r="FEM584" s="141"/>
      <c r="FEN584" s="141"/>
      <c r="FEO584" s="141"/>
      <c r="FEP584" s="141"/>
      <c r="FEQ584" s="141"/>
      <c r="FER584" s="141"/>
      <c r="FES584" s="141"/>
      <c r="FET584" s="141"/>
      <c r="FEU584" s="141"/>
      <c r="FEV584" s="141"/>
      <c r="FEW584" s="141"/>
      <c r="FEX584" s="141"/>
      <c r="FEY584" s="141"/>
      <c r="FEZ584" s="141"/>
      <c r="FFA584" s="141"/>
      <c r="FFB584" s="141"/>
      <c r="FFC584" s="141"/>
      <c r="FFD584" s="141"/>
      <c r="FFE584" s="141"/>
      <c r="FFF584" s="141"/>
      <c r="FFG584" s="141"/>
      <c r="FFH584" s="141"/>
      <c r="FFI584" s="141"/>
      <c r="FFJ584" s="141"/>
      <c r="FFK584" s="141"/>
      <c r="FFL584" s="141"/>
      <c r="FFM584" s="141"/>
      <c r="FFN584" s="141"/>
      <c r="FFO584" s="141"/>
      <c r="FFP584" s="141"/>
      <c r="FFQ584" s="141"/>
      <c r="FFR584" s="141"/>
      <c r="FFS584" s="141"/>
      <c r="FFT584" s="141"/>
      <c r="FFU584" s="141"/>
      <c r="FFV584" s="141"/>
      <c r="FFW584" s="141"/>
      <c r="FFX584" s="141"/>
      <c r="FFY584" s="141"/>
      <c r="FFZ584" s="141"/>
      <c r="FGA584" s="141"/>
      <c r="FGB584" s="141"/>
      <c r="FGC584" s="141"/>
      <c r="FGD584" s="141"/>
      <c r="FGE584" s="141"/>
      <c r="FGF584" s="141"/>
      <c r="FGG584" s="141"/>
      <c r="FGH584" s="141"/>
      <c r="FGI584" s="141"/>
      <c r="FGJ584" s="141"/>
      <c r="FGK584" s="141"/>
      <c r="FGL584" s="141"/>
      <c r="FGM584" s="141"/>
      <c r="FGN584" s="141"/>
      <c r="FGO584" s="141"/>
      <c r="FGP584" s="141"/>
      <c r="FGQ584" s="141"/>
      <c r="FGR584" s="141"/>
      <c r="FGS584" s="141"/>
      <c r="FGT584" s="141"/>
      <c r="FGU584" s="141"/>
      <c r="FGV584" s="141"/>
      <c r="FGW584" s="141"/>
      <c r="FGX584" s="141"/>
      <c r="FGY584" s="141"/>
      <c r="FGZ584" s="141"/>
      <c r="FHA584" s="141"/>
      <c r="FHB584" s="141"/>
      <c r="FHC584" s="141"/>
      <c r="FHD584" s="141"/>
      <c r="FHE584" s="141"/>
      <c r="FHF584" s="141"/>
      <c r="FHG584" s="141"/>
      <c r="FHH584" s="141"/>
      <c r="FHI584" s="141"/>
      <c r="FHJ584" s="141"/>
      <c r="FHK584" s="141"/>
      <c r="FHL584" s="141"/>
      <c r="FHM584" s="141"/>
      <c r="FHN584" s="141"/>
      <c r="FHO584" s="141"/>
      <c r="FHP584" s="141"/>
      <c r="FHQ584" s="141"/>
      <c r="FHR584" s="141"/>
      <c r="FHS584" s="141"/>
      <c r="FHT584" s="141"/>
      <c r="FHU584" s="141"/>
      <c r="FHV584" s="141"/>
      <c r="FHW584" s="141"/>
      <c r="FHX584" s="141"/>
      <c r="FHY584" s="141"/>
      <c r="FHZ584" s="141"/>
      <c r="FIA584" s="141"/>
      <c r="FIB584" s="141"/>
      <c r="FIC584" s="141"/>
      <c r="FID584" s="141"/>
      <c r="FIE584" s="141"/>
      <c r="FIF584" s="141"/>
      <c r="FIG584" s="141"/>
      <c r="FIH584" s="141"/>
      <c r="FII584" s="141"/>
      <c r="FIJ584" s="141"/>
      <c r="FIK584" s="141"/>
      <c r="FIL584" s="141"/>
      <c r="FIM584" s="141"/>
      <c r="FIN584" s="141"/>
      <c r="FIO584" s="141"/>
      <c r="FIP584" s="141"/>
      <c r="FIQ584" s="141"/>
      <c r="FIR584" s="141"/>
      <c r="FIS584" s="141"/>
      <c r="FIT584" s="141"/>
      <c r="FIU584" s="141"/>
      <c r="FIV584" s="141"/>
      <c r="FIW584" s="141"/>
      <c r="FIX584" s="141"/>
      <c r="FIY584" s="141"/>
      <c r="FIZ584" s="141"/>
      <c r="FJA584" s="141"/>
      <c r="FJB584" s="141"/>
      <c r="FJC584" s="141"/>
      <c r="FJD584" s="141"/>
      <c r="FJE584" s="141"/>
      <c r="FJF584" s="141"/>
      <c r="FJG584" s="141"/>
      <c r="FJH584" s="141"/>
      <c r="FJI584" s="141"/>
      <c r="FJJ584" s="141"/>
      <c r="FJK584" s="141"/>
      <c r="FJL584" s="141"/>
      <c r="FJM584" s="141"/>
      <c r="FJN584" s="141"/>
      <c r="FJO584" s="141"/>
      <c r="FJP584" s="141"/>
      <c r="FJQ584" s="141"/>
      <c r="FJR584" s="141"/>
      <c r="FJS584" s="141"/>
      <c r="FJT584" s="141"/>
      <c r="FJU584" s="141"/>
      <c r="FJV584" s="141"/>
      <c r="FJW584" s="141"/>
      <c r="FJX584" s="141"/>
      <c r="FJY584" s="141"/>
      <c r="FJZ584" s="141"/>
      <c r="FKA584" s="141"/>
      <c r="FKB584" s="141"/>
      <c r="FKC584" s="141"/>
      <c r="FKD584" s="141"/>
      <c r="FKE584" s="141"/>
      <c r="FKF584" s="141"/>
      <c r="FKG584" s="141"/>
      <c r="FKH584" s="141"/>
      <c r="FKI584" s="141"/>
      <c r="FKJ584" s="141"/>
      <c r="FKK584" s="141"/>
      <c r="FKL584" s="141"/>
      <c r="FKM584" s="141"/>
      <c r="FKN584" s="141"/>
      <c r="FKO584" s="141"/>
      <c r="FKP584" s="141"/>
      <c r="FKQ584" s="141"/>
      <c r="FKR584" s="141"/>
      <c r="FKS584" s="141"/>
      <c r="FKT584" s="141"/>
      <c r="FKU584" s="141"/>
      <c r="FKV584" s="141"/>
      <c r="FKW584" s="141"/>
      <c r="FKX584" s="141"/>
      <c r="FKY584" s="141"/>
      <c r="FKZ584" s="141"/>
      <c r="FLA584" s="141"/>
      <c r="FLB584" s="141"/>
      <c r="FLC584" s="141"/>
      <c r="FLD584" s="141"/>
      <c r="FLE584" s="141"/>
      <c r="FLF584" s="141"/>
      <c r="FLG584" s="141"/>
      <c r="FLH584" s="141"/>
      <c r="FLI584" s="141"/>
      <c r="FLJ584" s="141"/>
      <c r="FLK584" s="141"/>
      <c r="FLL584" s="141"/>
      <c r="FLM584" s="141"/>
      <c r="FLN584" s="141"/>
      <c r="FLO584" s="141"/>
      <c r="FLP584" s="141"/>
      <c r="FLQ584" s="141"/>
      <c r="FLR584" s="141"/>
      <c r="FLS584" s="141"/>
      <c r="FLT584" s="141"/>
      <c r="FLU584" s="141"/>
      <c r="FLV584" s="141"/>
      <c r="FLW584" s="141"/>
      <c r="FLX584" s="141"/>
      <c r="FLY584" s="141"/>
      <c r="FLZ584" s="141"/>
      <c r="FMA584" s="141"/>
      <c r="FMB584" s="141"/>
      <c r="FMC584" s="141"/>
      <c r="FMD584" s="141"/>
      <c r="FME584" s="141"/>
      <c r="FMF584" s="141"/>
      <c r="FMG584" s="141"/>
      <c r="FMH584" s="141"/>
      <c r="FMI584" s="141"/>
      <c r="FMJ584" s="141"/>
      <c r="FMK584" s="141"/>
      <c r="FML584" s="141"/>
      <c r="FMM584" s="141"/>
      <c r="FMN584" s="141"/>
      <c r="FMO584" s="141"/>
      <c r="FMP584" s="141"/>
      <c r="FMQ584" s="141"/>
      <c r="FMR584" s="141"/>
      <c r="FMS584" s="141"/>
      <c r="FMT584" s="141"/>
      <c r="FMU584" s="141"/>
      <c r="FMV584" s="141"/>
      <c r="FMW584" s="141"/>
      <c r="FMX584" s="141"/>
      <c r="FMY584" s="141"/>
      <c r="FMZ584" s="141"/>
      <c r="FNA584" s="141"/>
      <c r="FNB584" s="141"/>
      <c r="FNC584" s="141"/>
      <c r="FND584" s="141"/>
      <c r="FNE584" s="141"/>
      <c r="FNF584" s="141"/>
      <c r="FNG584" s="141"/>
      <c r="FNH584" s="141"/>
      <c r="FNI584" s="141"/>
      <c r="FNJ584" s="141"/>
      <c r="FNK584" s="141"/>
      <c r="FNL584" s="141"/>
      <c r="FNM584" s="141"/>
      <c r="FNN584" s="141"/>
      <c r="FNO584" s="141"/>
      <c r="FNP584" s="141"/>
      <c r="FNQ584" s="141"/>
      <c r="FNR584" s="141"/>
      <c r="FNS584" s="141"/>
      <c r="FNT584" s="141"/>
      <c r="FNU584" s="141"/>
      <c r="FNV584" s="141"/>
      <c r="FNW584" s="141"/>
      <c r="FNX584" s="141"/>
      <c r="FNY584" s="141"/>
      <c r="FNZ584" s="141"/>
      <c r="FOA584" s="141"/>
      <c r="FOB584" s="141"/>
      <c r="FOC584" s="141"/>
      <c r="FOD584" s="141"/>
      <c r="FOE584" s="141"/>
      <c r="FOF584" s="141"/>
      <c r="FOG584" s="141"/>
      <c r="FOH584" s="141"/>
      <c r="FOI584" s="141"/>
      <c r="FOJ584" s="141"/>
      <c r="FOK584" s="141"/>
      <c r="FOL584" s="141"/>
      <c r="FOM584" s="141"/>
      <c r="FON584" s="141"/>
      <c r="FOO584" s="141"/>
      <c r="FOP584" s="141"/>
      <c r="FOQ584" s="141"/>
      <c r="FOR584" s="141"/>
      <c r="FOS584" s="141"/>
      <c r="FOT584" s="141"/>
      <c r="FOU584" s="141"/>
      <c r="FOV584" s="141"/>
      <c r="FOW584" s="141"/>
      <c r="FOX584" s="141"/>
      <c r="FOY584" s="141"/>
      <c r="FOZ584" s="141"/>
      <c r="FPA584" s="141"/>
      <c r="FPB584" s="141"/>
      <c r="FPC584" s="141"/>
      <c r="FPD584" s="141"/>
      <c r="FPE584" s="141"/>
      <c r="FPF584" s="141"/>
      <c r="FPG584" s="141"/>
      <c r="FPH584" s="141"/>
      <c r="FPI584" s="141"/>
      <c r="FPJ584" s="141"/>
      <c r="FPK584" s="141"/>
      <c r="FPL584" s="141"/>
      <c r="FPM584" s="141"/>
      <c r="FPN584" s="141"/>
      <c r="FPO584" s="141"/>
      <c r="FPP584" s="141"/>
      <c r="FPQ584" s="141"/>
      <c r="FPR584" s="141"/>
      <c r="FPS584" s="141"/>
      <c r="FPT584" s="141"/>
      <c r="FPU584" s="141"/>
      <c r="FPV584" s="141"/>
      <c r="FPW584" s="141"/>
      <c r="FPX584" s="141"/>
      <c r="FPY584" s="141"/>
      <c r="FPZ584" s="141"/>
      <c r="FQA584" s="141"/>
      <c r="FQB584" s="141"/>
      <c r="FQC584" s="141"/>
      <c r="FQD584" s="141"/>
      <c r="FQE584" s="141"/>
      <c r="FQF584" s="141"/>
      <c r="FQG584" s="141"/>
      <c r="FQH584" s="141"/>
      <c r="FQI584" s="141"/>
      <c r="FQJ584" s="141"/>
      <c r="FQK584" s="141"/>
      <c r="FQL584" s="141"/>
      <c r="FQM584" s="141"/>
      <c r="FQN584" s="141"/>
      <c r="FQO584" s="141"/>
      <c r="FQP584" s="141"/>
      <c r="FQQ584" s="141"/>
      <c r="FQR584" s="141"/>
      <c r="FQS584" s="141"/>
      <c r="FQT584" s="141"/>
      <c r="FQU584" s="141"/>
      <c r="FQV584" s="141"/>
      <c r="FQW584" s="141"/>
      <c r="FQX584" s="141"/>
      <c r="FQY584" s="141"/>
      <c r="FQZ584" s="141"/>
      <c r="FRA584" s="141"/>
      <c r="FRB584" s="141"/>
      <c r="FRC584" s="141"/>
      <c r="FRD584" s="141"/>
      <c r="FRE584" s="141"/>
      <c r="FRF584" s="141"/>
      <c r="FRG584" s="141"/>
      <c r="FRH584" s="141"/>
      <c r="FRI584" s="141"/>
      <c r="FRJ584" s="141"/>
      <c r="FRK584" s="141"/>
      <c r="FRL584" s="141"/>
      <c r="FRM584" s="141"/>
      <c r="FRN584" s="141"/>
      <c r="FRO584" s="141"/>
      <c r="FRP584" s="141"/>
      <c r="FRQ584" s="141"/>
      <c r="FRR584" s="141"/>
      <c r="FRS584" s="141"/>
      <c r="FRT584" s="141"/>
      <c r="FRU584" s="141"/>
      <c r="FRV584" s="141"/>
      <c r="FRW584" s="141"/>
      <c r="FRX584" s="141"/>
      <c r="FRY584" s="141"/>
      <c r="FRZ584" s="141"/>
      <c r="FSA584" s="141"/>
      <c r="FSB584" s="141"/>
      <c r="FSC584" s="141"/>
      <c r="FSD584" s="141"/>
      <c r="FSE584" s="141"/>
      <c r="FSF584" s="141"/>
      <c r="FSG584" s="141"/>
      <c r="FSH584" s="141"/>
      <c r="FSI584" s="141"/>
      <c r="FSJ584" s="141"/>
      <c r="FSK584" s="141"/>
      <c r="FSL584" s="141"/>
      <c r="FSM584" s="141"/>
      <c r="FSN584" s="141"/>
      <c r="FSO584" s="141"/>
      <c r="FSP584" s="141"/>
      <c r="FSQ584" s="141"/>
      <c r="FSR584" s="141"/>
      <c r="FSS584" s="141"/>
      <c r="FST584" s="141"/>
      <c r="FSU584" s="141"/>
      <c r="FSV584" s="141"/>
      <c r="FSW584" s="141"/>
      <c r="FSX584" s="141"/>
      <c r="FSY584" s="141"/>
      <c r="FSZ584" s="141"/>
      <c r="FTA584" s="141"/>
      <c r="FTB584" s="141"/>
      <c r="FTC584" s="141"/>
      <c r="FTD584" s="141"/>
      <c r="FTE584" s="141"/>
      <c r="FTF584" s="141"/>
      <c r="FTG584" s="141"/>
      <c r="FTH584" s="141"/>
      <c r="FTI584" s="141"/>
      <c r="FTJ584" s="141"/>
      <c r="FTK584" s="141"/>
      <c r="FTL584" s="141"/>
      <c r="FTM584" s="141"/>
      <c r="FTN584" s="141"/>
      <c r="FTO584" s="141"/>
      <c r="FTP584" s="141"/>
      <c r="FTQ584" s="141"/>
      <c r="FTR584" s="141"/>
      <c r="FTS584" s="141"/>
      <c r="FTT584" s="141"/>
      <c r="FTU584" s="141"/>
      <c r="FTV584" s="141"/>
      <c r="FTW584" s="141"/>
      <c r="FTX584" s="141"/>
      <c r="FTY584" s="141"/>
      <c r="FTZ584" s="141"/>
      <c r="FUA584" s="141"/>
      <c r="FUB584" s="141"/>
      <c r="FUC584" s="141"/>
      <c r="FUD584" s="141"/>
      <c r="FUE584" s="141"/>
      <c r="FUF584" s="141"/>
      <c r="FUG584" s="141"/>
      <c r="FUH584" s="141"/>
      <c r="FUI584" s="141"/>
      <c r="FUJ584" s="141"/>
      <c r="FUK584" s="141"/>
      <c r="FUL584" s="141"/>
      <c r="FUM584" s="141"/>
      <c r="FUN584" s="141"/>
      <c r="FUO584" s="141"/>
      <c r="FUP584" s="141"/>
      <c r="FUQ584" s="141"/>
      <c r="FUR584" s="141"/>
      <c r="FUS584" s="141"/>
      <c r="FUT584" s="141"/>
      <c r="FUU584" s="141"/>
      <c r="FUV584" s="141"/>
      <c r="FUW584" s="141"/>
      <c r="FUX584" s="141"/>
      <c r="FUY584" s="141"/>
      <c r="FUZ584" s="141"/>
      <c r="FVA584" s="141"/>
      <c r="FVB584" s="141"/>
      <c r="FVC584" s="141"/>
      <c r="FVD584" s="141"/>
      <c r="FVE584" s="141"/>
      <c r="FVF584" s="141"/>
      <c r="FVG584" s="141"/>
      <c r="FVH584" s="141"/>
      <c r="FVI584" s="141"/>
      <c r="FVJ584" s="141"/>
      <c r="FVK584" s="141"/>
      <c r="FVL584" s="141"/>
      <c r="FVM584" s="141"/>
      <c r="FVN584" s="141"/>
      <c r="FVO584" s="141"/>
      <c r="FVP584" s="141"/>
      <c r="FVQ584" s="141"/>
      <c r="FVR584" s="141"/>
      <c r="FVS584" s="141"/>
      <c r="FVT584" s="141"/>
      <c r="FVU584" s="141"/>
      <c r="FVV584" s="141"/>
      <c r="FVW584" s="141"/>
      <c r="FVX584" s="141"/>
      <c r="FVY584" s="141"/>
      <c r="FVZ584" s="141"/>
      <c r="FWA584" s="141"/>
      <c r="FWB584" s="141"/>
      <c r="FWC584" s="141"/>
      <c r="FWD584" s="141"/>
      <c r="FWE584" s="141"/>
      <c r="FWF584" s="141"/>
      <c r="FWG584" s="141"/>
      <c r="FWH584" s="141"/>
      <c r="FWI584" s="141"/>
      <c r="FWJ584" s="141"/>
      <c r="FWK584" s="141"/>
      <c r="FWL584" s="141"/>
      <c r="FWM584" s="141"/>
      <c r="FWN584" s="141"/>
      <c r="FWO584" s="141"/>
      <c r="FWP584" s="141"/>
      <c r="FWQ584" s="141"/>
      <c r="FWR584" s="141"/>
      <c r="FWS584" s="141"/>
      <c r="FWT584" s="141"/>
      <c r="FWU584" s="141"/>
      <c r="FWV584" s="141"/>
      <c r="FWW584" s="141"/>
      <c r="FWX584" s="141"/>
      <c r="FWY584" s="141"/>
      <c r="FWZ584" s="141"/>
      <c r="FXA584" s="141"/>
      <c r="FXB584" s="141"/>
      <c r="FXC584" s="141"/>
      <c r="FXD584" s="141"/>
      <c r="FXE584" s="141"/>
      <c r="FXF584" s="141"/>
      <c r="FXG584" s="141"/>
      <c r="FXH584" s="141"/>
      <c r="FXI584" s="141"/>
      <c r="FXJ584" s="141"/>
      <c r="FXK584" s="141"/>
      <c r="FXL584" s="141"/>
      <c r="FXM584" s="141"/>
      <c r="FXN584" s="141"/>
      <c r="FXO584" s="141"/>
      <c r="FXP584" s="141"/>
      <c r="FXQ584" s="141"/>
      <c r="FXR584" s="141"/>
      <c r="FXS584" s="141"/>
      <c r="FXT584" s="141"/>
      <c r="FXU584" s="141"/>
      <c r="FXV584" s="141"/>
      <c r="FXW584" s="141"/>
      <c r="FXX584" s="141"/>
      <c r="FXY584" s="141"/>
      <c r="FXZ584" s="141"/>
      <c r="FYA584" s="141"/>
      <c r="FYB584" s="141"/>
      <c r="FYC584" s="141"/>
      <c r="FYD584" s="141"/>
      <c r="FYE584" s="141"/>
      <c r="FYF584" s="141"/>
      <c r="FYG584" s="141"/>
      <c r="FYH584" s="141"/>
      <c r="FYI584" s="141"/>
      <c r="FYJ584" s="141"/>
      <c r="FYK584" s="141"/>
      <c r="FYL584" s="141"/>
      <c r="FYM584" s="141"/>
      <c r="FYN584" s="141"/>
      <c r="FYO584" s="141"/>
      <c r="FYP584" s="141"/>
      <c r="FYQ584" s="141"/>
      <c r="FYR584" s="141"/>
      <c r="FYS584" s="141"/>
      <c r="FYT584" s="141"/>
      <c r="FYU584" s="141"/>
      <c r="FYV584" s="141"/>
      <c r="FYW584" s="141"/>
      <c r="FYX584" s="141"/>
      <c r="FYY584" s="141"/>
      <c r="FYZ584" s="141"/>
      <c r="FZA584" s="141"/>
      <c r="FZB584" s="141"/>
      <c r="FZC584" s="141"/>
      <c r="FZD584" s="141"/>
      <c r="FZE584" s="141"/>
      <c r="FZF584" s="141"/>
      <c r="FZG584" s="141"/>
      <c r="FZH584" s="141"/>
      <c r="FZI584" s="141"/>
      <c r="FZJ584" s="141"/>
      <c r="FZK584" s="141"/>
      <c r="FZL584" s="141"/>
      <c r="FZM584" s="141"/>
      <c r="FZN584" s="141"/>
      <c r="FZO584" s="141"/>
      <c r="FZP584" s="141"/>
      <c r="FZQ584" s="141"/>
      <c r="FZR584" s="141"/>
      <c r="FZS584" s="141"/>
      <c r="FZT584" s="141"/>
      <c r="FZU584" s="141"/>
      <c r="FZV584" s="141"/>
      <c r="FZW584" s="141"/>
      <c r="FZX584" s="141"/>
      <c r="FZY584" s="141"/>
      <c r="FZZ584" s="141"/>
      <c r="GAA584" s="141"/>
      <c r="GAB584" s="141"/>
      <c r="GAC584" s="141"/>
      <c r="GAD584" s="141"/>
      <c r="GAE584" s="141"/>
      <c r="GAF584" s="141"/>
      <c r="GAG584" s="141"/>
      <c r="GAH584" s="141"/>
      <c r="GAI584" s="141"/>
      <c r="GAJ584" s="141"/>
      <c r="GAK584" s="141"/>
      <c r="GAL584" s="141"/>
      <c r="GAM584" s="141"/>
      <c r="GAN584" s="141"/>
      <c r="GAO584" s="141"/>
      <c r="GAP584" s="141"/>
      <c r="GAQ584" s="141"/>
      <c r="GAR584" s="141"/>
      <c r="GAS584" s="141"/>
      <c r="GAT584" s="141"/>
      <c r="GAU584" s="141"/>
      <c r="GAV584" s="141"/>
      <c r="GAW584" s="141"/>
      <c r="GAX584" s="141"/>
      <c r="GAY584" s="141"/>
      <c r="GAZ584" s="141"/>
      <c r="GBA584" s="141"/>
      <c r="GBB584" s="141"/>
      <c r="GBC584" s="141"/>
      <c r="GBD584" s="141"/>
      <c r="GBE584" s="141"/>
      <c r="GBF584" s="141"/>
      <c r="GBG584" s="141"/>
      <c r="GBH584" s="141"/>
      <c r="GBI584" s="141"/>
      <c r="GBJ584" s="141"/>
      <c r="GBK584" s="141"/>
      <c r="GBL584" s="141"/>
      <c r="GBM584" s="141"/>
      <c r="GBN584" s="141"/>
      <c r="GBO584" s="141"/>
      <c r="GBP584" s="141"/>
      <c r="GBQ584" s="141"/>
      <c r="GBR584" s="141"/>
      <c r="GBS584" s="141"/>
      <c r="GBT584" s="141"/>
      <c r="GBU584" s="141"/>
      <c r="GBV584" s="141"/>
      <c r="GBW584" s="141"/>
      <c r="GBX584" s="141"/>
      <c r="GBY584" s="141"/>
      <c r="GBZ584" s="141"/>
      <c r="GCA584" s="141"/>
      <c r="GCB584" s="141"/>
      <c r="GCC584" s="141"/>
      <c r="GCD584" s="141"/>
      <c r="GCE584" s="141"/>
      <c r="GCF584" s="141"/>
      <c r="GCG584" s="141"/>
      <c r="GCH584" s="141"/>
      <c r="GCI584" s="141"/>
      <c r="GCJ584" s="141"/>
      <c r="GCK584" s="141"/>
      <c r="GCL584" s="141"/>
      <c r="GCM584" s="141"/>
      <c r="GCN584" s="141"/>
      <c r="GCO584" s="141"/>
      <c r="GCP584" s="141"/>
      <c r="GCQ584" s="141"/>
      <c r="GCR584" s="141"/>
      <c r="GCS584" s="141"/>
      <c r="GCT584" s="141"/>
      <c r="GCU584" s="141"/>
      <c r="GCV584" s="141"/>
      <c r="GCW584" s="141"/>
      <c r="GCX584" s="141"/>
      <c r="GCY584" s="141"/>
      <c r="GCZ584" s="141"/>
      <c r="GDA584" s="141"/>
      <c r="GDB584" s="141"/>
      <c r="GDC584" s="141"/>
      <c r="GDD584" s="141"/>
      <c r="GDE584" s="141"/>
      <c r="GDF584" s="141"/>
      <c r="GDG584" s="141"/>
      <c r="GDH584" s="141"/>
      <c r="GDI584" s="141"/>
      <c r="GDJ584" s="141"/>
      <c r="GDK584" s="141"/>
      <c r="GDL584" s="141"/>
      <c r="GDM584" s="141"/>
      <c r="GDN584" s="141"/>
      <c r="GDO584" s="141"/>
      <c r="GDP584" s="141"/>
      <c r="GDQ584" s="141"/>
      <c r="GDR584" s="141"/>
      <c r="GDS584" s="141"/>
      <c r="GDT584" s="141"/>
      <c r="GDU584" s="141"/>
      <c r="GDV584" s="141"/>
      <c r="GDW584" s="141"/>
      <c r="GDX584" s="141"/>
      <c r="GDY584" s="141"/>
      <c r="GDZ584" s="141"/>
      <c r="GEA584" s="141"/>
      <c r="GEB584" s="141"/>
      <c r="GEC584" s="141"/>
      <c r="GED584" s="141"/>
      <c r="GEE584" s="141"/>
      <c r="GEF584" s="141"/>
      <c r="GEG584" s="141"/>
      <c r="GEH584" s="141"/>
      <c r="GEI584" s="141"/>
      <c r="GEJ584" s="141"/>
      <c r="GEK584" s="141"/>
      <c r="GEL584" s="141"/>
      <c r="GEM584" s="141"/>
      <c r="GEN584" s="141"/>
      <c r="GEO584" s="141"/>
      <c r="GEP584" s="141"/>
      <c r="GEQ584" s="141"/>
      <c r="GER584" s="141"/>
      <c r="GES584" s="141"/>
      <c r="GET584" s="141"/>
      <c r="GEU584" s="141"/>
      <c r="GEV584" s="141"/>
      <c r="GEW584" s="141"/>
      <c r="GEX584" s="141"/>
      <c r="GEY584" s="141"/>
      <c r="GEZ584" s="141"/>
      <c r="GFA584" s="141"/>
      <c r="GFB584" s="141"/>
      <c r="GFC584" s="141"/>
      <c r="GFD584" s="141"/>
      <c r="GFE584" s="141"/>
      <c r="GFF584" s="141"/>
      <c r="GFG584" s="141"/>
      <c r="GFH584" s="141"/>
      <c r="GFI584" s="141"/>
      <c r="GFJ584" s="141"/>
      <c r="GFK584" s="141"/>
      <c r="GFL584" s="141"/>
      <c r="GFM584" s="141"/>
      <c r="GFN584" s="141"/>
      <c r="GFO584" s="141"/>
      <c r="GFP584" s="141"/>
      <c r="GFQ584" s="141"/>
      <c r="GFR584" s="141"/>
      <c r="GFS584" s="141"/>
      <c r="GFT584" s="141"/>
      <c r="GFU584" s="141"/>
      <c r="GFV584" s="141"/>
      <c r="GFW584" s="141"/>
      <c r="GFX584" s="141"/>
      <c r="GFY584" s="141"/>
      <c r="GFZ584" s="141"/>
      <c r="GGA584" s="141"/>
      <c r="GGB584" s="141"/>
      <c r="GGC584" s="141"/>
      <c r="GGD584" s="141"/>
      <c r="GGE584" s="141"/>
      <c r="GGF584" s="141"/>
      <c r="GGG584" s="141"/>
      <c r="GGH584" s="141"/>
      <c r="GGI584" s="141"/>
      <c r="GGJ584" s="141"/>
      <c r="GGK584" s="141"/>
      <c r="GGL584" s="141"/>
      <c r="GGM584" s="141"/>
      <c r="GGN584" s="141"/>
      <c r="GGO584" s="141"/>
      <c r="GGP584" s="141"/>
      <c r="GGQ584" s="141"/>
      <c r="GGR584" s="141"/>
      <c r="GGS584" s="141"/>
      <c r="GGT584" s="141"/>
      <c r="GGU584" s="141"/>
      <c r="GGV584" s="141"/>
      <c r="GGW584" s="141"/>
      <c r="GGX584" s="141"/>
      <c r="GGY584" s="141"/>
      <c r="GGZ584" s="141"/>
      <c r="GHA584" s="141"/>
      <c r="GHB584" s="141"/>
      <c r="GHC584" s="141"/>
      <c r="GHD584" s="141"/>
      <c r="GHE584" s="141"/>
      <c r="GHF584" s="141"/>
      <c r="GHG584" s="141"/>
      <c r="GHH584" s="141"/>
      <c r="GHI584" s="141"/>
      <c r="GHJ584" s="141"/>
      <c r="GHK584" s="141"/>
      <c r="GHL584" s="141"/>
      <c r="GHM584" s="141"/>
      <c r="GHN584" s="141"/>
      <c r="GHO584" s="141"/>
      <c r="GHP584" s="141"/>
      <c r="GHQ584" s="141"/>
      <c r="GHR584" s="141"/>
      <c r="GHS584" s="141"/>
      <c r="GHT584" s="141"/>
      <c r="GHU584" s="141"/>
      <c r="GHV584" s="141"/>
      <c r="GHW584" s="141"/>
      <c r="GHX584" s="141"/>
      <c r="GHY584" s="141"/>
      <c r="GHZ584" s="141"/>
      <c r="GIA584" s="141"/>
      <c r="GIB584" s="141"/>
      <c r="GIC584" s="141"/>
      <c r="GID584" s="141"/>
      <c r="GIE584" s="141"/>
      <c r="GIF584" s="141"/>
      <c r="GIG584" s="141"/>
      <c r="GIH584" s="141"/>
      <c r="GII584" s="141"/>
      <c r="GIJ584" s="141"/>
      <c r="GIK584" s="141"/>
      <c r="GIL584" s="141"/>
      <c r="GIM584" s="141"/>
      <c r="GIN584" s="141"/>
      <c r="GIO584" s="141"/>
      <c r="GIP584" s="141"/>
      <c r="GIQ584" s="141"/>
      <c r="GIR584" s="141"/>
      <c r="GIS584" s="141"/>
      <c r="GIT584" s="141"/>
      <c r="GIU584" s="141"/>
      <c r="GIV584" s="141"/>
      <c r="GIW584" s="141"/>
      <c r="GIX584" s="141"/>
      <c r="GIY584" s="141"/>
      <c r="GIZ584" s="141"/>
      <c r="GJA584" s="141"/>
      <c r="GJB584" s="141"/>
      <c r="GJC584" s="141"/>
      <c r="GJD584" s="141"/>
      <c r="GJE584" s="141"/>
      <c r="GJF584" s="141"/>
      <c r="GJG584" s="141"/>
      <c r="GJH584" s="141"/>
      <c r="GJI584" s="141"/>
      <c r="GJJ584" s="141"/>
      <c r="GJK584" s="141"/>
      <c r="GJL584" s="141"/>
      <c r="GJM584" s="141"/>
      <c r="GJN584" s="141"/>
      <c r="GJO584" s="141"/>
      <c r="GJP584" s="141"/>
      <c r="GJQ584" s="141"/>
      <c r="GJR584" s="141"/>
      <c r="GJS584" s="141"/>
      <c r="GJT584" s="141"/>
      <c r="GJU584" s="141"/>
      <c r="GJV584" s="141"/>
      <c r="GJW584" s="141"/>
      <c r="GJX584" s="141"/>
      <c r="GJY584" s="141"/>
      <c r="GJZ584" s="141"/>
      <c r="GKA584" s="141"/>
      <c r="GKB584" s="141"/>
      <c r="GKC584" s="141"/>
      <c r="GKD584" s="141"/>
      <c r="GKE584" s="141"/>
      <c r="GKF584" s="141"/>
      <c r="GKG584" s="141"/>
      <c r="GKH584" s="141"/>
      <c r="GKI584" s="141"/>
      <c r="GKJ584" s="141"/>
      <c r="GKK584" s="141"/>
      <c r="GKL584" s="141"/>
      <c r="GKM584" s="141"/>
      <c r="GKN584" s="141"/>
      <c r="GKO584" s="141"/>
      <c r="GKP584" s="141"/>
      <c r="GKQ584" s="141"/>
      <c r="GKR584" s="141"/>
      <c r="GKS584" s="141"/>
      <c r="GKT584" s="141"/>
      <c r="GKU584" s="141"/>
      <c r="GKV584" s="141"/>
      <c r="GKW584" s="141"/>
      <c r="GKX584" s="141"/>
      <c r="GKY584" s="141"/>
      <c r="GKZ584" s="141"/>
      <c r="GLA584" s="141"/>
      <c r="GLB584" s="141"/>
      <c r="GLC584" s="141"/>
      <c r="GLD584" s="141"/>
      <c r="GLE584" s="141"/>
      <c r="GLF584" s="141"/>
      <c r="GLG584" s="141"/>
      <c r="GLH584" s="141"/>
      <c r="GLI584" s="141"/>
      <c r="GLJ584" s="141"/>
      <c r="GLK584" s="141"/>
      <c r="GLL584" s="141"/>
      <c r="GLM584" s="141"/>
      <c r="GLN584" s="141"/>
      <c r="GLO584" s="141"/>
      <c r="GLP584" s="141"/>
      <c r="GLQ584" s="141"/>
      <c r="GLR584" s="141"/>
      <c r="GLS584" s="141"/>
      <c r="GLT584" s="141"/>
      <c r="GLU584" s="141"/>
      <c r="GLV584" s="141"/>
      <c r="GLW584" s="141"/>
      <c r="GLX584" s="141"/>
      <c r="GLY584" s="141"/>
      <c r="GLZ584" s="141"/>
      <c r="GMA584" s="141"/>
      <c r="GMB584" s="141"/>
      <c r="GMC584" s="141"/>
      <c r="GMD584" s="141"/>
      <c r="GME584" s="141"/>
      <c r="GMF584" s="141"/>
      <c r="GMG584" s="141"/>
      <c r="GMH584" s="141"/>
      <c r="GMI584" s="141"/>
      <c r="GMJ584" s="141"/>
      <c r="GMK584" s="141"/>
      <c r="GML584" s="141"/>
      <c r="GMM584" s="141"/>
      <c r="GMN584" s="141"/>
      <c r="GMO584" s="141"/>
      <c r="GMP584" s="141"/>
      <c r="GMQ584" s="141"/>
      <c r="GMR584" s="141"/>
      <c r="GMS584" s="141"/>
      <c r="GMT584" s="141"/>
      <c r="GMU584" s="141"/>
      <c r="GMV584" s="141"/>
      <c r="GMW584" s="141"/>
      <c r="GMX584" s="141"/>
      <c r="GMY584" s="141"/>
      <c r="GMZ584" s="141"/>
      <c r="GNA584" s="141"/>
      <c r="GNB584" s="141"/>
      <c r="GNC584" s="141"/>
      <c r="GND584" s="141"/>
      <c r="GNE584" s="141"/>
      <c r="GNF584" s="141"/>
      <c r="GNG584" s="141"/>
      <c r="GNH584" s="141"/>
      <c r="GNI584" s="141"/>
      <c r="GNJ584" s="141"/>
      <c r="GNK584" s="141"/>
      <c r="GNL584" s="141"/>
      <c r="GNM584" s="141"/>
      <c r="GNN584" s="141"/>
      <c r="GNO584" s="141"/>
      <c r="GNP584" s="141"/>
      <c r="GNQ584" s="141"/>
      <c r="GNR584" s="141"/>
      <c r="GNS584" s="141"/>
      <c r="GNT584" s="141"/>
      <c r="GNU584" s="141"/>
      <c r="GNV584" s="141"/>
      <c r="GNW584" s="141"/>
      <c r="GNX584" s="141"/>
      <c r="GNY584" s="141"/>
      <c r="GNZ584" s="141"/>
      <c r="GOA584" s="141"/>
      <c r="GOB584" s="141"/>
      <c r="GOC584" s="141"/>
      <c r="GOD584" s="141"/>
      <c r="GOE584" s="141"/>
      <c r="GOF584" s="141"/>
      <c r="GOG584" s="141"/>
      <c r="GOH584" s="141"/>
      <c r="GOI584" s="141"/>
      <c r="GOJ584" s="141"/>
      <c r="GOK584" s="141"/>
      <c r="GOL584" s="141"/>
      <c r="GOM584" s="141"/>
      <c r="GON584" s="141"/>
      <c r="GOO584" s="141"/>
      <c r="GOP584" s="141"/>
      <c r="GOQ584" s="141"/>
      <c r="GOR584" s="141"/>
      <c r="GOS584" s="141"/>
      <c r="GOT584" s="141"/>
      <c r="GOU584" s="141"/>
      <c r="GOV584" s="141"/>
      <c r="GOW584" s="141"/>
      <c r="GOX584" s="141"/>
      <c r="GOY584" s="141"/>
      <c r="GOZ584" s="141"/>
      <c r="GPA584" s="141"/>
      <c r="GPB584" s="141"/>
      <c r="GPC584" s="141"/>
      <c r="GPD584" s="141"/>
      <c r="GPE584" s="141"/>
      <c r="GPF584" s="141"/>
      <c r="GPG584" s="141"/>
      <c r="GPH584" s="141"/>
      <c r="GPI584" s="141"/>
      <c r="GPJ584" s="141"/>
      <c r="GPK584" s="141"/>
      <c r="GPL584" s="141"/>
      <c r="GPM584" s="141"/>
      <c r="GPN584" s="141"/>
      <c r="GPO584" s="141"/>
      <c r="GPP584" s="141"/>
      <c r="GPQ584" s="141"/>
      <c r="GPR584" s="141"/>
      <c r="GPS584" s="141"/>
      <c r="GPT584" s="141"/>
      <c r="GPU584" s="141"/>
      <c r="GPV584" s="141"/>
      <c r="GPW584" s="141"/>
      <c r="GPX584" s="141"/>
      <c r="GPY584" s="141"/>
      <c r="GPZ584" s="141"/>
      <c r="GQA584" s="141"/>
      <c r="GQB584" s="141"/>
      <c r="GQC584" s="141"/>
      <c r="GQD584" s="141"/>
      <c r="GQE584" s="141"/>
      <c r="GQF584" s="141"/>
      <c r="GQG584" s="141"/>
      <c r="GQH584" s="141"/>
      <c r="GQI584" s="141"/>
      <c r="GQJ584" s="141"/>
      <c r="GQK584" s="141"/>
      <c r="GQL584" s="141"/>
      <c r="GQM584" s="141"/>
      <c r="GQN584" s="141"/>
      <c r="GQO584" s="141"/>
      <c r="GQP584" s="141"/>
      <c r="GQQ584" s="141"/>
      <c r="GQR584" s="141"/>
      <c r="GQS584" s="141"/>
      <c r="GQT584" s="141"/>
      <c r="GQU584" s="141"/>
      <c r="GQV584" s="141"/>
      <c r="GQW584" s="141"/>
      <c r="GQX584" s="141"/>
      <c r="GQY584" s="141"/>
      <c r="GQZ584" s="141"/>
      <c r="GRA584" s="141"/>
      <c r="GRB584" s="141"/>
      <c r="GRC584" s="141"/>
      <c r="GRD584" s="141"/>
      <c r="GRE584" s="141"/>
      <c r="GRF584" s="141"/>
      <c r="GRG584" s="141"/>
      <c r="GRH584" s="141"/>
      <c r="GRI584" s="141"/>
      <c r="GRJ584" s="141"/>
      <c r="GRK584" s="141"/>
      <c r="GRL584" s="141"/>
      <c r="GRM584" s="141"/>
      <c r="GRN584" s="141"/>
      <c r="GRO584" s="141"/>
      <c r="GRP584" s="141"/>
      <c r="GRQ584" s="141"/>
      <c r="GRR584" s="141"/>
      <c r="GRS584" s="141"/>
      <c r="GRT584" s="141"/>
      <c r="GRU584" s="141"/>
      <c r="GRV584" s="141"/>
      <c r="GRW584" s="141"/>
      <c r="GRX584" s="141"/>
      <c r="GRY584" s="141"/>
      <c r="GRZ584" s="141"/>
      <c r="GSA584" s="141"/>
      <c r="GSB584" s="141"/>
      <c r="GSC584" s="141"/>
      <c r="GSD584" s="141"/>
      <c r="GSE584" s="141"/>
      <c r="GSF584" s="141"/>
      <c r="GSG584" s="141"/>
      <c r="GSH584" s="141"/>
      <c r="GSI584" s="141"/>
      <c r="GSJ584" s="141"/>
      <c r="GSK584" s="141"/>
      <c r="GSL584" s="141"/>
      <c r="GSM584" s="141"/>
      <c r="GSN584" s="141"/>
      <c r="GSO584" s="141"/>
      <c r="GSP584" s="141"/>
      <c r="GSQ584" s="141"/>
      <c r="GSR584" s="141"/>
      <c r="GSS584" s="141"/>
      <c r="GST584" s="141"/>
      <c r="GSU584" s="141"/>
      <c r="GSV584" s="141"/>
      <c r="GSW584" s="141"/>
      <c r="GSX584" s="141"/>
      <c r="GSY584" s="141"/>
      <c r="GSZ584" s="141"/>
      <c r="GTA584" s="141"/>
      <c r="GTB584" s="141"/>
      <c r="GTC584" s="141"/>
      <c r="GTD584" s="141"/>
      <c r="GTE584" s="141"/>
      <c r="GTF584" s="141"/>
      <c r="GTG584" s="141"/>
      <c r="GTH584" s="141"/>
      <c r="GTI584" s="141"/>
      <c r="GTJ584" s="141"/>
      <c r="GTK584" s="141"/>
      <c r="GTL584" s="141"/>
      <c r="GTM584" s="141"/>
      <c r="GTN584" s="141"/>
      <c r="GTO584" s="141"/>
      <c r="GTP584" s="141"/>
      <c r="GTQ584" s="141"/>
      <c r="GTR584" s="141"/>
      <c r="GTS584" s="141"/>
      <c r="GTT584" s="141"/>
      <c r="GTU584" s="141"/>
      <c r="GTV584" s="141"/>
      <c r="GTW584" s="141"/>
      <c r="GTX584" s="141"/>
      <c r="GTY584" s="141"/>
      <c r="GTZ584" s="141"/>
      <c r="GUA584" s="141"/>
      <c r="GUB584" s="141"/>
      <c r="GUC584" s="141"/>
      <c r="GUD584" s="141"/>
      <c r="GUE584" s="141"/>
      <c r="GUF584" s="141"/>
      <c r="GUG584" s="141"/>
      <c r="GUH584" s="141"/>
      <c r="GUI584" s="141"/>
      <c r="GUJ584" s="141"/>
      <c r="GUK584" s="141"/>
      <c r="GUL584" s="141"/>
      <c r="GUM584" s="141"/>
      <c r="GUN584" s="141"/>
      <c r="GUO584" s="141"/>
      <c r="GUP584" s="141"/>
      <c r="GUQ584" s="141"/>
      <c r="GUR584" s="141"/>
      <c r="GUS584" s="141"/>
      <c r="GUT584" s="141"/>
      <c r="GUU584" s="141"/>
      <c r="GUV584" s="141"/>
      <c r="GUW584" s="141"/>
      <c r="GUX584" s="141"/>
      <c r="GUY584" s="141"/>
      <c r="GUZ584" s="141"/>
      <c r="GVA584" s="141"/>
      <c r="GVB584" s="141"/>
      <c r="GVC584" s="141"/>
      <c r="GVD584" s="141"/>
      <c r="GVE584" s="141"/>
      <c r="GVF584" s="141"/>
      <c r="GVG584" s="141"/>
      <c r="GVH584" s="141"/>
      <c r="GVI584" s="141"/>
      <c r="GVJ584" s="141"/>
      <c r="GVK584" s="141"/>
      <c r="GVL584" s="141"/>
      <c r="GVM584" s="141"/>
      <c r="GVN584" s="141"/>
      <c r="GVO584" s="141"/>
      <c r="GVP584" s="141"/>
      <c r="GVQ584" s="141"/>
      <c r="GVR584" s="141"/>
      <c r="GVS584" s="141"/>
      <c r="GVT584" s="141"/>
      <c r="GVU584" s="141"/>
      <c r="GVV584" s="141"/>
      <c r="GVW584" s="141"/>
      <c r="GVX584" s="141"/>
      <c r="GVY584" s="141"/>
      <c r="GVZ584" s="141"/>
      <c r="GWA584" s="141"/>
      <c r="GWB584" s="141"/>
      <c r="GWC584" s="141"/>
      <c r="GWD584" s="141"/>
      <c r="GWE584" s="141"/>
      <c r="GWF584" s="141"/>
      <c r="GWG584" s="141"/>
      <c r="GWH584" s="141"/>
      <c r="GWI584" s="141"/>
      <c r="GWJ584" s="141"/>
      <c r="GWK584" s="141"/>
      <c r="GWL584" s="141"/>
      <c r="GWM584" s="141"/>
      <c r="GWN584" s="141"/>
      <c r="GWO584" s="141"/>
      <c r="GWP584" s="141"/>
      <c r="GWQ584" s="141"/>
      <c r="GWR584" s="141"/>
      <c r="GWS584" s="141"/>
      <c r="GWT584" s="141"/>
      <c r="GWU584" s="141"/>
      <c r="GWV584" s="141"/>
      <c r="GWW584" s="141"/>
      <c r="GWX584" s="141"/>
      <c r="GWY584" s="141"/>
      <c r="GWZ584" s="141"/>
      <c r="GXA584" s="141"/>
      <c r="GXB584" s="141"/>
      <c r="GXC584" s="141"/>
      <c r="GXD584" s="141"/>
      <c r="GXE584" s="141"/>
      <c r="GXF584" s="141"/>
      <c r="GXG584" s="141"/>
      <c r="GXH584" s="141"/>
      <c r="GXI584" s="141"/>
      <c r="GXJ584" s="141"/>
      <c r="GXK584" s="141"/>
      <c r="GXL584" s="141"/>
      <c r="GXM584" s="141"/>
      <c r="GXN584" s="141"/>
      <c r="GXO584" s="141"/>
      <c r="GXP584" s="141"/>
      <c r="GXQ584" s="141"/>
      <c r="GXR584" s="141"/>
      <c r="GXS584" s="141"/>
      <c r="GXT584" s="141"/>
      <c r="GXU584" s="141"/>
      <c r="GXV584" s="141"/>
      <c r="GXW584" s="141"/>
      <c r="GXX584" s="141"/>
      <c r="GXY584" s="141"/>
      <c r="GXZ584" s="141"/>
      <c r="GYA584" s="141"/>
      <c r="GYB584" s="141"/>
      <c r="GYC584" s="141"/>
      <c r="GYD584" s="141"/>
      <c r="GYE584" s="141"/>
      <c r="GYF584" s="141"/>
      <c r="GYG584" s="141"/>
      <c r="GYH584" s="141"/>
      <c r="GYI584" s="141"/>
      <c r="GYJ584" s="141"/>
      <c r="GYK584" s="141"/>
      <c r="GYL584" s="141"/>
      <c r="GYM584" s="141"/>
      <c r="GYN584" s="141"/>
      <c r="GYO584" s="141"/>
      <c r="GYP584" s="141"/>
      <c r="GYQ584" s="141"/>
      <c r="GYR584" s="141"/>
      <c r="GYS584" s="141"/>
      <c r="GYT584" s="141"/>
      <c r="GYU584" s="141"/>
      <c r="GYV584" s="141"/>
      <c r="GYW584" s="141"/>
      <c r="GYX584" s="141"/>
      <c r="GYY584" s="141"/>
      <c r="GYZ584" s="141"/>
      <c r="GZA584" s="141"/>
      <c r="GZB584" s="141"/>
      <c r="GZC584" s="141"/>
      <c r="GZD584" s="141"/>
      <c r="GZE584" s="141"/>
      <c r="GZF584" s="141"/>
      <c r="GZG584" s="141"/>
      <c r="GZH584" s="141"/>
      <c r="GZI584" s="141"/>
      <c r="GZJ584" s="141"/>
      <c r="GZK584" s="141"/>
      <c r="GZL584" s="141"/>
      <c r="GZM584" s="141"/>
      <c r="GZN584" s="141"/>
      <c r="GZO584" s="141"/>
      <c r="GZP584" s="141"/>
      <c r="GZQ584" s="141"/>
      <c r="GZR584" s="141"/>
      <c r="GZS584" s="141"/>
      <c r="GZT584" s="141"/>
      <c r="GZU584" s="141"/>
      <c r="GZV584" s="141"/>
      <c r="GZW584" s="141"/>
      <c r="GZX584" s="141"/>
      <c r="GZY584" s="141"/>
      <c r="GZZ584" s="141"/>
      <c r="HAA584" s="141"/>
      <c r="HAB584" s="141"/>
      <c r="HAC584" s="141"/>
      <c r="HAD584" s="141"/>
      <c r="HAE584" s="141"/>
      <c r="HAF584" s="141"/>
      <c r="HAG584" s="141"/>
      <c r="HAH584" s="141"/>
      <c r="HAI584" s="141"/>
      <c r="HAJ584" s="141"/>
      <c r="HAK584" s="141"/>
      <c r="HAL584" s="141"/>
      <c r="HAM584" s="141"/>
      <c r="HAN584" s="141"/>
      <c r="HAO584" s="141"/>
      <c r="HAP584" s="141"/>
      <c r="HAQ584" s="141"/>
      <c r="HAR584" s="141"/>
      <c r="HAS584" s="141"/>
      <c r="HAT584" s="141"/>
      <c r="HAU584" s="141"/>
      <c r="HAV584" s="141"/>
      <c r="HAW584" s="141"/>
      <c r="HAX584" s="141"/>
      <c r="HAY584" s="141"/>
      <c r="HAZ584" s="141"/>
      <c r="HBA584" s="141"/>
      <c r="HBB584" s="141"/>
      <c r="HBC584" s="141"/>
      <c r="HBD584" s="141"/>
      <c r="HBE584" s="141"/>
      <c r="HBF584" s="141"/>
      <c r="HBG584" s="141"/>
      <c r="HBH584" s="141"/>
      <c r="HBI584" s="141"/>
      <c r="HBJ584" s="141"/>
      <c r="HBK584" s="141"/>
      <c r="HBL584" s="141"/>
      <c r="HBM584" s="141"/>
      <c r="HBN584" s="141"/>
      <c r="HBO584" s="141"/>
      <c r="HBP584" s="141"/>
      <c r="HBQ584" s="141"/>
      <c r="HBR584" s="141"/>
      <c r="HBS584" s="141"/>
      <c r="HBT584" s="141"/>
      <c r="HBU584" s="141"/>
      <c r="HBV584" s="141"/>
      <c r="HBW584" s="141"/>
      <c r="HBX584" s="141"/>
      <c r="HBY584" s="141"/>
      <c r="HBZ584" s="141"/>
      <c r="HCA584" s="141"/>
      <c r="HCB584" s="141"/>
      <c r="HCC584" s="141"/>
      <c r="HCD584" s="141"/>
      <c r="HCE584" s="141"/>
      <c r="HCF584" s="141"/>
      <c r="HCG584" s="141"/>
      <c r="HCH584" s="141"/>
      <c r="HCI584" s="141"/>
      <c r="HCJ584" s="141"/>
      <c r="HCK584" s="141"/>
      <c r="HCL584" s="141"/>
      <c r="HCM584" s="141"/>
      <c r="HCN584" s="141"/>
      <c r="HCO584" s="141"/>
      <c r="HCP584" s="141"/>
      <c r="HCQ584" s="141"/>
      <c r="HCR584" s="141"/>
      <c r="HCS584" s="141"/>
      <c r="HCT584" s="141"/>
      <c r="HCU584" s="141"/>
      <c r="HCV584" s="141"/>
      <c r="HCW584" s="141"/>
      <c r="HCX584" s="141"/>
      <c r="HCY584" s="141"/>
      <c r="HCZ584" s="141"/>
      <c r="HDA584" s="141"/>
      <c r="HDB584" s="141"/>
      <c r="HDC584" s="141"/>
      <c r="HDD584" s="141"/>
      <c r="HDE584" s="141"/>
      <c r="HDF584" s="141"/>
      <c r="HDG584" s="141"/>
      <c r="HDH584" s="141"/>
      <c r="HDI584" s="141"/>
      <c r="HDJ584" s="141"/>
      <c r="HDK584" s="141"/>
      <c r="HDL584" s="141"/>
      <c r="HDM584" s="141"/>
      <c r="HDN584" s="141"/>
      <c r="HDO584" s="141"/>
      <c r="HDP584" s="141"/>
      <c r="HDQ584" s="141"/>
      <c r="HDR584" s="141"/>
      <c r="HDS584" s="141"/>
      <c r="HDT584" s="141"/>
      <c r="HDU584" s="141"/>
      <c r="HDV584" s="141"/>
      <c r="HDW584" s="141"/>
      <c r="HDX584" s="141"/>
      <c r="HDY584" s="141"/>
      <c r="HDZ584" s="141"/>
      <c r="HEA584" s="141"/>
      <c r="HEB584" s="141"/>
      <c r="HEC584" s="141"/>
      <c r="HED584" s="141"/>
      <c r="HEE584" s="141"/>
      <c r="HEF584" s="141"/>
      <c r="HEG584" s="141"/>
      <c r="HEH584" s="141"/>
      <c r="HEI584" s="141"/>
      <c r="HEJ584" s="141"/>
      <c r="HEK584" s="141"/>
      <c r="HEL584" s="141"/>
      <c r="HEM584" s="141"/>
      <c r="HEN584" s="141"/>
      <c r="HEO584" s="141"/>
      <c r="HEP584" s="141"/>
      <c r="HEQ584" s="141"/>
      <c r="HER584" s="141"/>
      <c r="HES584" s="141"/>
      <c r="HET584" s="141"/>
      <c r="HEU584" s="141"/>
      <c r="HEV584" s="141"/>
      <c r="HEW584" s="141"/>
      <c r="HEX584" s="141"/>
      <c r="HEY584" s="141"/>
      <c r="HEZ584" s="141"/>
      <c r="HFA584" s="141"/>
      <c r="HFB584" s="141"/>
      <c r="HFC584" s="141"/>
      <c r="HFD584" s="141"/>
      <c r="HFE584" s="141"/>
      <c r="HFF584" s="141"/>
      <c r="HFG584" s="141"/>
      <c r="HFH584" s="141"/>
      <c r="HFI584" s="141"/>
      <c r="HFJ584" s="141"/>
      <c r="HFK584" s="141"/>
      <c r="HFL584" s="141"/>
      <c r="HFM584" s="141"/>
      <c r="HFN584" s="141"/>
      <c r="HFO584" s="141"/>
      <c r="HFP584" s="141"/>
      <c r="HFQ584" s="141"/>
      <c r="HFR584" s="141"/>
      <c r="HFS584" s="141"/>
      <c r="HFT584" s="141"/>
      <c r="HFU584" s="141"/>
      <c r="HFV584" s="141"/>
      <c r="HFW584" s="141"/>
      <c r="HFX584" s="141"/>
      <c r="HFY584" s="141"/>
      <c r="HFZ584" s="141"/>
      <c r="HGA584" s="141"/>
      <c r="HGB584" s="141"/>
      <c r="HGC584" s="141"/>
      <c r="HGD584" s="141"/>
      <c r="HGE584" s="141"/>
      <c r="HGF584" s="141"/>
      <c r="HGG584" s="141"/>
      <c r="HGH584" s="141"/>
      <c r="HGI584" s="141"/>
      <c r="HGJ584" s="141"/>
      <c r="HGK584" s="141"/>
      <c r="HGL584" s="141"/>
      <c r="HGM584" s="141"/>
      <c r="HGN584" s="141"/>
      <c r="HGO584" s="141"/>
      <c r="HGP584" s="141"/>
      <c r="HGQ584" s="141"/>
      <c r="HGR584" s="141"/>
      <c r="HGS584" s="141"/>
      <c r="HGT584" s="141"/>
      <c r="HGU584" s="141"/>
      <c r="HGV584" s="141"/>
      <c r="HGW584" s="141"/>
      <c r="HGX584" s="141"/>
      <c r="HGY584" s="141"/>
      <c r="HGZ584" s="141"/>
      <c r="HHA584" s="141"/>
      <c r="HHB584" s="141"/>
      <c r="HHC584" s="141"/>
      <c r="HHD584" s="141"/>
      <c r="HHE584" s="141"/>
      <c r="HHF584" s="141"/>
      <c r="HHG584" s="141"/>
      <c r="HHH584" s="141"/>
      <c r="HHI584" s="141"/>
      <c r="HHJ584" s="141"/>
      <c r="HHK584" s="141"/>
      <c r="HHL584" s="141"/>
      <c r="HHM584" s="141"/>
      <c r="HHN584" s="141"/>
      <c r="HHO584" s="141"/>
      <c r="HHP584" s="141"/>
      <c r="HHQ584" s="141"/>
      <c r="HHR584" s="141"/>
      <c r="HHS584" s="141"/>
      <c r="HHT584" s="141"/>
      <c r="HHU584" s="141"/>
      <c r="HHV584" s="141"/>
      <c r="HHW584" s="141"/>
      <c r="HHX584" s="141"/>
      <c r="HHY584" s="141"/>
      <c r="HHZ584" s="141"/>
      <c r="HIA584" s="141"/>
      <c r="HIB584" s="141"/>
      <c r="HIC584" s="141"/>
      <c r="HID584" s="141"/>
      <c r="HIE584" s="141"/>
      <c r="HIF584" s="141"/>
      <c r="HIG584" s="141"/>
      <c r="HIH584" s="141"/>
      <c r="HII584" s="141"/>
      <c r="HIJ584" s="141"/>
      <c r="HIK584" s="141"/>
      <c r="HIL584" s="141"/>
      <c r="HIM584" s="141"/>
      <c r="HIN584" s="141"/>
      <c r="HIO584" s="141"/>
      <c r="HIP584" s="141"/>
      <c r="HIQ584" s="141"/>
      <c r="HIR584" s="141"/>
      <c r="HIS584" s="141"/>
      <c r="HIT584" s="141"/>
      <c r="HIU584" s="141"/>
      <c r="HIV584" s="141"/>
      <c r="HIW584" s="141"/>
      <c r="HIX584" s="141"/>
      <c r="HIY584" s="141"/>
      <c r="HIZ584" s="141"/>
      <c r="HJA584" s="141"/>
      <c r="HJB584" s="141"/>
      <c r="HJC584" s="141"/>
      <c r="HJD584" s="141"/>
      <c r="HJE584" s="141"/>
      <c r="HJF584" s="141"/>
      <c r="HJG584" s="141"/>
      <c r="HJH584" s="141"/>
      <c r="HJI584" s="141"/>
      <c r="HJJ584" s="141"/>
      <c r="HJK584" s="141"/>
      <c r="HJL584" s="141"/>
      <c r="HJM584" s="141"/>
      <c r="HJN584" s="141"/>
      <c r="HJO584" s="141"/>
      <c r="HJP584" s="141"/>
      <c r="HJQ584" s="141"/>
      <c r="HJR584" s="141"/>
      <c r="HJS584" s="141"/>
      <c r="HJT584" s="141"/>
      <c r="HJU584" s="141"/>
      <c r="HJV584" s="141"/>
      <c r="HJW584" s="141"/>
      <c r="HJX584" s="141"/>
      <c r="HJY584" s="141"/>
      <c r="HJZ584" s="141"/>
      <c r="HKA584" s="141"/>
      <c r="HKB584" s="141"/>
      <c r="HKC584" s="141"/>
      <c r="HKD584" s="141"/>
      <c r="HKE584" s="141"/>
      <c r="HKF584" s="141"/>
      <c r="HKG584" s="141"/>
      <c r="HKH584" s="141"/>
      <c r="HKI584" s="141"/>
      <c r="HKJ584" s="141"/>
      <c r="HKK584" s="141"/>
      <c r="HKL584" s="141"/>
      <c r="HKM584" s="141"/>
      <c r="HKN584" s="141"/>
      <c r="HKO584" s="141"/>
      <c r="HKP584" s="141"/>
      <c r="HKQ584" s="141"/>
      <c r="HKR584" s="141"/>
      <c r="HKS584" s="141"/>
      <c r="HKT584" s="141"/>
      <c r="HKU584" s="141"/>
      <c r="HKV584" s="141"/>
      <c r="HKW584" s="141"/>
      <c r="HKX584" s="141"/>
      <c r="HKY584" s="141"/>
      <c r="HKZ584" s="141"/>
      <c r="HLA584" s="141"/>
      <c r="HLB584" s="141"/>
      <c r="HLC584" s="141"/>
      <c r="HLD584" s="141"/>
      <c r="HLE584" s="141"/>
      <c r="HLF584" s="141"/>
      <c r="HLG584" s="141"/>
      <c r="HLH584" s="141"/>
      <c r="HLI584" s="141"/>
      <c r="HLJ584" s="141"/>
      <c r="HLK584" s="141"/>
      <c r="HLL584" s="141"/>
      <c r="HLM584" s="141"/>
      <c r="HLN584" s="141"/>
      <c r="HLO584" s="141"/>
      <c r="HLP584" s="141"/>
      <c r="HLQ584" s="141"/>
      <c r="HLR584" s="141"/>
      <c r="HLS584" s="141"/>
      <c r="HLT584" s="141"/>
      <c r="HLU584" s="141"/>
      <c r="HLV584" s="141"/>
      <c r="HLW584" s="141"/>
      <c r="HLX584" s="141"/>
      <c r="HLY584" s="141"/>
      <c r="HLZ584" s="141"/>
      <c r="HMA584" s="141"/>
      <c r="HMB584" s="141"/>
      <c r="HMC584" s="141"/>
      <c r="HMD584" s="141"/>
      <c r="HME584" s="141"/>
      <c r="HMF584" s="141"/>
      <c r="HMG584" s="141"/>
      <c r="HMH584" s="141"/>
      <c r="HMI584" s="141"/>
      <c r="HMJ584" s="141"/>
      <c r="HMK584" s="141"/>
      <c r="HML584" s="141"/>
      <c r="HMM584" s="141"/>
      <c r="HMN584" s="141"/>
      <c r="HMO584" s="141"/>
      <c r="HMP584" s="141"/>
      <c r="HMQ584" s="141"/>
      <c r="HMR584" s="141"/>
      <c r="HMS584" s="141"/>
      <c r="HMT584" s="141"/>
      <c r="HMU584" s="141"/>
      <c r="HMV584" s="141"/>
      <c r="HMW584" s="141"/>
      <c r="HMX584" s="141"/>
      <c r="HMY584" s="141"/>
      <c r="HMZ584" s="141"/>
      <c r="HNA584" s="141"/>
      <c r="HNB584" s="141"/>
      <c r="HNC584" s="141"/>
      <c r="HND584" s="141"/>
      <c r="HNE584" s="141"/>
      <c r="HNF584" s="141"/>
      <c r="HNG584" s="141"/>
      <c r="HNH584" s="141"/>
      <c r="HNI584" s="141"/>
      <c r="HNJ584" s="141"/>
      <c r="HNK584" s="141"/>
      <c r="HNL584" s="141"/>
      <c r="HNM584" s="141"/>
      <c r="HNN584" s="141"/>
      <c r="HNO584" s="141"/>
      <c r="HNP584" s="141"/>
      <c r="HNQ584" s="141"/>
      <c r="HNR584" s="141"/>
      <c r="HNS584" s="141"/>
      <c r="HNT584" s="141"/>
      <c r="HNU584" s="141"/>
      <c r="HNV584" s="141"/>
      <c r="HNW584" s="141"/>
      <c r="HNX584" s="141"/>
      <c r="HNY584" s="141"/>
      <c r="HNZ584" s="141"/>
      <c r="HOA584" s="141"/>
      <c r="HOB584" s="141"/>
      <c r="HOC584" s="141"/>
      <c r="HOD584" s="141"/>
      <c r="HOE584" s="141"/>
      <c r="HOF584" s="141"/>
      <c r="HOG584" s="141"/>
      <c r="HOH584" s="141"/>
      <c r="HOI584" s="141"/>
      <c r="HOJ584" s="141"/>
      <c r="HOK584" s="141"/>
      <c r="HOL584" s="141"/>
      <c r="HOM584" s="141"/>
      <c r="HON584" s="141"/>
      <c r="HOO584" s="141"/>
      <c r="HOP584" s="141"/>
      <c r="HOQ584" s="141"/>
      <c r="HOR584" s="141"/>
      <c r="HOS584" s="141"/>
      <c r="HOT584" s="141"/>
      <c r="HOU584" s="141"/>
      <c r="HOV584" s="141"/>
      <c r="HOW584" s="141"/>
      <c r="HOX584" s="141"/>
      <c r="HOY584" s="141"/>
      <c r="HOZ584" s="141"/>
      <c r="HPA584" s="141"/>
      <c r="HPB584" s="141"/>
      <c r="HPC584" s="141"/>
      <c r="HPD584" s="141"/>
      <c r="HPE584" s="141"/>
      <c r="HPF584" s="141"/>
      <c r="HPG584" s="141"/>
      <c r="HPH584" s="141"/>
      <c r="HPI584" s="141"/>
      <c r="HPJ584" s="141"/>
      <c r="HPK584" s="141"/>
      <c r="HPL584" s="141"/>
      <c r="HPM584" s="141"/>
      <c r="HPN584" s="141"/>
      <c r="HPO584" s="141"/>
      <c r="HPP584" s="141"/>
      <c r="HPQ584" s="141"/>
      <c r="HPR584" s="141"/>
      <c r="HPS584" s="141"/>
      <c r="HPT584" s="141"/>
      <c r="HPU584" s="141"/>
      <c r="HPV584" s="141"/>
      <c r="HPW584" s="141"/>
      <c r="HPX584" s="141"/>
      <c r="HPY584" s="141"/>
      <c r="HPZ584" s="141"/>
      <c r="HQA584" s="141"/>
      <c r="HQB584" s="141"/>
      <c r="HQC584" s="141"/>
      <c r="HQD584" s="141"/>
      <c r="HQE584" s="141"/>
      <c r="HQF584" s="141"/>
      <c r="HQG584" s="141"/>
      <c r="HQH584" s="141"/>
      <c r="HQI584" s="141"/>
      <c r="HQJ584" s="141"/>
      <c r="HQK584" s="141"/>
      <c r="HQL584" s="141"/>
      <c r="HQM584" s="141"/>
      <c r="HQN584" s="141"/>
      <c r="HQO584" s="141"/>
      <c r="HQP584" s="141"/>
      <c r="HQQ584" s="141"/>
      <c r="HQR584" s="141"/>
      <c r="HQS584" s="141"/>
      <c r="HQT584" s="141"/>
      <c r="HQU584" s="141"/>
      <c r="HQV584" s="141"/>
      <c r="HQW584" s="141"/>
      <c r="HQX584" s="141"/>
      <c r="HQY584" s="141"/>
      <c r="HQZ584" s="141"/>
      <c r="HRA584" s="141"/>
      <c r="HRB584" s="141"/>
      <c r="HRC584" s="141"/>
      <c r="HRD584" s="141"/>
      <c r="HRE584" s="141"/>
      <c r="HRF584" s="141"/>
      <c r="HRG584" s="141"/>
      <c r="HRH584" s="141"/>
      <c r="HRI584" s="141"/>
      <c r="HRJ584" s="141"/>
      <c r="HRK584" s="141"/>
      <c r="HRL584" s="141"/>
      <c r="HRM584" s="141"/>
      <c r="HRN584" s="141"/>
      <c r="HRO584" s="141"/>
      <c r="HRP584" s="141"/>
      <c r="HRQ584" s="141"/>
      <c r="HRR584" s="141"/>
      <c r="HRS584" s="141"/>
      <c r="HRT584" s="141"/>
      <c r="HRU584" s="141"/>
      <c r="HRV584" s="141"/>
      <c r="HRW584" s="141"/>
      <c r="HRX584" s="141"/>
      <c r="HRY584" s="141"/>
      <c r="HRZ584" s="141"/>
      <c r="HSA584" s="141"/>
      <c r="HSB584" s="141"/>
      <c r="HSC584" s="141"/>
      <c r="HSD584" s="141"/>
      <c r="HSE584" s="141"/>
      <c r="HSF584" s="141"/>
      <c r="HSG584" s="141"/>
      <c r="HSH584" s="141"/>
      <c r="HSI584" s="141"/>
      <c r="HSJ584" s="141"/>
      <c r="HSK584" s="141"/>
      <c r="HSL584" s="141"/>
      <c r="HSM584" s="141"/>
      <c r="HSN584" s="141"/>
      <c r="HSO584" s="141"/>
      <c r="HSP584" s="141"/>
      <c r="HSQ584" s="141"/>
      <c r="HSR584" s="141"/>
      <c r="HSS584" s="141"/>
      <c r="HST584" s="141"/>
      <c r="HSU584" s="141"/>
      <c r="HSV584" s="141"/>
      <c r="HSW584" s="141"/>
      <c r="HSX584" s="141"/>
      <c r="HSY584" s="141"/>
      <c r="HSZ584" s="141"/>
      <c r="HTA584" s="141"/>
      <c r="HTB584" s="141"/>
      <c r="HTC584" s="141"/>
      <c r="HTD584" s="141"/>
      <c r="HTE584" s="141"/>
      <c r="HTF584" s="141"/>
      <c r="HTG584" s="141"/>
      <c r="HTH584" s="141"/>
      <c r="HTI584" s="141"/>
      <c r="HTJ584" s="141"/>
      <c r="HTK584" s="141"/>
      <c r="HTL584" s="141"/>
      <c r="HTM584" s="141"/>
      <c r="HTN584" s="141"/>
      <c r="HTO584" s="141"/>
      <c r="HTP584" s="141"/>
      <c r="HTQ584" s="141"/>
      <c r="HTR584" s="141"/>
      <c r="HTS584" s="141"/>
      <c r="HTT584" s="141"/>
      <c r="HTU584" s="141"/>
      <c r="HTV584" s="141"/>
      <c r="HTW584" s="141"/>
      <c r="HTX584" s="141"/>
      <c r="HTY584" s="141"/>
      <c r="HTZ584" s="141"/>
      <c r="HUA584" s="141"/>
      <c r="HUB584" s="141"/>
      <c r="HUC584" s="141"/>
      <c r="HUD584" s="141"/>
      <c r="HUE584" s="141"/>
      <c r="HUF584" s="141"/>
      <c r="HUG584" s="141"/>
      <c r="HUH584" s="141"/>
      <c r="HUI584" s="141"/>
      <c r="HUJ584" s="141"/>
      <c r="HUK584" s="141"/>
      <c r="HUL584" s="141"/>
      <c r="HUM584" s="141"/>
      <c r="HUN584" s="141"/>
      <c r="HUO584" s="141"/>
      <c r="HUP584" s="141"/>
      <c r="HUQ584" s="141"/>
      <c r="HUR584" s="141"/>
      <c r="HUS584" s="141"/>
      <c r="HUT584" s="141"/>
      <c r="HUU584" s="141"/>
      <c r="HUV584" s="141"/>
      <c r="HUW584" s="141"/>
      <c r="HUX584" s="141"/>
      <c r="HUY584" s="141"/>
      <c r="HUZ584" s="141"/>
      <c r="HVA584" s="141"/>
      <c r="HVB584" s="141"/>
      <c r="HVC584" s="141"/>
      <c r="HVD584" s="141"/>
      <c r="HVE584" s="141"/>
      <c r="HVF584" s="141"/>
      <c r="HVG584" s="141"/>
      <c r="HVH584" s="141"/>
      <c r="HVI584" s="141"/>
      <c r="HVJ584" s="141"/>
      <c r="HVK584" s="141"/>
      <c r="HVL584" s="141"/>
      <c r="HVM584" s="141"/>
      <c r="HVN584" s="141"/>
      <c r="HVO584" s="141"/>
      <c r="HVP584" s="141"/>
      <c r="HVQ584" s="141"/>
      <c r="HVR584" s="141"/>
      <c r="HVS584" s="141"/>
      <c r="HVT584" s="141"/>
      <c r="HVU584" s="141"/>
      <c r="HVV584" s="141"/>
      <c r="HVW584" s="141"/>
      <c r="HVX584" s="141"/>
      <c r="HVY584" s="141"/>
      <c r="HVZ584" s="141"/>
      <c r="HWA584" s="141"/>
      <c r="HWB584" s="141"/>
      <c r="HWC584" s="141"/>
      <c r="HWD584" s="141"/>
      <c r="HWE584" s="141"/>
      <c r="HWF584" s="141"/>
      <c r="HWG584" s="141"/>
      <c r="HWH584" s="141"/>
      <c r="HWI584" s="141"/>
      <c r="HWJ584" s="141"/>
      <c r="HWK584" s="141"/>
      <c r="HWL584" s="141"/>
      <c r="HWM584" s="141"/>
      <c r="HWN584" s="141"/>
      <c r="HWO584" s="141"/>
      <c r="HWP584" s="141"/>
      <c r="HWQ584" s="141"/>
      <c r="HWR584" s="141"/>
      <c r="HWS584" s="141"/>
      <c r="HWT584" s="141"/>
      <c r="HWU584" s="141"/>
      <c r="HWV584" s="141"/>
      <c r="HWW584" s="141"/>
      <c r="HWX584" s="141"/>
      <c r="HWY584" s="141"/>
      <c r="HWZ584" s="141"/>
      <c r="HXA584" s="141"/>
      <c r="HXB584" s="141"/>
      <c r="HXC584" s="141"/>
      <c r="HXD584" s="141"/>
      <c r="HXE584" s="141"/>
      <c r="HXF584" s="141"/>
      <c r="HXG584" s="141"/>
      <c r="HXH584" s="141"/>
      <c r="HXI584" s="141"/>
      <c r="HXJ584" s="141"/>
      <c r="HXK584" s="141"/>
      <c r="HXL584" s="141"/>
      <c r="HXM584" s="141"/>
      <c r="HXN584" s="141"/>
      <c r="HXO584" s="141"/>
      <c r="HXP584" s="141"/>
      <c r="HXQ584" s="141"/>
      <c r="HXR584" s="141"/>
      <c r="HXS584" s="141"/>
      <c r="HXT584" s="141"/>
      <c r="HXU584" s="141"/>
      <c r="HXV584" s="141"/>
      <c r="HXW584" s="141"/>
      <c r="HXX584" s="141"/>
      <c r="HXY584" s="141"/>
      <c r="HXZ584" s="141"/>
      <c r="HYA584" s="141"/>
      <c r="HYB584" s="141"/>
      <c r="HYC584" s="141"/>
      <c r="HYD584" s="141"/>
      <c r="HYE584" s="141"/>
      <c r="HYF584" s="141"/>
      <c r="HYG584" s="141"/>
      <c r="HYH584" s="141"/>
      <c r="HYI584" s="141"/>
      <c r="HYJ584" s="141"/>
      <c r="HYK584" s="141"/>
      <c r="HYL584" s="141"/>
      <c r="HYM584" s="141"/>
      <c r="HYN584" s="141"/>
      <c r="HYO584" s="141"/>
      <c r="HYP584" s="141"/>
      <c r="HYQ584" s="141"/>
      <c r="HYR584" s="141"/>
      <c r="HYS584" s="141"/>
      <c r="HYT584" s="141"/>
      <c r="HYU584" s="141"/>
      <c r="HYV584" s="141"/>
      <c r="HYW584" s="141"/>
      <c r="HYX584" s="141"/>
      <c r="HYY584" s="141"/>
      <c r="HYZ584" s="141"/>
      <c r="HZA584" s="141"/>
      <c r="HZB584" s="141"/>
      <c r="HZC584" s="141"/>
      <c r="HZD584" s="141"/>
      <c r="HZE584" s="141"/>
      <c r="HZF584" s="141"/>
      <c r="HZG584" s="141"/>
      <c r="HZH584" s="141"/>
      <c r="HZI584" s="141"/>
      <c r="HZJ584" s="141"/>
      <c r="HZK584" s="141"/>
      <c r="HZL584" s="141"/>
      <c r="HZM584" s="141"/>
      <c r="HZN584" s="141"/>
      <c r="HZO584" s="141"/>
      <c r="HZP584" s="141"/>
      <c r="HZQ584" s="141"/>
      <c r="HZR584" s="141"/>
      <c r="HZS584" s="141"/>
      <c r="HZT584" s="141"/>
      <c r="HZU584" s="141"/>
      <c r="HZV584" s="141"/>
      <c r="HZW584" s="141"/>
      <c r="HZX584" s="141"/>
      <c r="HZY584" s="141"/>
      <c r="HZZ584" s="141"/>
      <c r="IAA584" s="141"/>
      <c r="IAB584" s="141"/>
      <c r="IAC584" s="141"/>
      <c r="IAD584" s="141"/>
      <c r="IAE584" s="141"/>
      <c r="IAF584" s="141"/>
      <c r="IAG584" s="141"/>
      <c r="IAH584" s="141"/>
      <c r="IAI584" s="141"/>
      <c r="IAJ584" s="141"/>
      <c r="IAK584" s="141"/>
      <c r="IAL584" s="141"/>
      <c r="IAM584" s="141"/>
      <c r="IAN584" s="141"/>
      <c r="IAO584" s="141"/>
      <c r="IAP584" s="141"/>
      <c r="IAQ584" s="141"/>
      <c r="IAR584" s="141"/>
      <c r="IAS584" s="141"/>
      <c r="IAT584" s="141"/>
      <c r="IAU584" s="141"/>
      <c r="IAV584" s="141"/>
      <c r="IAW584" s="141"/>
      <c r="IAX584" s="141"/>
      <c r="IAY584" s="141"/>
      <c r="IAZ584" s="141"/>
      <c r="IBA584" s="141"/>
      <c r="IBB584" s="141"/>
      <c r="IBC584" s="141"/>
      <c r="IBD584" s="141"/>
      <c r="IBE584" s="141"/>
      <c r="IBF584" s="141"/>
      <c r="IBG584" s="141"/>
      <c r="IBH584" s="141"/>
      <c r="IBI584" s="141"/>
      <c r="IBJ584" s="141"/>
      <c r="IBK584" s="141"/>
      <c r="IBL584" s="141"/>
      <c r="IBM584" s="141"/>
      <c r="IBN584" s="141"/>
      <c r="IBO584" s="141"/>
      <c r="IBP584" s="141"/>
      <c r="IBQ584" s="141"/>
      <c r="IBR584" s="141"/>
      <c r="IBS584" s="141"/>
      <c r="IBT584" s="141"/>
      <c r="IBU584" s="141"/>
      <c r="IBV584" s="141"/>
      <c r="IBW584" s="141"/>
      <c r="IBX584" s="141"/>
      <c r="IBY584" s="141"/>
      <c r="IBZ584" s="141"/>
      <c r="ICA584" s="141"/>
      <c r="ICB584" s="141"/>
      <c r="ICC584" s="141"/>
      <c r="ICD584" s="141"/>
      <c r="ICE584" s="141"/>
      <c r="ICF584" s="141"/>
      <c r="ICG584" s="141"/>
      <c r="ICH584" s="141"/>
      <c r="ICI584" s="141"/>
      <c r="ICJ584" s="141"/>
      <c r="ICK584" s="141"/>
      <c r="ICL584" s="141"/>
      <c r="ICM584" s="141"/>
      <c r="ICN584" s="141"/>
      <c r="ICO584" s="141"/>
      <c r="ICP584" s="141"/>
      <c r="ICQ584" s="141"/>
      <c r="ICR584" s="141"/>
      <c r="ICS584" s="141"/>
      <c r="ICT584" s="141"/>
      <c r="ICU584" s="141"/>
      <c r="ICV584" s="141"/>
      <c r="ICW584" s="141"/>
      <c r="ICX584" s="141"/>
      <c r="ICY584" s="141"/>
      <c r="ICZ584" s="141"/>
      <c r="IDA584" s="141"/>
      <c r="IDB584" s="141"/>
      <c r="IDC584" s="141"/>
      <c r="IDD584" s="141"/>
      <c r="IDE584" s="141"/>
      <c r="IDF584" s="141"/>
      <c r="IDG584" s="141"/>
      <c r="IDH584" s="141"/>
      <c r="IDI584" s="141"/>
      <c r="IDJ584" s="141"/>
      <c r="IDK584" s="141"/>
      <c r="IDL584" s="141"/>
      <c r="IDM584" s="141"/>
      <c r="IDN584" s="141"/>
      <c r="IDO584" s="141"/>
      <c r="IDP584" s="141"/>
      <c r="IDQ584" s="141"/>
      <c r="IDR584" s="141"/>
      <c r="IDS584" s="141"/>
      <c r="IDT584" s="141"/>
      <c r="IDU584" s="141"/>
      <c r="IDV584" s="141"/>
      <c r="IDW584" s="141"/>
      <c r="IDX584" s="141"/>
      <c r="IDY584" s="141"/>
      <c r="IDZ584" s="141"/>
      <c r="IEA584" s="141"/>
      <c r="IEB584" s="141"/>
      <c r="IEC584" s="141"/>
      <c r="IED584" s="141"/>
      <c r="IEE584" s="141"/>
      <c r="IEF584" s="141"/>
      <c r="IEG584" s="141"/>
      <c r="IEH584" s="141"/>
      <c r="IEI584" s="141"/>
      <c r="IEJ584" s="141"/>
      <c r="IEK584" s="141"/>
      <c r="IEL584" s="141"/>
      <c r="IEM584" s="141"/>
      <c r="IEN584" s="141"/>
      <c r="IEO584" s="141"/>
      <c r="IEP584" s="141"/>
      <c r="IEQ584" s="141"/>
      <c r="IER584" s="141"/>
      <c r="IES584" s="141"/>
      <c r="IET584" s="141"/>
      <c r="IEU584" s="141"/>
      <c r="IEV584" s="141"/>
      <c r="IEW584" s="141"/>
      <c r="IEX584" s="141"/>
      <c r="IEY584" s="141"/>
      <c r="IEZ584" s="141"/>
      <c r="IFA584" s="141"/>
      <c r="IFB584" s="141"/>
      <c r="IFC584" s="141"/>
      <c r="IFD584" s="141"/>
      <c r="IFE584" s="141"/>
      <c r="IFF584" s="141"/>
      <c r="IFG584" s="141"/>
      <c r="IFH584" s="141"/>
      <c r="IFI584" s="141"/>
      <c r="IFJ584" s="141"/>
      <c r="IFK584" s="141"/>
      <c r="IFL584" s="141"/>
      <c r="IFM584" s="141"/>
      <c r="IFN584" s="141"/>
      <c r="IFO584" s="141"/>
      <c r="IFP584" s="141"/>
      <c r="IFQ584" s="141"/>
      <c r="IFR584" s="141"/>
      <c r="IFS584" s="141"/>
      <c r="IFT584" s="141"/>
      <c r="IFU584" s="141"/>
      <c r="IFV584" s="141"/>
      <c r="IFW584" s="141"/>
      <c r="IFX584" s="141"/>
      <c r="IFY584" s="141"/>
      <c r="IFZ584" s="141"/>
      <c r="IGA584" s="141"/>
      <c r="IGB584" s="141"/>
      <c r="IGC584" s="141"/>
      <c r="IGD584" s="141"/>
      <c r="IGE584" s="141"/>
      <c r="IGF584" s="141"/>
      <c r="IGG584" s="141"/>
      <c r="IGH584" s="141"/>
      <c r="IGI584" s="141"/>
      <c r="IGJ584" s="141"/>
      <c r="IGK584" s="141"/>
      <c r="IGL584" s="141"/>
      <c r="IGM584" s="141"/>
      <c r="IGN584" s="141"/>
      <c r="IGO584" s="141"/>
      <c r="IGP584" s="141"/>
      <c r="IGQ584" s="141"/>
      <c r="IGR584" s="141"/>
      <c r="IGS584" s="141"/>
      <c r="IGT584" s="141"/>
      <c r="IGU584" s="141"/>
      <c r="IGV584" s="141"/>
      <c r="IGW584" s="141"/>
      <c r="IGX584" s="141"/>
      <c r="IGY584" s="141"/>
      <c r="IGZ584" s="141"/>
      <c r="IHA584" s="141"/>
      <c r="IHB584" s="141"/>
      <c r="IHC584" s="141"/>
      <c r="IHD584" s="141"/>
      <c r="IHE584" s="141"/>
      <c r="IHF584" s="141"/>
      <c r="IHG584" s="141"/>
      <c r="IHH584" s="141"/>
      <c r="IHI584" s="141"/>
      <c r="IHJ584" s="141"/>
      <c r="IHK584" s="141"/>
      <c r="IHL584" s="141"/>
      <c r="IHM584" s="141"/>
      <c r="IHN584" s="141"/>
      <c r="IHO584" s="141"/>
      <c r="IHP584" s="141"/>
      <c r="IHQ584" s="141"/>
      <c r="IHR584" s="141"/>
      <c r="IHS584" s="141"/>
      <c r="IHT584" s="141"/>
      <c r="IHU584" s="141"/>
      <c r="IHV584" s="141"/>
      <c r="IHW584" s="141"/>
      <c r="IHX584" s="141"/>
      <c r="IHY584" s="141"/>
      <c r="IHZ584" s="141"/>
      <c r="IIA584" s="141"/>
      <c r="IIB584" s="141"/>
      <c r="IIC584" s="141"/>
      <c r="IID584" s="141"/>
      <c r="IIE584" s="141"/>
      <c r="IIF584" s="141"/>
      <c r="IIG584" s="141"/>
      <c r="IIH584" s="141"/>
      <c r="III584" s="141"/>
      <c r="IIJ584" s="141"/>
      <c r="IIK584" s="141"/>
      <c r="IIL584" s="141"/>
      <c r="IIM584" s="141"/>
      <c r="IIN584" s="141"/>
      <c r="IIO584" s="141"/>
      <c r="IIP584" s="141"/>
      <c r="IIQ584" s="141"/>
      <c r="IIR584" s="141"/>
      <c r="IIS584" s="141"/>
      <c r="IIT584" s="141"/>
      <c r="IIU584" s="141"/>
      <c r="IIV584" s="141"/>
      <c r="IIW584" s="141"/>
      <c r="IIX584" s="141"/>
      <c r="IIY584" s="141"/>
      <c r="IIZ584" s="141"/>
      <c r="IJA584" s="141"/>
      <c r="IJB584" s="141"/>
      <c r="IJC584" s="141"/>
      <c r="IJD584" s="141"/>
      <c r="IJE584" s="141"/>
      <c r="IJF584" s="141"/>
      <c r="IJG584" s="141"/>
      <c r="IJH584" s="141"/>
      <c r="IJI584" s="141"/>
      <c r="IJJ584" s="141"/>
      <c r="IJK584" s="141"/>
      <c r="IJL584" s="141"/>
      <c r="IJM584" s="141"/>
      <c r="IJN584" s="141"/>
      <c r="IJO584" s="141"/>
      <c r="IJP584" s="141"/>
      <c r="IJQ584" s="141"/>
      <c r="IJR584" s="141"/>
      <c r="IJS584" s="141"/>
      <c r="IJT584" s="141"/>
      <c r="IJU584" s="141"/>
      <c r="IJV584" s="141"/>
      <c r="IJW584" s="141"/>
      <c r="IJX584" s="141"/>
      <c r="IJY584" s="141"/>
      <c r="IJZ584" s="141"/>
      <c r="IKA584" s="141"/>
      <c r="IKB584" s="141"/>
      <c r="IKC584" s="141"/>
      <c r="IKD584" s="141"/>
      <c r="IKE584" s="141"/>
      <c r="IKF584" s="141"/>
      <c r="IKG584" s="141"/>
      <c r="IKH584" s="141"/>
      <c r="IKI584" s="141"/>
      <c r="IKJ584" s="141"/>
      <c r="IKK584" s="141"/>
      <c r="IKL584" s="141"/>
      <c r="IKM584" s="141"/>
      <c r="IKN584" s="141"/>
      <c r="IKO584" s="141"/>
      <c r="IKP584" s="141"/>
      <c r="IKQ584" s="141"/>
      <c r="IKR584" s="141"/>
      <c r="IKS584" s="141"/>
      <c r="IKT584" s="141"/>
      <c r="IKU584" s="141"/>
      <c r="IKV584" s="141"/>
      <c r="IKW584" s="141"/>
      <c r="IKX584" s="141"/>
      <c r="IKY584" s="141"/>
      <c r="IKZ584" s="141"/>
      <c r="ILA584" s="141"/>
      <c r="ILB584" s="141"/>
      <c r="ILC584" s="141"/>
      <c r="ILD584" s="141"/>
      <c r="ILE584" s="141"/>
      <c r="ILF584" s="141"/>
      <c r="ILG584" s="141"/>
      <c r="ILH584" s="141"/>
      <c r="ILI584" s="141"/>
      <c r="ILJ584" s="141"/>
      <c r="ILK584" s="141"/>
      <c r="ILL584" s="141"/>
      <c r="ILM584" s="141"/>
      <c r="ILN584" s="141"/>
      <c r="ILO584" s="141"/>
      <c r="ILP584" s="141"/>
      <c r="ILQ584" s="141"/>
      <c r="ILR584" s="141"/>
      <c r="ILS584" s="141"/>
      <c r="ILT584" s="141"/>
      <c r="ILU584" s="141"/>
      <c r="ILV584" s="141"/>
      <c r="ILW584" s="141"/>
      <c r="ILX584" s="141"/>
      <c r="ILY584" s="141"/>
      <c r="ILZ584" s="141"/>
      <c r="IMA584" s="141"/>
      <c r="IMB584" s="141"/>
      <c r="IMC584" s="141"/>
      <c r="IMD584" s="141"/>
      <c r="IME584" s="141"/>
      <c r="IMF584" s="141"/>
      <c r="IMG584" s="141"/>
      <c r="IMH584" s="141"/>
      <c r="IMI584" s="141"/>
      <c r="IMJ584" s="141"/>
      <c r="IMK584" s="141"/>
      <c r="IML584" s="141"/>
      <c r="IMM584" s="141"/>
      <c r="IMN584" s="141"/>
      <c r="IMO584" s="141"/>
      <c r="IMP584" s="141"/>
      <c r="IMQ584" s="141"/>
      <c r="IMR584" s="141"/>
      <c r="IMS584" s="141"/>
      <c r="IMT584" s="141"/>
      <c r="IMU584" s="141"/>
      <c r="IMV584" s="141"/>
      <c r="IMW584" s="141"/>
      <c r="IMX584" s="141"/>
      <c r="IMY584" s="141"/>
      <c r="IMZ584" s="141"/>
      <c r="INA584" s="141"/>
      <c r="INB584" s="141"/>
      <c r="INC584" s="141"/>
      <c r="IND584" s="141"/>
      <c r="INE584" s="141"/>
      <c r="INF584" s="141"/>
      <c r="ING584" s="141"/>
      <c r="INH584" s="141"/>
      <c r="INI584" s="141"/>
      <c r="INJ584" s="141"/>
      <c r="INK584" s="141"/>
      <c r="INL584" s="141"/>
      <c r="INM584" s="141"/>
      <c r="INN584" s="141"/>
      <c r="INO584" s="141"/>
      <c r="INP584" s="141"/>
      <c r="INQ584" s="141"/>
      <c r="INR584" s="141"/>
      <c r="INS584" s="141"/>
      <c r="INT584" s="141"/>
      <c r="INU584" s="141"/>
      <c r="INV584" s="141"/>
      <c r="INW584" s="141"/>
      <c r="INX584" s="141"/>
      <c r="INY584" s="141"/>
      <c r="INZ584" s="141"/>
      <c r="IOA584" s="141"/>
      <c r="IOB584" s="141"/>
      <c r="IOC584" s="141"/>
      <c r="IOD584" s="141"/>
      <c r="IOE584" s="141"/>
      <c r="IOF584" s="141"/>
      <c r="IOG584" s="141"/>
      <c r="IOH584" s="141"/>
      <c r="IOI584" s="141"/>
      <c r="IOJ584" s="141"/>
      <c r="IOK584" s="141"/>
      <c r="IOL584" s="141"/>
      <c r="IOM584" s="141"/>
      <c r="ION584" s="141"/>
      <c r="IOO584" s="141"/>
      <c r="IOP584" s="141"/>
      <c r="IOQ584" s="141"/>
      <c r="IOR584" s="141"/>
      <c r="IOS584" s="141"/>
      <c r="IOT584" s="141"/>
      <c r="IOU584" s="141"/>
      <c r="IOV584" s="141"/>
      <c r="IOW584" s="141"/>
      <c r="IOX584" s="141"/>
      <c r="IOY584" s="141"/>
      <c r="IOZ584" s="141"/>
      <c r="IPA584" s="141"/>
      <c r="IPB584" s="141"/>
      <c r="IPC584" s="141"/>
      <c r="IPD584" s="141"/>
      <c r="IPE584" s="141"/>
      <c r="IPF584" s="141"/>
      <c r="IPG584" s="141"/>
      <c r="IPH584" s="141"/>
      <c r="IPI584" s="141"/>
      <c r="IPJ584" s="141"/>
      <c r="IPK584" s="141"/>
      <c r="IPL584" s="141"/>
      <c r="IPM584" s="141"/>
      <c r="IPN584" s="141"/>
      <c r="IPO584" s="141"/>
      <c r="IPP584" s="141"/>
      <c r="IPQ584" s="141"/>
      <c r="IPR584" s="141"/>
      <c r="IPS584" s="141"/>
      <c r="IPT584" s="141"/>
      <c r="IPU584" s="141"/>
      <c r="IPV584" s="141"/>
      <c r="IPW584" s="141"/>
      <c r="IPX584" s="141"/>
      <c r="IPY584" s="141"/>
      <c r="IPZ584" s="141"/>
      <c r="IQA584" s="141"/>
      <c r="IQB584" s="141"/>
      <c r="IQC584" s="141"/>
      <c r="IQD584" s="141"/>
      <c r="IQE584" s="141"/>
      <c r="IQF584" s="141"/>
      <c r="IQG584" s="141"/>
      <c r="IQH584" s="141"/>
      <c r="IQI584" s="141"/>
      <c r="IQJ584" s="141"/>
      <c r="IQK584" s="141"/>
      <c r="IQL584" s="141"/>
      <c r="IQM584" s="141"/>
      <c r="IQN584" s="141"/>
      <c r="IQO584" s="141"/>
      <c r="IQP584" s="141"/>
      <c r="IQQ584" s="141"/>
      <c r="IQR584" s="141"/>
      <c r="IQS584" s="141"/>
      <c r="IQT584" s="141"/>
      <c r="IQU584" s="141"/>
      <c r="IQV584" s="141"/>
      <c r="IQW584" s="141"/>
      <c r="IQX584" s="141"/>
      <c r="IQY584" s="141"/>
      <c r="IQZ584" s="141"/>
      <c r="IRA584" s="141"/>
      <c r="IRB584" s="141"/>
      <c r="IRC584" s="141"/>
      <c r="IRD584" s="141"/>
      <c r="IRE584" s="141"/>
      <c r="IRF584" s="141"/>
      <c r="IRG584" s="141"/>
      <c r="IRH584" s="141"/>
      <c r="IRI584" s="141"/>
      <c r="IRJ584" s="141"/>
      <c r="IRK584" s="141"/>
      <c r="IRL584" s="141"/>
      <c r="IRM584" s="141"/>
      <c r="IRN584" s="141"/>
      <c r="IRO584" s="141"/>
      <c r="IRP584" s="141"/>
      <c r="IRQ584" s="141"/>
      <c r="IRR584" s="141"/>
      <c r="IRS584" s="141"/>
      <c r="IRT584" s="141"/>
      <c r="IRU584" s="141"/>
      <c r="IRV584" s="141"/>
      <c r="IRW584" s="141"/>
      <c r="IRX584" s="141"/>
      <c r="IRY584" s="141"/>
      <c r="IRZ584" s="141"/>
      <c r="ISA584" s="141"/>
      <c r="ISB584" s="141"/>
      <c r="ISC584" s="141"/>
      <c r="ISD584" s="141"/>
      <c r="ISE584" s="141"/>
      <c r="ISF584" s="141"/>
      <c r="ISG584" s="141"/>
      <c r="ISH584" s="141"/>
      <c r="ISI584" s="141"/>
      <c r="ISJ584" s="141"/>
      <c r="ISK584" s="141"/>
      <c r="ISL584" s="141"/>
      <c r="ISM584" s="141"/>
      <c r="ISN584" s="141"/>
      <c r="ISO584" s="141"/>
      <c r="ISP584" s="141"/>
      <c r="ISQ584" s="141"/>
      <c r="ISR584" s="141"/>
      <c r="ISS584" s="141"/>
      <c r="IST584" s="141"/>
      <c r="ISU584" s="141"/>
      <c r="ISV584" s="141"/>
      <c r="ISW584" s="141"/>
      <c r="ISX584" s="141"/>
      <c r="ISY584" s="141"/>
      <c r="ISZ584" s="141"/>
      <c r="ITA584" s="141"/>
      <c r="ITB584" s="141"/>
      <c r="ITC584" s="141"/>
      <c r="ITD584" s="141"/>
      <c r="ITE584" s="141"/>
      <c r="ITF584" s="141"/>
      <c r="ITG584" s="141"/>
      <c r="ITH584" s="141"/>
      <c r="ITI584" s="141"/>
      <c r="ITJ584" s="141"/>
      <c r="ITK584" s="141"/>
      <c r="ITL584" s="141"/>
      <c r="ITM584" s="141"/>
      <c r="ITN584" s="141"/>
      <c r="ITO584" s="141"/>
      <c r="ITP584" s="141"/>
      <c r="ITQ584" s="141"/>
      <c r="ITR584" s="141"/>
      <c r="ITS584" s="141"/>
      <c r="ITT584" s="141"/>
      <c r="ITU584" s="141"/>
      <c r="ITV584" s="141"/>
      <c r="ITW584" s="141"/>
      <c r="ITX584" s="141"/>
      <c r="ITY584" s="141"/>
      <c r="ITZ584" s="141"/>
      <c r="IUA584" s="141"/>
      <c r="IUB584" s="141"/>
      <c r="IUC584" s="141"/>
      <c r="IUD584" s="141"/>
      <c r="IUE584" s="141"/>
      <c r="IUF584" s="141"/>
      <c r="IUG584" s="141"/>
      <c r="IUH584" s="141"/>
      <c r="IUI584" s="141"/>
      <c r="IUJ584" s="141"/>
      <c r="IUK584" s="141"/>
      <c r="IUL584" s="141"/>
      <c r="IUM584" s="141"/>
      <c r="IUN584" s="141"/>
      <c r="IUO584" s="141"/>
      <c r="IUP584" s="141"/>
      <c r="IUQ584" s="141"/>
      <c r="IUR584" s="141"/>
      <c r="IUS584" s="141"/>
      <c r="IUT584" s="141"/>
      <c r="IUU584" s="141"/>
      <c r="IUV584" s="141"/>
      <c r="IUW584" s="141"/>
      <c r="IUX584" s="141"/>
      <c r="IUY584" s="141"/>
      <c r="IUZ584" s="141"/>
      <c r="IVA584" s="141"/>
      <c r="IVB584" s="141"/>
      <c r="IVC584" s="141"/>
      <c r="IVD584" s="141"/>
      <c r="IVE584" s="141"/>
      <c r="IVF584" s="141"/>
      <c r="IVG584" s="141"/>
      <c r="IVH584" s="141"/>
      <c r="IVI584" s="141"/>
      <c r="IVJ584" s="141"/>
      <c r="IVK584" s="141"/>
      <c r="IVL584" s="141"/>
      <c r="IVM584" s="141"/>
      <c r="IVN584" s="141"/>
      <c r="IVO584" s="141"/>
      <c r="IVP584" s="141"/>
      <c r="IVQ584" s="141"/>
      <c r="IVR584" s="141"/>
      <c r="IVS584" s="141"/>
      <c r="IVT584" s="141"/>
      <c r="IVU584" s="141"/>
      <c r="IVV584" s="141"/>
      <c r="IVW584" s="141"/>
      <c r="IVX584" s="141"/>
      <c r="IVY584" s="141"/>
      <c r="IVZ584" s="141"/>
      <c r="IWA584" s="141"/>
      <c r="IWB584" s="141"/>
      <c r="IWC584" s="141"/>
      <c r="IWD584" s="141"/>
      <c r="IWE584" s="141"/>
      <c r="IWF584" s="141"/>
      <c r="IWG584" s="141"/>
      <c r="IWH584" s="141"/>
      <c r="IWI584" s="141"/>
      <c r="IWJ584" s="141"/>
      <c r="IWK584" s="141"/>
      <c r="IWL584" s="141"/>
      <c r="IWM584" s="141"/>
      <c r="IWN584" s="141"/>
      <c r="IWO584" s="141"/>
      <c r="IWP584" s="141"/>
      <c r="IWQ584" s="141"/>
      <c r="IWR584" s="141"/>
      <c r="IWS584" s="141"/>
      <c r="IWT584" s="141"/>
      <c r="IWU584" s="141"/>
      <c r="IWV584" s="141"/>
      <c r="IWW584" s="141"/>
      <c r="IWX584" s="141"/>
      <c r="IWY584" s="141"/>
      <c r="IWZ584" s="141"/>
      <c r="IXA584" s="141"/>
      <c r="IXB584" s="141"/>
      <c r="IXC584" s="141"/>
      <c r="IXD584" s="141"/>
      <c r="IXE584" s="141"/>
      <c r="IXF584" s="141"/>
      <c r="IXG584" s="141"/>
      <c r="IXH584" s="141"/>
      <c r="IXI584" s="141"/>
      <c r="IXJ584" s="141"/>
      <c r="IXK584" s="141"/>
      <c r="IXL584" s="141"/>
      <c r="IXM584" s="141"/>
      <c r="IXN584" s="141"/>
      <c r="IXO584" s="141"/>
      <c r="IXP584" s="141"/>
      <c r="IXQ584" s="141"/>
      <c r="IXR584" s="141"/>
      <c r="IXS584" s="141"/>
      <c r="IXT584" s="141"/>
      <c r="IXU584" s="141"/>
      <c r="IXV584" s="141"/>
      <c r="IXW584" s="141"/>
      <c r="IXX584" s="141"/>
      <c r="IXY584" s="141"/>
      <c r="IXZ584" s="141"/>
      <c r="IYA584" s="141"/>
      <c r="IYB584" s="141"/>
      <c r="IYC584" s="141"/>
      <c r="IYD584" s="141"/>
      <c r="IYE584" s="141"/>
      <c r="IYF584" s="141"/>
      <c r="IYG584" s="141"/>
      <c r="IYH584" s="141"/>
      <c r="IYI584" s="141"/>
      <c r="IYJ584" s="141"/>
      <c r="IYK584" s="141"/>
      <c r="IYL584" s="141"/>
      <c r="IYM584" s="141"/>
      <c r="IYN584" s="141"/>
      <c r="IYO584" s="141"/>
      <c r="IYP584" s="141"/>
      <c r="IYQ584" s="141"/>
      <c r="IYR584" s="141"/>
      <c r="IYS584" s="141"/>
      <c r="IYT584" s="141"/>
      <c r="IYU584" s="141"/>
      <c r="IYV584" s="141"/>
      <c r="IYW584" s="141"/>
      <c r="IYX584" s="141"/>
      <c r="IYY584" s="141"/>
      <c r="IYZ584" s="141"/>
      <c r="IZA584" s="141"/>
      <c r="IZB584" s="141"/>
      <c r="IZC584" s="141"/>
      <c r="IZD584" s="141"/>
      <c r="IZE584" s="141"/>
      <c r="IZF584" s="141"/>
      <c r="IZG584" s="141"/>
      <c r="IZH584" s="141"/>
      <c r="IZI584" s="141"/>
      <c r="IZJ584" s="141"/>
      <c r="IZK584" s="141"/>
      <c r="IZL584" s="141"/>
      <c r="IZM584" s="141"/>
      <c r="IZN584" s="141"/>
      <c r="IZO584" s="141"/>
      <c r="IZP584" s="141"/>
      <c r="IZQ584" s="141"/>
      <c r="IZR584" s="141"/>
      <c r="IZS584" s="141"/>
      <c r="IZT584" s="141"/>
      <c r="IZU584" s="141"/>
      <c r="IZV584" s="141"/>
      <c r="IZW584" s="141"/>
      <c r="IZX584" s="141"/>
      <c r="IZY584" s="141"/>
      <c r="IZZ584" s="141"/>
      <c r="JAA584" s="141"/>
      <c r="JAB584" s="141"/>
      <c r="JAC584" s="141"/>
      <c r="JAD584" s="141"/>
      <c r="JAE584" s="141"/>
      <c r="JAF584" s="141"/>
      <c r="JAG584" s="141"/>
      <c r="JAH584" s="141"/>
      <c r="JAI584" s="141"/>
      <c r="JAJ584" s="141"/>
      <c r="JAK584" s="141"/>
      <c r="JAL584" s="141"/>
      <c r="JAM584" s="141"/>
      <c r="JAN584" s="141"/>
      <c r="JAO584" s="141"/>
      <c r="JAP584" s="141"/>
      <c r="JAQ584" s="141"/>
      <c r="JAR584" s="141"/>
      <c r="JAS584" s="141"/>
      <c r="JAT584" s="141"/>
      <c r="JAU584" s="141"/>
      <c r="JAV584" s="141"/>
      <c r="JAW584" s="141"/>
      <c r="JAX584" s="141"/>
      <c r="JAY584" s="141"/>
      <c r="JAZ584" s="141"/>
      <c r="JBA584" s="141"/>
      <c r="JBB584" s="141"/>
      <c r="JBC584" s="141"/>
      <c r="JBD584" s="141"/>
      <c r="JBE584" s="141"/>
      <c r="JBF584" s="141"/>
      <c r="JBG584" s="141"/>
      <c r="JBH584" s="141"/>
      <c r="JBI584" s="141"/>
      <c r="JBJ584" s="141"/>
      <c r="JBK584" s="141"/>
      <c r="JBL584" s="141"/>
      <c r="JBM584" s="141"/>
      <c r="JBN584" s="141"/>
      <c r="JBO584" s="141"/>
      <c r="JBP584" s="141"/>
      <c r="JBQ584" s="141"/>
      <c r="JBR584" s="141"/>
      <c r="JBS584" s="141"/>
      <c r="JBT584" s="141"/>
      <c r="JBU584" s="141"/>
      <c r="JBV584" s="141"/>
      <c r="JBW584" s="141"/>
      <c r="JBX584" s="141"/>
      <c r="JBY584" s="141"/>
      <c r="JBZ584" s="141"/>
      <c r="JCA584" s="141"/>
      <c r="JCB584" s="141"/>
      <c r="JCC584" s="141"/>
      <c r="JCD584" s="141"/>
      <c r="JCE584" s="141"/>
      <c r="JCF584" s="141"/>
      <c r="JCG584" s="141"/>
      <c r="JCH584" s="141"/>
      <c r="JCI584" s="141"/>
      <c r="JCJ584" s="141"/>
      <c r="JCK584" s="141"/>
      <c r="JCL584" s="141"/>
      <c r="JCM584" s="141"/>
      <c r="JCN584" s="141"/>
      <c r="JCO584" s="141"/>
      <c r="JCP584" s="141"/>
      <c r="JCQ584" s="141"/>
      <c r="JCR584" s="141"/>
      <c r="JCS584" s="141"/>
      <c r="JCT584" s="141"/>
      <c r="JCU584" s="141"/>
      <c r="JCV584" s="141"/>
      <c r="JCW584" s="141"/>
      <c r="JCX584" s="141"/>
      <c r="JCY584" s="141"/>
      <c r="JCZ584" s="141"/>
      <c r="JDA584" s="141"/>
      <c r="JDB584" s="141"/>
      <c r="JDC584" s="141"/>
      <c r="JDD584" s="141"/>
      <c r="JDE584" s="141"/>
      <c r="JDF584" s="141"/>
      <c r="JDG584" s="141"/>
      <c r="JDH584" s="141"/>
      <c r="JDI584" s="141"/>
      <c r="JDJ584" s="141"/>
      <c r="JDK584" s="141"/>
      <c r="JDL584" s="141"/>
      <c r="JDM584" s="141"/>
      <c r="JDN584" s="141"/>
      <c r="JDO584" s="141"/>
      <c r="JDP584" s="141"/>
      <c r="JDQ584" s="141"/>
      <c r="JDR584" s="141"/>
      <c r="JDS584" s="141"/>
      <c r="JDT584" s="141"/>
      <c r="JDU584" s="141"/>
      <c r="JDV584" s="141"/>
      <c r="JDW584" s="141"/>
      <c r="JDX584" s="141"/>
      <c r="JDY584" s="141"/>
      <c r="JDZ584" s="141"/>
      <c r="JEA584" s="141"/>
      <c r="JEB584" s="141"/>
      <c r="JEC584" s="141"/>
      <c r="JED584" s="141"/>
      <c r="JEE584" s="141"/>
      <c r="JEF584" s="141"/>
      <c r="JEG584" s="141"/>
      <c r="JEH584" s="141"/>
      <c r="JEI584" s="141"/>
      <c r="JEJ584" s="141"/>
      <c r="JEK584" s="141"/>
      <c r="JEL584" s="141"/>
      <c r="JEM584" s="141"/>
      <c r="JEN584" s="141"/>
      <c r="JEO584" s="141"/>
      <c r="JEP584" s="141"/>
      <c r="JEQ584" s="141"/>
      <c r="JER584" s="141"/>
      <c r="JES584" s="141"/>
      <c r="JET584" s="141"/>
      <c r="JEU584" s="141"/>
      <c r="JEV584" s="141"/>
      <c r="JEW584" s="141"/>
      <c r="JEX584" s="141"/>
      <c r="JEY584" s="141"/>
      <c r="JEZ584" s="141"/>
      <c r="JFA584" s="141"/>
      <c r="JFB584" s="141"/>
      <c r="JFC584" s="141"/>
      <c r="JFD584" s="141"/>
      <c r="JFE584" s="141"/>
      <c r="JFF584" s="141"/>
      <c r="JFG584" s="141"/>
      <c r="JFH584" s="141"/>
      <c r="JFI584" s="141"/>
      <c r="JFJ584" s="141"/>
      <c r="JFK584" s="141"/>
      <c r="JFL584" s="141"/>
      <c r="JFM584" s="141"/>
      <c r="JFN584" s="141"/>
      <c r="JFO584" s="141"/>
      <c r="JFP584" s="141"/>
      <c r="JFQ584" s="141"/>
      <c r="JFR584" s="141"/>
      <c r="JFS584" s="141"/>
      <c r="JFT584" s="141"/>
      <c r="JFU584" s="141"/>
      <c r="JFV584" s="141"/>
      <c r="JFW584" s="141"/>
      <c r="JFX584" s="141"/>
      <c r="JFY584" s="141"/>
      <c r="JFZ584" s="141"/>
      <c r="JGA584" s="141"/>
      <c r="JGB584" s="141"/>
      <c r="JGC584" s="141"/>
      <c r="JGD584" s="141"/>
      <c r="JGE584" s="141"/>
      <c r="JGF584" s="141"/>
      <c r="JGG584" s="141"/>
      <c r="JGH584" s="141"/>
      <c r="JGI584" s="141"/>
      <c r="JGJ584" s="141"/>
      <c r="JGK584" s="141"/>
      <c r="JGL584" s="141"/>
      <c r="JGM584" s="141"/>
      <c r="JGN584" s="141"/>
      <c r="JGO584" s="141"/>
      <c r="JGP584" s="141"/>
      <c r="JGQ584" s="141"/>
      <c r="JGR584" s="141"/>
      <c r="JGS584" s="141"/>
      <c r="JGT584" s="141"/>
      <c r="JGU584" s="141"/>
      <c r="JGV584" s="141"/>
      <c r="JGW584" s="141"/>
      <c r="JGX584" s="141"/>
      <c r="JGY584" s="141"/>
      <c r="JGZ584" s="141"/>
      <c r="JHA584" s="141"/>
      <c r="JHB584" s="141"/>
      <c r="JHC584" s="141"/>
      <c r="JHD584" s="141"/>
      <c r="JHE584" s="141"/>
      <c r="JHF584" s="141"/>
      <c r="JHG584" s="141"/>
      <c r="JHH584" s="141"/>
      <c r="JHI584" s="141"/>
      <c r="JHJ584" s="141"/>
      <c r="JHK584" s="141"/>
      <c r="JHL584" s="141"/>
      <c r="JHM584" s="141"/>
      <c r="JHN584" s="141"/>
      <c r="JHO584" s="141"/>
      <c r="JHP584" s="141"/>
      <c r="JHQ584" s="141"/>
      <c r="JHR584" s="141"/>
      <c r="JHS584" s="141"/>
      <c r="JHT584" s="141"/>
      <c r="JHU584" s="141"/>
      <c r="JHV584" s="141"/>
      <c r="JHW584" s="141"/>
      <c r="JHX584" s="141"/>
      <c r="JHY584" s="141"/>
      <c r="JHZ584" s="141"/>
      <c r="JIA584" s="141"/>
      <c r="JIB584" s="141"/>
      <c r="JIC584" s="141"/>
      <c r="JID584" s="141"/>
      <c r="JIE584" s="141"/>
      <c r="JIF584" s="141"/>
      <c r="JIG584" s="141"/>
      <c r="JIH584" s="141"/>
      <c r="JII584" s="141"/>
      <c r="JIJ584" s="141"/>
      <c r="JIK584" s="141"/>
      <c r="JIL584" s="141"/>
      <c r="JIM584" s="141"/>
      <c r="JIN584" s="141"/>
      <c r="JIO584" s="141"/>
      <c r="JIP584" s="141"/>
      <c r="JIQ584" s="141"/>
      <c r="JIR584" s="141"/>
      <c r="JIS584" s="141"/>
      <c r="JIT584" s="141"/>
      <c r="JIU584" s="141"/>
      <c r="JIV584" s="141"/>
      <c r="JIW584" s="141"/>
      <c r="JIX584" s="141"/>
      <c r="JIY584" s="141"/>
      <c r="JIZ584" s="141"/>
      <c r="JJA584" s="141"/>
      <c r="JJB584" s="141"/>
      <c r="JJC584" s="141"/>
      <c r="JJD584" s="141"/>
      <c r="JJE584" s="141"/>
      <c r="JJF584" s="141"/>
      <c r="JJG584" s="141"/>
      <c r="JJH584" s="141"/>
      <c r="JJI584" s="141"/>
      <c r="JJJ584" s="141"/>
      <c r="JJK584" s="141"/>
      <c r="JJL584" s="141"/>
      <c r="JJM584" s="141"/>
      <c r="JJN584" s="141"/>
      <c r="JJO584" s="141"/>
      <c r="JJP584" s="141"/>
      <c r="JJQ584" s="141"/>
      <c r="JJR584" s="141"/>
      <c r="JJS584" s="141"/>
      <c r="JJT584" s="141"/>
      <c r="JJU584" s="141"/>
      <c r="JJV584" s="141"/>
      <c r="JJW584" s="141"/>
      <c r="JJX584" s="141"/>
      <c r="JJY584" s="141"/>
      <c r="JJZ584" s="141"/>
      <c r="JKA584" s="141"/>
      <c r="JKB584" s="141"/>
      <c r="JKC584" s="141"/>
      <c r="JKD584" s="141"/>
      <c r="JKE584" s="141"/>
      <c r="JKF584" s="141"/>
      <c r="JKG584" s="141"/>
      <c r="JKH584" s="141"/>
      <c r="JKI584" s="141"/>
      <c r="JKJ584" s="141"/>
      <c r="JKK584" s="141"/>
      <c r="JKL584" s="141"/>
      <c r="JKM584" s="141"/>
      <c r="JKN584" s="141"/>
      <c r="JKO584" s="141"/>
      <c r="JKP584" s="141"/>
      <c r="JKQ584" s="141"/>
      <c r="JKR584" s="141"/>
      <c r="JKS584" s="141"/>
      <c r="JKT584" s="141"/>
      <c r="JKU584" s="141"/>
      <c r="JKV584" s="141"/>
      <c r="JKW584" s="141"/>
      <c r="JKX584" s="141"/>
      <c r="JKY584" s="141"/>
      <c r="JKZ584" s="141"/>
      <c r="JLA584" s="141"/>
      <c r="JLB584" s="141"/>
      <c r="JLC584" s="141"/>
      <c r="JLD584" s="141"/>
      <c r="JLE584" s="141"/>
      <c r="JLF584" s="141"/>
      <c r="JLG584" s="141"/>
      <c r="JLH584" s="141"/>
      <c r="JLI584" s="141"/>
      <c r="JLJ584" s="141"/>
      <c r="JLK584" s="141"/>
      <c r="JLL584" s="141"/>
      <c r="JLM584" s="141"/>
      <c r="JLN584" s="141"/>
      <c r="JLO584" s="141"/>
      <c r="JLP584" s="141"/>
      <c r="JLQ584" s="141"/>
      <c r="JLR584" s="141"/>
      <c r="JLS584" s="141"/>
      <c r="JLT584" s="141"/>
      <c r="JLU584" s="141"/>
      <c r="JLV584" s="141"/>
      <c r="JLW584" s="141"/>
      <c r="JLX584" s="141"/>
      <c r="JLY584" s="141"/>
      <c r="JLZ584" s="141"/>
      <c r="JMA584" s="141"/>
      <c r="JMB584" s="141"/>
      <c r="JMC584" s="141"/>
      <c r="JMD584" s="141"/>
      <c r="JME584" s="141"/>
      <c r="JMF584" s="141"/>
      <c r="JMG584" s="141"/>
      <c r="JMH584" s="141"/>
      <c r="JMI584" s="141"/>
      <c r="JMJ584" s="141"/>
      <c r="JMK584" s="141"/>
      <c r="JML584" s="141"/>
      <c r="JMM584" s="141"/>
      <c r="JMN584" s="141"/>
      <c r="JMO584" s="141"/>
      <c r="JMP584" s="141"/>
      <c r="JMQ584" s="141"/>
      <c r="JMR584" s="141"/>
      <c r="JMS584" s="141"/>
      <c r="JMT584" s="141"/>
      <c r="JMU584" s="141"/>
      <c r="JMV584" s="141"/>
      <c r="JMW584" s="141"/>
      <c r="JMX584" s="141"/>
      <c r="JMY584" s="141"/>
      <c r="JMZ584" s="141"/>
      <c r="JNA584" s="141"/>
      <c r="JNB584" s="141"/>
      <c r="JNC584" s="141"/>
      <c r="JND584" s="141"/>
      <c r="JNE584" s="141"/>
      <c r="JNF584" s="141"/>
      <c r="JNG584" s="141"/>
      <c r="JNH584" s="141"/>
      <c r="JNI584" s="141"/>
      <c r="JNJ584" s="141"/>
      <c r="JNK584" s="141"/>
      <c r="JNL584" s="141"/>
      <c r="JNM584" s="141"/>
      <c r="JNN584" s="141"/>
      <c r="JNO584" s="141"/>
      <c r="JNP584" s="141"/>
      <c r="JNQ584" s="141"/>
      <c r="JNR584" s="141"/>
      <c r="JNS584" s="141"/>
      <c r="JNT584" s="141"/>
      <c r="JNU584" s="141"/>
      <c r="JNV584" s="141"/>
      <c r="JNW584" s="141"/>
      <c r="JNX584" s="141"/>
      <c r="JNY584" s="141"/>
      <c r="JNZ584" s="141"/>
      <c r="JOA584" s="141"/>
      <c r="JOB584" s="141"/>
      <c r="JOC584" s="141"/>
      <c r="JOD584" s="141"/>
      <c r="JOE584" s="141"/>
      <c r="JOF584" s="141"/>
      <c r="JOG584" s="141"/>
      <c r="JOH584" s="141"/>
      <c r="JOI584" s="141"/>
      <c r="JOJ584" s="141"/>
      <c r="JOK584" s="141"/>
      <c r="JOL584" s="141"/>
      <c r="JOM584" s="141"/>
      <c r="JON584" s="141"/>
      <c r="JOO584" s="141"/>
      <c r="JOP584" s="141"/>
      <c r="JOQ584" s="141"/>
      <c r="JOR584" s="141"/>
      <c r="JOS584" s="141"/>
      <c r="JOT584" s="141"/>
      <c r="JOU584" s="141"/>
      <c r="JOV584" s="141"/>
      <c r="JOW584" s="141"/>
      <c r="JOX584" s="141"/>
      <c r="JOY584" s="141"/>
      <c r="JOZ584" s="141"/>
      <c r="JPA584" s="141"/>
      <c r="JPB584" s="141"/>
      <c r="JPC584" s="141"/>
      <c r="JPD584" s="141"/>
      <c r="JPE584" s="141"/>
      <c r="JPF584" s="141"/>
      <c r="JPG584" s="141"/>
      <c r="JPH584" s="141"/>
      <c r="JPI584" s="141"/>
      <c r="JPJ584" s="141"/>
      <c r="JPK584" s="141"/>
      <c r="JPL584" s="141"/>
      <c r="JPM584" s="141"/>
      <c r="JPN584" s="141"/>
      <c r="JPO584" s="141"/>
      <c r="JPP584" s="141"/>
      <c r="JPQ584" s="141"/>
      <c r="JPR584" s="141"/>
      <c r="JPS584" s="141"/>
      <c r="JPT584" s="141"/>
      <c r="JPU584" s="141"/>
      <c r="JPV584" s="141"/>
      <c r="JPW584" s="141"/>
      <c r="JPX584" s="141"/>
      <c r="JPY584" s="141"/>
      <c r="JPZ584" s="141"/>
      <c r="JQA584" s="141"/>
      <c r="JQB584" s="141"/>
      <c r="JQC584" s="141"/>
      <c r="JQD584" s="141"/>
      <c r="JQE584" s="141"/>
      <c r="JQF584" s="141"/>
      <c r="JQG584" s="141"/>
      <c r="JQH584" s="141"/>
      <c r="JQI584" s="141"/>
      <c r="JQJ584" s="141"/>
      <c r="JQK584" s="141"/>
      <c r="JQL584" s="141"/>
      <c r="JQM584" s="141"/>
      <c r="JQN584" s="141"/>
      <c r="JQO584" s="141"/>
      <c r="JQP584" s="141"/>
      <c r="JQQ584" s="141"/>
      <c r="JQR584" s="141"/>
      <c r="JQS584" s="141"/>
      <c r="JQT584" s="141"/>
      <c r="JQU584" s="141"/>
      <c r="JQV584" s="141"/>
      <c r="JQW584" s="141"/>
      <c r="JQX584" s="141"/>
      <c r="JQY584" s="141"/>
      <c r="JQZ584" s="141"/>
      <c r="JRA584" s="141"/>
      <c r="JRB584" s="141"/>
      <c r="JRC584" s="141"/>
      <c r="JRD584" s="141"/>
      <c r="JRE584" s="141"/>
      <c r="JRF584" s="141"/>
      <c r="JRG584" s="141"/>
      <c r="JRH584" s="141"/>
      <c r="JRI584" s="141"/>
      <c r="JRJ584" s="141"/>
      <c r="JRK584" s="141"/>
      <c r="JRL584" s="141"/>
      <c r="JRM584" s="141"/>
      <c r="JRN584" s="141"/>
      <c r="JRO584" s="141"/>
      <c r="JRP584" s="141"/>
      <c r="JRQ584" s="141"/>
      <c r="JRR584" s="141"/>
      <c r="JRS584" s="141"/>
      <c r="JRT584" s="141"/>
      <c r="JRU584" s="141"/>
      <c r="JRV584" s="141"/>
      <c r="JRW584" s="141"/>
      <c r="JRX584" s="141"/>
      <c r="JRY584" s="141"/>
      <c r="JRZ584" s="141"/>
      <c r="JSA584" s="141"/>
      <c r="JSB584" s="141"/>
      <c r="JSC584" s="141"/>
      <c r="JSD584" s="141"/>
      <c r="JSE584" s="141"/>
      <c r="JSF584" s="141"/>
      <c r="JSG584" s="141"/>
      <c r="JSH584" s="141"/>
      <c r="JSI584" s="141"/>
      <c r="JSJ584" s="141"/>
      <c r="JSK584" s="141"/>
      <c r="JSL584" s="141"/>
      <c r="JSM584" s="141"/>
      <c r="JSN584" s="141"/>
      <c r="JSO584" s="141"/>
      <c r="JSP584" s="141"/>
      <c r="JSQ584" s="141"/>
      <c r="JSR584" s="141"/>
      <c r="JSS584" s="141"/>
      <c r="JST584" s="141"/>
      <c r="JSU584" s="141"/>
      <c r="JSV584" s="141"/>
      <c r="JSW584" s="141"/>
      <c r="JSX584" s="141"/>
      <c r="JSY584" s="141"/>
      <c r="JSZ584" s="141"/>
      <c r="JTA584" s="141"/>
      <c r="JTB584" s="141"/>
      <c r="JTC584" s="141"/>
      <c r="JTD584" s="141"/>
      <c r="JTE584" s="141"/>
      <c r="JTF584" s="141"/>
      <c r="JTG584" s="141"/>
      <c r="JTH584" s="141"/>
      <c r="JTI584" s="141"/>
      <c r="JTJ584" s="141"/>
      <c r="JTK584" s="141"/>
      <c r="JTL584" s="141"/>
      <c r="JTM584" s="141"/>
      <c r="JTN584" s="141"/>
      <c r="JTO584" s="141"/>
      <c r="JTP584" s="141"/>
      <c r="JTQ584" s="141"/>
      <c r="JTR584" s="141"/>
      <c r="JTS584" s="141"/>
      <c r="JTT584" s="141"/>
      <c r="JTU584" s="141"/>
      <c r="JTV584" s="141"/>
      <c r="JTW584" s="141"/>
      <c r="JTX584" s="141"/>
      <c r="JTY584" s="141"/>
      <c r="JTZ584" s="141"/>
      <c r="JUA584" s="141"/>
      <c r="JUB584" s="141"/>
      <c r="JUC584" s="141"/>
      <c r="JUD584" s="141"/>
      <c r="JUE584" s="141"/>
      <c r="JUF584" s="141"/>
      <c r="JUG584" s="141"/>
      <c r="JUH584" s="141"/>
      <c r="JUI584" s="141"/>
      <c r="JUJ584" s="141"/>
      <c r="JUK584" s="141"/>
      <c r="JUL584" s="141"/>
      <c r="JUM584" s="141"/>
      <c r="JUN584" s="141"/>
      <c r="JUO584" s="141"/>
      <c r="JUP584" s="141"/>
      <c r="JUQ584" s="141"/>
      <c r="JUR584" s="141"/>
      <c r="JUS584" s="141"/>
      <c r="JUT584" s="141"/>
      <c r="JUU584" s="141"/>
      <c r="JUV584" s="141"/>
      <c r="JUW584" s="141"/>
      <c r="JUX584" s="141"/>
      <c r="JUY584" s="141"/>
      <c r="JUZ584" s="141"/>
      <c r="JVA584" s="141"/>
      <c r="JVB584" s="141"/>
      <c r="JVC584" s="141"/>
      <c r="JVD584" s="141"/>
      <c r="JVE584" s="141"/>
      <c r="JVF584" s="141"/>
      <c r="JVG584" s="141"/>
      <c r="JVH584" s="141"/>
      <c r="JVI584" s="141"/>
      <c r="JVJ584" s="141"/>
      <c r="JVK584" s="141"/>
      <c r="JVL584" s="141"/>
      <c r="JVM584" s="141"/>
      <c r="JVN584" s="141"/>
      <c r="JVO584" s="141"/>
      <c r="JVP584" s="141"/>
      <c r="JVQ584" s="141"/>
      <c r="JVR584" s="141"/>
      <c r="JVS584" s="141"/>
      <c r="JVT584" s="141"/>
      <c r="JVU584" s="141"/>
      <c r="JVV584" s="141"/>
      <c r="JVW584" s="141"/>
      <c r="JVX584" s="141"/>
      <c r="JVY584" s="141"/>
      <c r="JVZ584" s="141"/>
      <c r="JWA584" s="141"/>
      <c r="JWB584" s="141"/>
      <c r="JWC584" s="141"/>
      <c r="JWD584" s="141"/>
      <c r="JWE584" s="141"/>
      <c r="JWF584" s="141"/>
      <c r="JWG584" s="141"/>
      <c r="JWH584" s="141"/>
      <c r="JWI584" s="141"/>
      <c r="JWJ584" s="141"/>
      <c r="JWK584" s="141"/>
      <c r="JWL584" s="141"/>
      <c r="JWM584" s="141"/>
      <c r="JWN584" s="141"/>
      <c r="JWO584" s="141"/>
      <c r="JWP584" s="141"/>
      <c r="JWQ584" s="141"/>
      <c r="JWR584" s="141"/>
      <c r="JWS584" s="141"/>
      <c r="JWT584" s="141"/>
      <c r="JWU584" s="141"/>
      <c r="JWV584" s="141"/>
      <c r="JWW584" s="141"/>
      <c r="JWX584" s="141"/>
      <c r="JWY584" s="141"/>
      <c r="JWZ584" s="141"/>
      <c r="JXA584" s="141"/>
      <c r="JXB584" s="141"/>
      <c r="JXC584" s="141"/>
      <c r="JXD584" s="141"/>
      <c r="JXE584" s="141"/>
      <c r="JXF584" s="141"/>
      <c r="JXG584" s="141"/>
      <c r="JXH584" s="141"/>
      <c r="JXI584" s="141"/>
      <c r="JXJ584" s="141"/>
      <c r="JXK584" s="141"/>
      <c r="JXL584" s="141"/>
      <c r="JXM584" s="141"/>
      <c r="JXN584" s="141"/>
      <c r="JXO584" s="141"/>
      <c r="JXP584" s="141"/>
      <c r="JXQ584" s="141"/>
      <c r="JXR584" s="141"/>
      <c r="JXS584" s="141"/>
      <c r="JXT584" s="141"/>
      <c r="JXU584" s="141"/>
      <c r="JXV584" s="141"/>
      <c r="JXW584" s="141"/>
      <c r="JXX584" s="141"/>
      <c r="JXY584" s="141"/>
      <c r="JXZ584" s="141"/>
      <c r="JYA584" s="141"/>
      <c r="JYB584" s="141"/>
      <c r="JYC584" s="141"/>
      <c r="JYD584" s="141"/>
      <c r="JYE584" s="141"/>
      <c r="JYF584" s="141"/>
      <c r="JYG584" s="141"/>
      <c r="JYH584" s="141"/>
      <c r="JYI584" s="141"/>
      <c r="JYJ584" s="141"/>
      <c r="JYK584" s="141"/>
      <c r="JYL584" s="141"/>
      <c r="JYM584" s="141"/>
      <c r="JYN584" s="141"/>
      <c r="JYO584" s="141"/>
      <c r="JYP584" s="141"/>
      <c r="JYQ584" s="141"/>
      <c r="JYR584" s="141"/>
      <c r="JYS584" s="141"/>
      <c r="JYT584" s="141"/>
      <c r="JYU584" s="141"/>
      <c r="JYV584" s="141"/>
      <c r="JYW584" s="141"/>
      <c r="JYX584" s="141"/>
      <c r="JYY584" s="141"/>
      <c r="JYZ584" s="141"/>
      <c r="JZA584" s="141"/>
      <c r="JZB584" s="141"/>
      <c r="JZC584" s="141"/>
      <c r="JZD584" s="141"/>
      <c r="JZE584" s="141"/>
      <c r="JZF584" s="141"/>
      <c r="JZG584" s="141"/>
      <c r="JZH584" s="141"/>
      <c r="JZI584" s="141"/>
      <c r="JZJ584" s="141"/>
      <c r="JZK584" s="141"/>
      <c r="JZL584" s="141"/>
      <c r="JZM584" s="141"/>
      <c r="JZN584" s="141"/>
      <c r="JZO584" s="141"/>
      <c r="JZP584" s="141"/>
      <c r="JZQ584" s="141"/>
      <c r="JZR584" s="141"/>
      <c r="JZS584" s="141"/>
      <c r="JZT584" s="141"/>
      <c r="JZU584" s="141"/>
      <c r="JZV584" s="141"/>
      <c r="JZW584" s="141"/>
      <c r="JZX584" s="141"/>
      <c r="JZY584" s="141"/>
      <c r="JZZ584" s="141"/>
      <c r="KAA584" s="141"/>
      <c r="KAB584" s="141"/>
      <c r="KAC584" s="141"/>
      <c r="KAD584" s="141"/>
      <c r="KAE584" s="141"/>
      <c r="KAF584" s="141"/>
      <c r="KAG584" s="141"/>
      <c r="KAH584" s="141"/>
      <c r="KAI584" s="141"/>
      <c r="KAJ584" s="141"/>
      <c r="KAK584" s="141"/>
      <c r="KAL584" s="141"/>
      <c r="KAM584" s="141"/>
      <c r="KAN584" s="141"/>
      <c r="KAO584" s="141"/>
      <c r="KAP584" s="141"/>
      <c r="KAQ584" s="141"/>
      <c r="KAR584" s="141"/>
      <c r="KAS584" s="141"/>
      <c r="KAT584" s="141"/>
      <c r="KAU584" s="141"/>
      <c r="KAV584" s="141"/>
      <c r="KAW584" s="141"/>
      <c r="KAX584" s="141"/>
      <c r="KAY584" s="141"/>
      <c r="KAZ584" s="141"/>
      <c r="KBA584" s="141"/>
      <c r="KBB584" s="141"/>
      <c r="KBC584" s="141"/>
      <c r="KBD584" s="141"/>
      <c r="KBE584" s="141"/>
      <c r="KBF584" s="141"/>
      <c r="KBG584" s="141"/>
      <c r="KBH584" s="141"/>
      <c r="KBI584" s="141"/>
      <c r="KBJ584" s="141"/>
      <c r="KBK584" s="141"/>
      <c r="KBL584" s="141"/>
      <c r="KBM584" s="141"/>
      <c r="KBN584" s="141"/>
      <c r="KBO584" s="141"/>
      <c r="KBP584" s="141"/>
      <c r="KBQ584" s="141"/>
      <c r="KBR584" s="141"/>
      <c r="KBS584" s="141"/>
      <c r="KBT584" s="141"/>
      <c r="KBU584" s="141"/>
      <c r="KBV584" s="141"/>
      <c r="KBW584" s="141"/>
      <c r="KBX584" s="141"/>
      <c r="KBY584" s="141"/>
      <c r="KBZ584" s="141"/>
      <c r="KCA584" s="141"/>
      <c r="KCB584" s="141"/>
      <c r="KCC584" s="141"/>
      <c r="KCD584" s="141"/>
      <c r="KCE584" s="141"/>
      <c r="KCF584" s="141"/>
      <c r="KCG584" s="141"/>
      <c r="KCH584" s="141"/>
      <c r="KCI584" s="141"/>
      <c r="KCJ584" s="141"/>
      <c r="KCK584" s="141"/>
      <c r="KCL584" s="141"/>
      <c r="KCM584" s="141"/>
      <c r="KCN584" s="141"/>
      <c r="KCO584" s="141"/>
      <c r="KCP584" s="141"/>
      <c r="KCQ584" s="141"/>
      <c r="KCR584" s="141"/>
      <c r="KCS584" s="141"/>
      <c r="KCT584" s="141"/>
      <c r="KCU584" s="141"/>
      <c r="KCV584" s="141"/>
      <c r="KCW584" s="141"/>
      <c r="KCX584" s="141"/>
      <c r="KCY584" s="141"/>
      <c r="KCZ584" s="141"/>
      <c r="KDA584" s="141"/>
      <c r="KDB584" s="141"/>
      <c r="KDC584" s="141"/>
      <c r="KDD584" s="141"/>
      <c r="KDE584" s="141"/>
      <c r="KDF584" s="141"/>
      <c r="KDG584" s="141"/>
      <c r="KDH584" s="141"/>
      <c r="KDI584" s="141"/>
      <c r="KDJ584" s="141"/>
      <c r="KDK584" s="141"/>
      <c r="KDL584" s="141"/>
      <c r="KDM584" s="141"/>
      <c r="KDN584" s="141"/>
      <c r="KDO584" s="141"/>
      <c r="KDP584" s="141"/>
      <c r="KDQ584" s="141"/>
      <c r="KDR584" s="141"/>
      <c r="KDS584" s="141"/>
      <c r="KDT584" s="141"/>
      <c r="KDU584" s="141"/>
      <c r="KDV584" s="141"/>
      <c r="KDW584" s="141"/>
      <c r="KDX584" s="141"/>
      <c r="KDY584" s="141"/>
      <c r="KDZ584" s="141"/>
      <c r="KEA584" s="141"/>
      <c r="KEB584" s="141"/>
      <c r="KEC584" s="141"/>
      <c r="KED584" s="141"/>
      <c r="KEE584" s="141"/>
      <c r="KEF584" s="141"/>
      <c r="KEG584" s="141"/>
      <c r="KEH584" s="141"/>
      <c r="KEI584" s="141"/>
      <c r="KEJ584" s="141"/>
      <c r="KEK584" s="141"/>
      <c r="KEL584" s="141"/>
      <c r="KEM584" s="141"/>
      <c r="KEN584" s="141"/>
      <c r="KEO584" s="141"/>
      <c r="KEP584" s="141"/>
      <c r="KEQ584" s="141"/>
      <c r="KER584" s="141"/>
      <c r="KES584" s="141"/>
      <c r="KET584" s="141"/>
      <c r="KEU584" s="141"/>
      <c r="KEV584" s="141"/>
      <c r="KEW584" s="141"/>
      <c r="KEX584" s="141"/>
      <c r="KEY584" s="141"/>
      <c r="KEZ584" s="141"/>
      <c r="KFA584" s="141"/>
      <c r="KFB584" s="141"/>
      <c r="KFC584" s="141"/>
      <c r="KFD584" s="141"/>
      <c r="KFE584" s="141"/>
      <c r="KFF584" s="141"/>
      <c r="KFG584" s="141"/>
      <c r="KFH584" s="141"/>
      <c r="KFI584" s="141"/>
      <c r="KFJ584" s="141"/>
      <c r="KFK584" s="141"/>
      <c r="KFL584" s="141"/>
      <c r="KFM584" s="141"/>
      <c r="KFN584" s="141"/>
      <c r="KFO584" s="141"/>
      <c r="KFP584" s="141"/>
      <c r="KFQ584" s="141"/>
      <c r="KFR584" s="141"/>
      <c r="KFS584" s="141"/>
      <c r="KFT584" s="141"/>
      <c r="KFU584" s="141"/>
      <c r="KFV584" s="141"/>
      <c r="KFW584" s="141"/>
      <c r="KFX584" s="141"/>
      <c r="KFY584" s="141"/>
      <c r="KFZ584" s="141"/>
      <c r="KGA584" s="141"/>
      <c r="KGB584" s="141"/>
      <c r="KGC584" s="141"/>
      <c r="KGD584" s="141"/>
      <c r="KGE584" s="141"/>
      <c r="KGF584" s="141"/>
      <c r="KGG584" s="141"/>
      <c r="KGH584" s="141"/>
      <c r="KGI584" s="141"/>
      <c r="KGJ584" s="141"/>
      <c r="KGK584" s="141"/>
      <c r="KGL584" s="141"/>
      <c r="KGM584" s="141"/>
      <c r="KGN584" s="141"/>
      <c r="KGO584" s="141"/>
      <c r="KGP584" s="141"/>
      <c r="KGQ584" s="141"/>
      <c r="KGR584" s="141"/>
      <c r="KGS584" s="141"/>
      <c r="KGT584" s="141"/>
      <c r="KGU584" s="141"/>
      <c r="KGV584" s="141"/>
      <c r="KGW584" s="141"/>
      <c r="KGX584" s="141"/>
      <c r="KGY584" s="141"/>
      <c r="KGZ584" s="141"/>
      <c r="KHA584" s="141"/>
      <c r="KHB584" s="141"/>
      <c r="KHC584" s="141"/>
      <c r="KHD584" s="141"/>
      <c r="KHE584" s="141"/>
      <c r="KHF584" s="141"/>
      <c r="KHG584" s="141"/>
      <c r="KHH584" s="141"/>
      <c r="KHI584" s="141"/>
      <c r="KHJ584" s="141"/>
      <c r="KHK584" s="141"/>
      <c r="KHL584" s="141"/>
      <c r="KHM584" s="141"/>
      <c r="KHN584" s="141"/>
      <c r="KHO584" s="141"/>
      <c r="KHP584" s="141"/>
      <c r="KHQ584" s="141"/>
      <c r="KHR584" s="141"/>
      <c r="KHS584" s="141"/>
      <c r="KHT584" s="141"/>
      <c r="KHU584" s="141"/>
      <c r="KHV584" s="141"/>
      <c r="KHW584" s="141"/>
      <c r="KHX584" s="141"/>
      <c r="KHY584" s="141"/>
      <c r="KHZ584" s="141"/>
      <c r="KIA584" s="141"/>
      <c r="KIB584" s="141"/>
      <c r="KIC584" s="141"/>
      <c r="KID584" s="141"/>
      <c r="KIE584" s="141"/>
      <c r="KIF584" s="141"/>
      <c r="KIG584" s="141"/>
      <c r="KIH584" s="141"/>
      <c r="KII584" s="141"/>
      <c r="KIJ584" s="141"/>
      <c r="KIK584" s="141"/>
      <c r="KIL584" s="141"/>
      <c r="KIM584" s="141"/>
      <c r="KIN584" s="141"/>
      <c r="KIO584" s="141"/>
      <c r="KIP584" s="141"/>
      <c r="KIQ584" s="141"/>
      <c r="KIR584" s="141"/>
      <c r="KIS584" s="141"/>
      <c r="KIT584" s="141"/>
      <c r="KIU584" s="141"/>
      <c r="KIV584" s="141"/>
      <c r="KIW584" s="141"/>
      <c r="KIX584" s="141"/>
      <c r="KIY584" s="141"/>
      <c r="KIZ584" s="141"/>
      <c r="KJA584" s="141"/>
      <c r="KJB584" s="141"/>
      <c r="KJC584" s="141"/>
      <c r="KJD584" s="141"/>
      <c r="KJE584" s="141"/>
      <c r="KJF584" s="141"/>
      <c r="KJG584" s="141"/>
      <c r="KJH584" s="141"/>
      <c r="KJI584" s="141"/>
      <c r="KJJ584" s="141"/>
      <c r="KJK584" s="141"/>
      <c r="KJL584" s="141"/>
      <c r="KJM584" s="141"/>
      <c r="KJN584" s="141"/>
      <c r="KJO584" s="141"/>
      <c r="KJP584" s="141"/>
      <c r="KJQ584" s="141"/>
      <c r="KJR584" s="141"/>
      <c r="KJS584" s="141"/>
      <c r="KJT584" s="141"/>
      <c r="KJU584" s="141"/>
      <c r="KJV584" s="141"/>
      <c r="KJW584" s="141"/>
      <c r="KJX584" s="141"/>
      <c r="KJY584" s="141"/>
      <c r="KJZ584" s="141"/>
      <c r="KKA584" s="141"/>
      <c r="KKB584" s="141"/>
      <c r="KKC584" s="141"/>
      <c r="KKD584" s="141"/>
      <c r="KKE584" s="141"/>
      <c r="KKF584" s="141"/>
      <c r="KKG584" s="141"/>
      <c r="KKH584" s="141"/>
      <c r="KKI584" s="141"/>
      <c r="KKJ584" s="141"/>
      <c r="KKK584" s="141"/>
      <c r="KKL584" s="141"/>
      <c r="KKM584" s="141"/>
      <c r="KKN584" s="141"/>
      <c r="KKO584" s="141"/>
      <c r="KKP584" s="141"/>
      <c r="KKQ584" s="141"/>
      <c r="KKR584" s="141"/>
      <c r="KKS584" s="141"/>
      <c r="KKT584" s="141"/>
      <c r="KKU584" s="141"/>
      <c r="KKV584" s="141"/>
      <c r="KKW584" s="141"/>
      <c r="KKX584" s="141"/>
      <c r="KKY584" s="141"/>
      <c r="KKZ584" s="141"/>
      <c r="KLA584" s="141"/>
      <c r="KLB584" s="141"/>
      <c r="KLC584" s="141"/>
      <c r="KLD584" s="141"/>
      <c r="KLE584" s="141"/>
      <c r="KLF584" s="141"/>
      <c r="KLG584" s="141"/>
      <c r="KLH584" s="141"/>
      <c r="KLI584" s="141"/>
      <c r="KLJ584" s="141"/>
      <c r="KLK584" s="141"/>
      <c r="KLL584" s="141"/>
      <c r="KLM584" s="141"/>
      <c r="KLN584" s="141"/>
      <c r="KLO584" s="141"/>
      <c r="KLP584" s="141"/>
      <c r="KLQ584" s="141"/>
      <c r="KLR584" s="141"/>
      <c r="KLS584" s="141"/>
      <c r="KLT584" s="141"/>
      <c r="KLU584" s="141"/>
      <c r="KLV584" s="141"/>
      <c r="KLW584" s="141"/>
      <c r="KLX584" s="141"/>
      <c r="KLY584" s="141"/>
      <c r="KLZ584" s="141"/>
      <c r="KMA584" s="141"/>
      <c r="KMB584" s="141"/>
      <c r="KMC584" s="141"/>
      <c r="KMD584" s="141"/>
      <c r="KME584" s="141"/>
      <c r="KMF584" s="141"/>
      <c r="KMG584" s="141"/>
      <c r="KMH584" s="141"/>
      <c r="KMI584" s="141"/>
      <c r="KMJ584" s="141"/>
      <c r="KMK584" s="141"/>
      <c r="KML584" s="141"/>
      <c r="KMM584" s="141"/>
      <c r="KMN584" s="141"/>
      <c r="KMO584" s="141"/>
      <c r="KMP584" s="141"/>
      <c r="KMQ584" s="141"/>
      <c r="KMR584" s="141"/>
      <c r="KMS584" s="141"/>
      <c r="KMT584" s="141"/>
      <c r="KMU584" s="141"/>
      <c r="KMV584" s="141"/>
      <c r="KMW584" s="141"/>
      <c r="KMX584" s="141"/>
      <c r="KMY584" s="141"/>
      <c r="KMZ584" s="141"/>
      <c r="KNA584" s="141"/>
      <c r="KNB584" s="141"/>
      <c r="KNC584" s="141"/>
      <c r="KND584" s="141"/>
      <c r="KNE584" s="141"/>
      <c r="KNF584" s="141"/>
      <c r="KNG584" s="141"/>
      <c r="KNH584" s="141"/>
      <c r="KNI584" s="141"/>
      <c r="KNJ584" s="141"/>
      <c r="KNK584" s="141"/>
      <c r="KNL584" s="141"/>
      <c r="KNM584" s="141"/>
      <c r="KNN584" s="141"/>
      <c r="KNO584" s="141"/>
      <c r="KNP584" s="141"/>
      <c r="KNQ584" s="141"/>
      <c r="KNR584" s="141"/>
      <c r="KNS584" s="141"/>
      <c r="KNT584" s="141"/>
      <c r="KNU584" s="141"/>
      <c r="KNV584" s="141"/>
      <c r="KNW584" s="141"/>
      <c r="KNX584" s="141"/>
      <c r="KNY584" s="141"/>
      <c r="KNZ584" s="141"/>
      <c r="KOA584" s="141"/>
      <c r="KOB584" s="141"/>
      <c r="KOC584" s="141"/>
      <c r="KOD584" s="141"/>
      <c r="KOE584" s="141"/>
      <c r="KOF584" s="141"/>
      <c r="KOG584" s="141"/>
      <c r="KOH584" s="141"/>
      <c r="KOI584" s="141"/>
      <c r="KOJ584" s="141"/>
      <c r="KOK584" s="141"/>
      <c r="KOL584" s="141"/>
      <c r="KOM584" s="141"/>
      <c r="KON584" s="141"/>
      <c r="KOO584" s="141"/>
      <c r="KOP584" s="141"/>
      <c r="KOQ584" s="141"/>
      <c r="KOR584" s="141"/>
      <c r="KOS584" s="141"/>
      <c r="KOT584" s="141"/>
      <c r="KOU584" s="141"/>
      <c r="KOV584" s="141"/>
      <c r="KOW584" s="141"/>
      <c r="KOX584" s="141"/>
      <c r="KOY584" s="141"/>
      <c r="KOZ584" s="141"/>
      <c r="KPA584" s="141"/>
      <c r="KPB584" s="141"/>
      <c r="KPC584" s="141"/>
      <c r="KPD584" s="141"/>
      <c r="KPE584" s="141"/>
      <c r="KPF584" s="141"/>
      <c r="KPG584" s="141"/>
      <c r="KPH584" s="141"/>
      <c r="KPI584" s="141"/>
      <c r="KPJ584" s="141"/>
      <c r="KPK584" s="141"/>
      <c r="KPL584" s="141"/>
      <c r="KPM584" s="141"/>
      <c r="KPN584" s="141"/>
      <c r="KPO584" s="141"/>
      <c r="KPP584" s="141"/>
      <c r="KPQ584" s="141"/>
      <c r="KPR584" s="141"/>
      <c r="KPS584" s="141"/>
      <c r="KPT584" s="141"/>
      <c r="KPU584" s="141"/>
      <c r="KPV584" s="141"/>
      <c r="KPW584" s="141"/>
      <c r="KPX584" s="141"/>
      <c r="KPY584" s="141"/>
      <c r="KPZ584" s="141"/>
      <c r="KQA584" s="141"/>
      <c r="KQB584" s="141"/>
      <c r="KQC584" s="141"/>
      <c r="KQD584" s="141"/>
      <c r="KQE584" s="141"/>
      <c r="KQF584" s="141"/>
      <c r="KQG584" s="141"/>
      <c r="KQH584" s="141"/>
      <c r="KQI584" s="141"/>
      <c r="KQJ584" s="141"/>
      <c r="KQK584" s="141"/>
      <c r="KQL584" s="141"/>
      <c r="KQM584" s="141"/>
      <c r="KQN584" s="141"/>
      <c r="KQO584" s="141"/>
      <c r="KQP584" s="141"/>
      <c r="KQQ584" s="141"/>
      <c r="KQR584" s="141"/>
      <c r="KQS584" s="141"/>
      <c r="KQT584" s="141"/>
      <c r="KQU584" s="141"/>
      <c r="KQV584" s="141"/>
      <c r="KQW584" s="141"/>
      <c r="KQX584" s="141"/>
      <c r="KQY584" s="141"/>
      <c r="KQZ584" s="141"/>
      <c r="KRA584" s="141"/>
      <c r="KRB584" s="141"/>
      <c r="KRC584" s="141"/>
      <c r="KRD584" s="141"/>
      <c r="KRE584" s="141"/>
      <c r="KRF584" s="141"/>
      <c r="KRG584" s="141"/>
      <c r="KRH584" s="141"/>
      <c r="KRI584" s="141"/>
      <c r="KRJ584" s="141"/>
      <c r="KRK584" s="141"/>
      <c r="KRL584" s="141"/>
      <c r="KRM584" s="141"/>
      <c r="KRN584" s="141"/>
      <c r="KRO584" s="141"/>
      <c r="KRP584" s="141"/>
      <c r="KRQ584" s="141"/>
      <c r="KRR584" s="141"/>
      <c r="KRS584" s="141"/>
      <c r="KRT584" s="141"/>
      <c r="KRU584" s="141"/>
      <c r="KRV584" s="141"/>
      <c r="KRW584" s="141"/>
      <c r="KRX584" s="141"/>
      <c r="KRY584" s="141"/>
      <c r="KRZ584" s="141"/>
      <c r="KSA584" s="141"/>
      <c r="KSB584" s="141"/>
      <c r="KSC584" s="141"/>
      <c r="KSD584" s="141"/>
      <c r="KSE584" s="141"/>
      <c r="KSF584" s="141"/>
      <c r="KSG584" s="141"/>
      <c r="KSH584" s="141"/>
      <c r="KSI584" s="141"/>
      <c r="KSJ584" s="141"/>
      <c r="KSK584" s="141"/>
      <c r="KSL584" s="141"/>
      <c r="KSM584" s="141"/>
      <c r="KSN584" s="141"/>
      <c r="KSO584" s="141"/>
      <c r="KSP584" s="141"/>
      <c r="KSQ584" s="141"/>
      <c r="KSR584" s="141"/>
      <c r="KSS584" s="141"/>
      <c r="KST584" s="141"/>
      <c r="KSU584" s="141"/>
      <c r="KSV584" s="141"/>
      <c r="KSW584" s="141"/>
      <c r="KSX584" s="141"/>
      <c r="KSY584" s="141"/>
      <c r="KSZ584" s="141"/>
      <c r="KTA584" s="141"/>
      <c r="KTB584" s="141"/>
      <c r="KTC584" s="141"/>
      <c r="KTD584" s="141"/>
      <c r="KTE584" s="141"/>
      <c r="KTF584" s="141"/>
      <c r="KTG584" s="141"/>
      <c r="KTH584" s="141"/>
      <c r="KTI584" s="141"/>
      <c r="KTJ584" s="141"/>
      <c r="KTK584" s="141"/>
      <c r="KTL584" s="141"/>
      <c r="KTM584" s="141"/>
      <c r="KTN584" s="141"/>
      <c r="KTO584" s="141"/>
      <c r="KTP584" s="141"/>
      <c r="KTQ584" s="141"/>
      <c r="KTR584" s="141"/>
      <c r="KTS584" s="141"/>
      <c r="KTT584" s="141"/>
      <c r="KTU584" s="141"/>
      <c r="KTV584" s="141"/>
      <c r="KTW584" s="141"/>
      <c r="KTX584" s="141"/>
      <c r="KTY584" s="141"/>
      <c r="KTZ584" s="141"/>
      <c r="KUA584" s="141"/>
      <c r="KUB584" s="141"/>
      <c r="KUC584" s="141"/>
      <c r="KUD584" s="141"/>
      <c r="KUE584" s="141"/>
      <c r="KUF584" s="141"/>
      <c r="KUG584" s="141"/>
      <c r="KUH584" s="141"/>
      <c r="KUI584" s="141"/>
      <c r="KUJ584" s="141"/>
      <c r="KUK584" s="141"/>
      <c r="KUL584" s="141"/>
      <c r="KUM584" s="141"/>
      <c r="KUN584" s="141"/>
      <c r="KUO584" s="141"/>
      <c r="KUP584" s="141"/>
      <c r="KUQ584" s="141"/>
      <c r="KUR584" s="141"/>
      <c r="KUS584" s="141"/>
      <c r="KUT584" s="141"/>
      <c r="KUU584" s="141"/>
      <c r="KUV584" s="141"/>
      <c r="KUW584" s="141"/>
      <c r="KUX584" s="141"/>
      <c r="KUY584" s="141"/>
      <c r="KUZ584" s="141"/>
      <c r="KVA584" s="141"/>
      <c r="KVB584" s="141"/>
      <c r="KVC584" s="141"/>
      <c r="KVD584" s="141"/>
      <c r="KVE584" s="141"/>
      <c r="KVF584" s="141"/>
      <c r="KVG584" s="141"/>
      <c r="KVH584" s="141"/>
      <c r="KVI584" s="141"/>
      <c r="KVJ584" s="141"/>
      <c r="KVK584" s="141"/>
      <c r="KVL584" s="141"/>
      <c r="KVM584" s="141"/>
      <c r="KVN584" s="141"/>
      <c r="KVO584" s="141"/>
      <c r="KVP584" s="141"/>
      <c r="KVQ584" s="141"/>
      <c r="KVR584" s="141"/>
      <c r="KVS584" s="141"/>
      <c r="KVT584" s="141"/>
      <c r="KVU584" s="141"/>
      <c r="KVV584" s="141"/>
      <c r="KVW584" s="141"/>
      <c r="KVX584" s="141"/>
      <c r="KVY584" s="141"/>
      <c r="KVZ584" s="141"/>
      <c r="KWA584" s="141"/>
      <c r="KWB584" s="141"/>
      <c r="KWC584" s="141"/>
      <c r="KWD584" s="141"/>
      <c r="KWE584" s="141"/>
      <c r="KWF584" s="141"/>
      <c r="KWG584" s="141"/>
      <c r="KWH584" s="141"/>
      <c r="KWI584" s="141"/>
      <c r="KWJ584" s="141"/>
      <c r="KWK584" s="141"/>
      <c r="KWL584" s="141"/>
      <c r="KWM584" s="141"/>
      <c r="KWN584" s="141"/>
      <c r="KWO584" s="141"/>
      <c r="KWP584" s="141"/>
      <c r="KWQ584" s="141"/>
      <c r="KWR584" s="141"/>
      <c r="KWS584" s="141"/>
      <c r="KWT584" s="141"/>
      <c r="KWU584" s="141"/>
      <c r="KWV584" s="141"/>
      <c r="KWW584" s="141"/>
      <c r="KWX584" s="141"/>
      <c r="KWY584" s="141"/>
      <c r="KWZ584" s="141"/>
      <c r="KXA584" s="141"/>
      <c r="KXB584" s="141"/>
      <c r="KXC584" s="141"/>
      <c r="KXD584" s="141"/>
      <c r="KXE584" s="141"/>
      <c r="KXF584" s="141"/>
      <c r="KXG584" s="141"/>
      <c r="KXH584" s="141"/>
      <c r="KXI584" s="141"/>
      <c r="KXJ584" s="141"/>
      <c r="KXK584" s="141"/>
      <c r="KXL584" s="141"/>
      <c r="KXM584" s="141"/>
      <c r="KXN584" s="141"/>
      <c r="KXO584" s="141"/>
      <c r="KXP584" s="141"/>
      <c r="KXQ584" s="141"/>
      <c r="KXR584" s="141"/>
      <c r="KXS584" s="141"/>
      <c r="KXT584" s="141"/>
      <c r="KXU584" s="141"/>
      <c r="KXV584" s="141"/>
      <c r="KXW584" s="141"/>
      <c r="KXX584" s="141"/>
      <c r="KXY584" s="141"/>
      <c r="KXZ584" s="141"/>
      <c r="KYA584" s="141"/>
      <c r="KYB584" s="141"/>
      <c r="KYC584" s="141"/>
      <c r="KYD584" s="141"/>
      <c r="KYE584" s="141"/>
      <c r="KYF584" s="141"/>
      <c r="KYG584" s="141"/>
      <c r="KYH584" s="141"/>
      <c r="KYI584" s="141"/>
      <c r="KYJ584" s="141"/>
      <c r="KYK584" s="141"/>
      <c r="KYL584" s="141"/>
      <c r="KYM584" s="141"/>
      <c r="KYN584" s="141"/>
      <c r="KYO584" s="141"/>
      <c r="KYP584" s="141"/>
      <c r="KYQ584" s="141"/>
      <c r="KYR584" s="141"/>
      <c r="KYS584" s="141"/>
      <c r="KYT584" s="141"/>
      <c r="KYU584" s="141"/>
      <c r="KYV584" s="141"/>
      <c r="KYW584" s="141"/>
      <c r="KYX584" s="141"/>
      <c r="KYY584" s="141"/>
      <c r="KYZ584" s="141"/>
      <c r="KZA584" s="141"/>
      <c r="KZB584" s="141"/>
      <c r="KZC584" s="141"/>
      <c r="KZD584" s="141"/>
      <c r="KZE584" s="141"/>
      <c r="KZF584" s="141"/>
      <c r="KZG584" s="141"/>
      <c r="KZH584" s="141"/>
      <c r="KZI584" s="141"/>
      <c r="KZJ584" s="141"/>
      <c r="KZK584" s="141"/>
      <c r="KZL584" s="141"/>
      <c r="KZM584" s="141"/>
      <c r="KZN584" s="141"/>
      <c r="KZO584" s="141"/>
      <c r="KZP584" s="141"/>
      <c r="KZQ584" s="141"/>
      <c r="KZR584" s="141"/>
      <c r="KZS584" s="141"/>
      <c r="KZT584" s="141"/>
      <c r="KZU584" s="141"/>
      <c r="KZV584" s="141"/>
      <c r="KZW584" s="141"/>
      <c r="KZX584" s="141"/>
      <c r="KZY584" s="141"/>
      <c r="KZZ584" s="141"/>
      <c r="LAA584" s="141"/>
      <c r="LAB584" s="141"/>
      <c r="LAC584" s="141"/>
      <c r="LAD584" s="141"/>
      <c r="LAE584" s="141"/>
      <c r="LAF584" s="141"/>
      <c r="LAG584" s="141"/>
      <c r="LAH584" s="141"/>
      <c r="LAI584" s="141"/>
      <c r="LAJ584" s="141"/>
      <c r="LAK584" s="141"/>
      <c r="LAL584" s="141"/>
      <c r="LAM584" s="141"/>
      <c r="LAN584" s="141"/>
      <c r="LAO584" s="141"/>
      <c r="LAP584" s="141"/>
      <c r="LAQ584" s="141"/>
      <c r="LAR584" s="141"/>
      <c r="LAS584" s="141"/>
      <c r="LAT584" s="141"/>
      <c r="LAU584" s="141"/>
      <c r="LAV584" s="141"/>
      <c r="LAW584" s="141"/>
      <c r="LAX584" s="141"/>
      <c r="LAY584" s="141"/>
      <c r="LAZ584" s="141"/>
      <c r="LBA584" s="141"/>
      <c r="LBB584" s="141"/>
      <c r="LBC584" s="141"/>
      <c r="LBD584" s="141"/>
      <c r="LBE584" s="141"/>
      <c r="LBF584" s="141"/>
      <c r="LBG584" s="141"/>
      <c r="LBH584" s="141"/>
      <c r="LBI584" s="141"/>
      <c r="LBJ584" s="141"/>
      <c r="LBK584" s="141"/>
      <c r="LBL584" s="141"/>
      <c r="LBM584" s="141"/>
      <c r="LBN584" s="141"/>
      <c r="LBO584" s="141"/>
      <c r="LBP584" s="141"/>
      <c r="LBQ584" s="141"/>
      <c r="LBR584" s="141"/>
      <c r="LBS584" s="141"/>
      <c r="LBT584" s="141"/>
      <c r="LBU584" s="141"/>
      <c r="LBV584" s="141"/>
      <c r="LBW584" s="141"/>
      <c r="LBX584" s="141"/>
      <c r="LBY584" s="141"/>
      <c r="LBZ584" s="141"/>
      <c r="LCA584" s="141"/>
      <c r="LCB584" s="141"/>
      <c r="LCC584" s="141"/>
      <c r="LCD584" s="141"/>
      <c r="LCE584" s="141"/>
      <c r="LCF584" s="141"/>
      <c r="LCG584" s="141"/>
      <c r="LCH584" s="141"/>
      <c r="LCI584" s="141"/>
      <c r="LCJ584" s="141"/>
      <c r="LCK584" s="141"/>
      <c r="LCL584" s="141"/>
      <c r="LCM584" s="141"/>
      <c r="LCN584" s="141"/>
      <c r="LCO584" s="141"/>
      <c r="LCP584" s="141"/>
      <c r="LCQ584" s="141"/>
      <c r="LCR584" s="141"/>
      <c r="LCS584" s="141"/>
      <c r="LCT584" s="141"/>
      <c r="LCU584" s="141"/>
      <c r="LCV584" s="141"/>
      <c r="LCW584" s="141"/>
      <c r="LCX584" s="141"/>
      <c r="LCY584" s="141"/>
      <c r="LCZ584" s="141"/>
      <c r="LDA584" s="141"/>
      <c r="LDB584" s="141"/>
      <c r="LDC584" s="141"/>
      <c r="LDD584" s="141"/>
      <c r="LDE584" s="141"/>
      <c r="LDF584" s="141"/>
      <c r="LDG584" s="141"/>
      <c r="LDH584" s="141"/>
      <c r="LDI584" s="141"/>
      <c r="LDJ584" s="141"/>
      <c r="LDK584" s="141"/>
      <c r="LDL584" s="141"/>
      <c r="LDM584" s="141"/>
      <c r="LDN584" s="141"/>
      <c r="LDO584" s="141"/>
      <c r="LDP584" s="141"/>
      <c r="LDQ584" s="141"/>
      <c r="LDR584" s="141"/>
      <c r="LDS584" s="141"/>
      <c r="LDT584" s="141"/>
      <c r="LDU584" s="141"/>
      <c r="LDV584" s="141"/>
      <c r="LDW584" s="141"/>
      <c r="LDX584" s="141"/>
      <c r="LDY584" s="141"/>
      <c r="LDZ584" s="141"/>
      <c r="LEA584" s="141"/>
      <c r="LEB584" s="141"/>
      <c r="LEC584" s="141"/>
      <c r="LED584" s="141"/>
      <c r="LEE584" s="141"/>
      <c r="LEF584" s="141"/>
      <c r="LEG584" s="141"/>
      <c r="LEH584" s="141"/>
      <c r="LEI584" s="141"/>
      <c r="LEJ584" s="141"/>
      <c r="LEK584" s="141"/>
      <c r="LEL584" s="141"/>
      <c r="LEM584" s="141"/>
      <c r="LEN584" s="141"/>
      <c r="LEO584" s="141"/>
      <c r="LEP584" s="141"/>
      <c r="LEQ584" s="141"/>
      <c r="LER584" s="141"/>
      <c r="LES584" s="141"/>
      <c r="LET584" s="141"/>
      <c r="LEU584" s="141"/>
      <c r="LEV584" s="141"/>
      <c r="LEW584" s="141"/>
      <c r="LEX584" s="141"/>
      <c r="LEY584" s="141"/>
      <c r="LEZ584" s="141"/>
      <c r="LFA584" s="141"/>
      <c r="LFB584" s="141"/>
      <c r="LFC584" s="141"/>
      <c r="LFD584" s="141"/>
      <c r="LFE584" s="141"/>
      <c r="LFF584" s="141"/>
      <c r="LFG584" s="141"/>
      <c r="LFH584" s="141"/>
      <c r="LFI584" s="141"/>
      <c r="LFJ584" s="141"/>
      <c r="LFK584" s="141"/>
      <c r="LFL584" s="141"/>
      <c r="LFM584" s="141"/>
      <c r="LFN584" s="141"/>
      <c r="LFO584" s="141"/>
      <c r="LFP584" s="141"/>
      <c r="LFQ584" s="141"/>
      <c r="LFR584" s="141"/>
      <c r="LFS584" s="141"/>
      <c r="LFT584" s="141"/>
      <c r="LFU584" s="141"/>
      <c r="LFV584" s="141"/>
      <c r="LFW584" s="141"/>
      <c r="LFX584" s="141"/>
      <c r="LFY584" s="141"/>
      <c r="LFZ584" s="141"/>
      <c r="LGA584" s="141"/>
      <c r="LGB584" s="141"/>
      <c r="LGC584" s="141"/>
      <c r="LGD584" s="141"/>
      <c r="LGE584" s="141"/>
      <c r="LGF584" s="141"/>
      <c r="LGG584" s="141"/>
      <c r="LGH584" s="141"/>
      <c r="LGI584" s="141"/>
      <c r="LGJ584" s="141"/>
      <c r="LGK584" s="141"/>
      <c r="LGL584" s="141"/>
      <c r="LGM584" s="141"/>
      <c r="LGN584" s="141"/>
      <c r="LGO584" s="141"/>
      <c r="LGP584" s="141"/>
      <c r="LGQ584" s="141"/>
      <c r="LGR584" s="141"/>
      <c r="LGS584" s="141"/>
      <c r="LGT584" s="141"/>
      <c r="LGU584" s="141"/>
      <c r="LGV584" s="141"/>
      <c r="LGW584" s="141"/>
      <c r="LGX584" s="141"/>
      <c r="LGY584" s="141"/>
      <c r="LGZ584" s="141"/>
      <c r="LHA584" s="141"/>
      <c r="LHB584" s="141"/>
      <c r="LHC584" s="141"/>
      <c r="LHD584" s="141"/>
      <c r="LHE584" s="141"/>
      <c r="LHF584" s="141"/>
      <c r="LHG584" s="141"/>
      <c r="LHH584" s="141"/>
      <c r="LHI584" s="141"/>
      <c r="LHJ584" s="141"/>
      <c r="LHK584" s="141"/>
      <c r="LHL584" s="141"/>
      <c r="LHM584" s="141"/>
      <c r="LHN584" s="141"/>
      <c r="LHO584" s="141"/>
      <c r="LHP584" s="141"/>
      <c r="LHQ584" s="141"/>
      <c r="LHR584" s="141"/>
      <c r="LHS584" s="141"/>
      <c r="LHT584" s="141"/>
      <c r="LHU584" s="141"/>
      <c r="LHV584" s="141"/>
      <c r="LHW584" s="141"/>
      <c r="LHX584" s="141"/>
      <c r="LHY584" s="141"/>
      <c r="LHZ584" s="141"/>
      <c r="LIA584" s="141"/>
      <c r="LIB584" s="141"/>
      <c r="LIC584" s="141"/>
      <c r="LID584" s="141"/>
      <c r="LIE584" s="141"/>
      <c r="LIF584" s="141"/>
      <c r="LIG584" s="141"/>
      <c r="LIH584" s="141"/>
      <c r="LII584" s="141"/>
      <c r="LIJ584" s="141"/>
      <c r="LIK584" s="141"/>
      <c r="LIL584" s="141"/>
      <c r="LIM584" s="141"/>
      <c r="LIN584" s="141"/>
      <c r="LIO584" s="141"/>
      <c r="LIP584" s="141"/>
      <c r="LIQ584" s="141"/>
      <c r="LIR584" s="141"/>
      <c r="LIS584" s="141"/>
      <c r="LIT584" s="141"/>
      <c r="LIU584" s="141"/>
      <c r="LIV584" s="141"/>
      <c r="LIW584" s="141"/>
      <c r="LIX584" s="141"/>
      <c r="LIY584" s="141"/>
      <c r="LIZ584" s="141"/>
      <c r="LJA584" s="141"/>
      <c r="LJB584" s="141"/>
      <c r="LJC584" s="141"/>
      <c r="LJD584" s="141"/>
      <c r="LJE584" s="141"/>
      <c r="LJF584" s="141"/>
      <c r="LJG584" s="141"/>
      <c r="LJH584" s="141"/>
      <c r="LJI584" s="141"/>
      <c r="LJJ584" s="141"/>
      <c r="LJK584" s="141"/>
      <c r="LJL584" s="141"/>
      <c r="LJM584" s="141"/>
      <c r="LJN584" s="141"/>
      <c r="LJO584" s="141"/>
      <c r="LJP584" s="141"/>
      <c r="LJQ584" s="141"/>
      <c r="LJR584" s="141"/>
      <c r="LJS584" s="141"/>
      <c r="LJT584" s="141"/>
      <c r="LJU584" s="141"/>
      <c r="LJV584" s="141"/>
      <c r="LJW584" s="141"/>
      <c r="LJX584" s="141"/>
      <c r="LJY584" s="141"/>
      <c r="LJZ584" s="141"/>
      <c r="LKA584" s="141"/>
      <c r="LKB584" s="141"/>
      <c r="LKC584" s="141"/>
      <c r="LKD584" s="141"/>
      <c r="LKE584" s="141"/>
      <c r="LKF584" s="141"/>
      <c r="LKG584" s="141"/>
      <c r="LKH584" s="141"/>
      <c r="LKI584" s="141"/>
      <c r="LKJ584" s="141"/>
      <c r="LKK584" s="141"/>
      <c r="LKL584" s="141"/>
      <c r="LKM584" s="141"/>
      <c r="LKN584" s="141"/>
      <c r="LKO584" s="141"/>
      <c r="LKP584" s="141"/>
      <c r="LKQ584" s="141"/>
      <c r="LKR584" s="141"/>
      <c r="LKS584" s="141"/>
      <c r="LKT584" s="141"/>
      <c r="LKU584" s="141"/>
      <c r="LKV584" s="141"/>
      <c r="LKW584" s="141"/>
      <c r="LKX584" s="141"/>
      <c r="LKY584" s="141"/>
      <c r="LKZ584" s="141"/>
      <c r="LLA584" s="141"/>
      <c r="LLB584" s="141"/>
      <c r="LLC584" s="141"/>
      <c r="LLD584" s="141"/>
      <c r="LLE584" s="141"/>
      <c r="LLF584" s="141"/>
      <c r="LLG584" s="141"/>
      <c r="LLH584" s="141"/>
      <c r="LLI584" s="141"/>
      <c r="LLJ584" s="141"/>
      <c r="LLK584" s="141"/>
      <c r="LLL584" s="141"/>
      <c r="LLM584" s="141"/>
      <c r="LLN584" s="141"/>
      <c r="LLO584" s="141"/>
      <c r="LLP584" s="141"/>
      <c r="LLQ584" s="141"/>
      <c r="LLR584" s="141"/>
      <c r="LLS584" s="141"/>
      <c r="LLT584" s="141"/>
      <c r="LLU584" s="141"/>
      <c r="LLV584" s="141"/>
      <c r="LLW584" s="141"/>
      <c r="LLX584" s="141"/>
      <c r="LLY584" s="141"/>
      <c r="LLZ584" s="141"/>
      <c r="LMA584" s="141"/>
      <c r="LMB584" s="141"/>
      <c r="LMC584" s="141"/>
      <c r="LMD584" s="141"/>
      <c r="LME584" s="141"/>
      <c r="LMF584" s="141"/>
      <c r="LMG584" s="141"/>
      <c r="LMH584" s="141"/>
      <c r="LMI584" s="141"/>
      <c r="LMJ584" s="141"/>
      <c r="LMK584" s="141"/>
      <c r="LML584" s="141"/>
      <c r="LMM584" s="141"/>
      <c r="LMN584" s="141"/>
      <c r="LMO584" s="141"/>
      <c r="LMP584" s="141"/>
      <c r="LMQ584" s="141"/>
      <c r="LMR584" s="141"/>
      <c r="LMS584" s="141"/>
      <c r="LMT584" s="141"/>
      <c r="LMU584" s="141"/>
      <c r="LMV584" s="141"/>
      <c r="LMW584" s="141"/>
      <c r="LMX584" s="141"/>
      <c r="LMY584" s="141"/>
      <c r="LMZ584" s="141"/>
      <c r="LNA584" s="141"/>
      <c r="LNB584" s="141"/>
      <c r="LNC584" s="141"/>
      <c r="LND584" s="141"/>
      <c r="LNE584" s="141"/>
      <c r="LNF584" s="141"/>
      <c r="LNG584" s="141"/>
      <c r="LNH584" s="141"/>
      <c r="LNI584" s="141"/>
      <c r="LNJ584" s="141"/>
      <c r="LNK584" s="141"/>
      <c r="LNL584" s="141"/>
      <c r="LNM584" s="141"/>
      <c r="LNN584" s="141"/>
      <c r="LNO584" s="141"/>
      <c r="LNP584" s="141"/>
      <c r="LNQ584" s="141"/>
      <c r="LNR584" s="141"/>
      <c r="LNS584" s="141"/>
      <c r="LNT584" s="141"/>
      <c r="LNU584" s="141"/>
      <c r="LNV584" s="141"/>
      <c r="LNW584" s="141"/>
      <c r="LNX584" s="141"/>
      <c r="LNY584" s="141"/>
      <c r="LNZ584" s="141"/>
      <c r="LOA584" s="141"/>
      <c r="LOB584" s="141"/>
      <c r="LOC584" s="141"/>
      <c r="LOD584" s="141"/>
      <c r="LOE584" s="141"/>
      <c r="LOF584" s="141"/>
      <c r="LOG584" s="141"/>
      <c r="LOH584" s="141"/>
      <c r="LOI584" s="141"/>
      <c r="LOJ584" s="141"/>
      <c r="LOK584" s="141"/>
      <c r="LOL584" s="141"/>
      <c r="LOM584" s="141"/>
      <c r="LON584" s="141"/>
      <c r="LOO584" s="141"/>
      <c r="LOP584" s="141"/>
      <c r="LOQ584" s="141"/>
      <c r="LOR584" s="141"/>
      <c r="LOS584" s="141"/>
      <c r="LOT584" s="141"/>
      <c r="LOU584" s="141"/>
      <c r="LOV584" s="141"/>
      <c r="LOW584" s="141"/>
      <c r="LOX584" s="141"/>
      <c r="LOY584" s="141"/>
      <c r="LOZ584" s="141"/>
      <c r="LPA584" s="141"/>
      <c r="LPB584" s="141"/>
      <c r="LPC584" s="141"/>
      <c r="LPD584" s="141"/>
      <c r="LPE584" s="141"/>
      <c r="LPF584" s="141"/>
      <c r="LPG584" s="141"/>
      <c r="LPH584" s="141"/>
      <c r="LPI584" s="141"/>
      <c r="LPJ584" s="141"/>
      <c r="LPK584" s="141"/>
      <c r="LPL584" s="141"/>
      <c r="LPM584" s="141"/>
      <c r="LPN584" s="141"/>
      <c r="LPO584" s="141"/>
      <c r="LPP584" s="141"/>
      <c r="LPQ584" s="141"/>
      <c r="LPR584" s="141"/>
      <c r="LPS584" s="141"/>
      <c r="LPT584" s="141"/>
      <c r="LPU584" s="141"/>
      <c r="LPV584" s="141"/>
      <c r="LPW584" s="141"/>
      <c r="LPX584" s="141"/>
      <c r="LPY584" s="141"/>
      <c r="LPZ584" s="141"/>
      <c r="LQA584" s="141"/>
      <c r="LQB584" s="141"/>
      <c r="LQC584" s="141"/>
      <c r="LQD584" s="141"/>
      <c r="LQE584" s="141"/>
      <c r="LQF584" s="141"/>
      <c r="LQG584" s="141"/>
      <c r="LQH584" s="141"/>
      <c r="LQI584" s="141"/>
      <c r="LQJ584" s="141"/>
      <c r="LQK584" s="141"/>
      <c r="LQL584" s="141"/>
      <c r="LQM584" s="141"/>
      <c r="LQN584" s="141"/>
      <c r="LQO584" s="141"/>
      <c r="LQP584" s="141"/>
      <c r="LQQ584" s="141"/>
      <c r="LQR584" s="141"/>
      <c r="LQS584" s="141"/>
      <c r="LQT584" s="141"/>
      <c r="LQU584" s="141"/>
      <c r="LQV584" s="141"/>
      <c r="LQW584" s="141"/>
      <c r="LQX584" s="141"/>
      <c r="LQY584" s="141"/>
      <c r="LQZ584" s="141"/>
      <c r="LRA584" s="141"/>
      <c r="LRB584" s="141"/>
      <c r="LRC584" s="141"/>
      <c r="LRD584" s="141"/>
      <c r="LRE584" s="141"/>
      <c r="LRF584" s="141"/>
      <c r="LRG584" s="141"/>
      <c r="LRH584" s="141"/>
      <c r="LRI584" s="141"/>
      <c r="LRJ584" s="141"/>
      <c r="LRK584" s="141"/>
      <c r="LRL584" s="141"/>
      <c r="LRM584" s="141"/>
      <c r="LRN584" s="141"/>
      <c r="LRO584" s="141"/>
      <c r="LRP584" s="141"/>
      <c r="LRQ584" s="141"/>
      <c r="LRR584" s="141"/>
      <c r="LRS584" s="141"/>
      <c r="LRT584" s="141"/>
      <c r="LRU584" s="141"/>
      <c r="LRV584" s="141"/>
      <c r="LRW584" s="141"/>
      <c r="LRX584" s="141"/>
      <c r="LRY584" s="141"/>
      <c r="LRZ584" s="141"/>
      <c r="LSA584" s="141"/>
      <c r="LSB584" s="141"/>
      <c r="LSC584" s="141"/>
      <c r="LSD584" s="141"/>
      <c r="LSE584" s="141"/>
      <c r="LSF584" s="141"/>
      <c r="LSG584" s="141"/>
      <c r="LSH584" s="141"/>
      <c r="LSI584" s="141"/>
      <c r="LSJ584" s="141"/>
      <c r="LSK584" s="141"/>
      <c r="LSL584" s="141"/>
      <c r="LSM584" s="141"/>
      <c r="LSN584" s="141"/>
      <c r="LSO584" s="141"/>
      <c r="LSP584" s="141"/>
      <c r="LSQ584" s="141"/>
      <c r="LSR584" s="141"/>
      <c r="LSS584" s="141"/>
      <c r="LST584" s="141"/>
      <c r="LSU584" s="141"/>
      <c r="LSV584" s="141"/>
      <c r="LSW584" s="141"/>
      <c r="LSX584" s="141"/>
      <c r="LSY584" s="141"/>
      <c r="LSZ584" s="141"/>
      <c r="LTA584" s="141"/>
      <c r="LTB584" s="141"/>
      <c r="LTC584" s="141"/>
      <c r="LTD584" s="141"/>
      <c r="LTE584" s="141"/>
      <c r="LTF584" s="141"/>
      <c r="LTG584" s="141"/>
      <c r="LTH584" s="141"/>
      <c r="LTI584" s="141"/>
      <c r="LTJ584" s="141"/>
      <c r="LTK584" s="141"/>
      <c r="LTL584" s="141"/>
      <c r="LTM584" s="141"/>
      <c r="LTN584" s="141"/>
      <c r="LTO584" s="141"/>
      <c r="LTP584" s="141"/>
      <c r="LTQ584" s="141"/>
      <c r="LTR584" s="141"/>
      <c r="LTS584" s="141"/>
      <c r="LTT584" s="141"/>
      <c r="LTU584" s="141"/>
      <c r="LTV584" s="141"/>
      <c r="LTW584" s="141"/>
      <c r="LTX584" s="141"/>
      <c r="LTY584" s="141"/>
      <c r="LTZ584" s="141"/>
      <c r="LUA584" s="141"/>
      <c r="LUB584" s="141"/>
      <c r="LUC584" s="141"/>
      <c r="LUD584" s="141"/>
      <c r="LUE584" s="141"/>
      <c r="LUF584" s="141"/>
      <c r="LUG584" s="141"/>
      <c r="LUH584" s="141"/>
      <c r="LUI584" s="141"/>
      <c r="LUJ584" s="141"/>
      <c r="LUK584" s="141"/>
      <c r="LUL584" s="141"/>
      <c r="LUM584" s="141"/>
      <c r="LUN584" s="141"/>
      <c r="LUO584" s="141"/>
      <c r="LUP584" s="141"/>
      <c r="LUQ584" s="141"/>
      <c r="LUR584" s="141"/>
      <c r="LUS584" s="141"/>
      <c r="LUT584" s="141"/>
      <c r="LUU584" s="141"/>
      <c r="LUV584" s="141"/>
      <c r="LUW584" s="141"/>
      <c r="LUX584" s="141"/>
      <c r="LUY584" s="141"/>
      <c r="LUZ584" s="141"/>
      <c r="LVA584" s="141"/>
      <c r="LVB584" s="141"/>
      <c r="LVC584" s="141"/>
      <c r="LVD584" s="141"/>
      <c r="LVE584" s="141"/>
      <c r="LVF584" s="141"/>
      <c r="LVG584" s="141"/>
      <c r="LVH584" s="141"/>
      <c r="LVI584" s="141"/>
      <c r="LVJ584" s="141"/>
      <c r="LVK584" s="141"/>
      <c r="LVL584" s="141"/>
      <c r="LVM584" s="141"/>
      <c r="LVN584" s="141"/>
      <c r="LVO584" s="141"/>
      <c r="LVP584" s="141"/>
      <c r="LVQ584" s="141"/>
      <c r="LVR584" s="141"/>
      <c r="LVS584" s="141"/>
      <c r="LVT584" s="141"/>
      <c r="LVU584" s="141"/>
      <c r="LVV584" s="141"/>
      <c r="LVW584" s="141"/>
      <c r="LVX584" s="141"/>
      <c r="LVY584" s="141"/>
      <c r="LVZ584" s="141"/>
      <c r="LWA584" s="141"/>
      <c r="LWB584" s="141"/>
      <c r="LWC584" s="141"/>
      <c r="LWD584" s="141"/>
      <c r="LWE584" s="141"/>
      <c r="LWF584" s="141"/>
      <c r="LWG584" s="141"/>
      <c r="LWH584" s="141"/>
      <c r="LWI584" s="141"/>
      <c r="LWJ584" s="141"/>
      <c r="LWK584" s="141"/>
      <c r="LWL584" s="141"/>
      <c r="LWM584" s="141"/>
      <c r="LWN584" s="141"/>
      <c r="LWO584" s="141"/>
      <c r="LWP584" s="141"/>
      <c r="LWQ584" s="141"/>
      <c r="LWR584" s="141"/>
      <c r="LWS584" s="141"/>
      <c r="LWT584" s="141"/>
      <c r="LWU584" s="141"/>
      <c r="LWV584" s="141"/>
      <c r="LWW584" s="141"/>
      <c r="LWX584" s="141"/>
      <c r="LWY584" s="141"/>
      <c r="LWZ584" s="141"/>
      <c r="LXA584" s="141"/>
      <c r="LXB584" s="141"/>
      <c r="LXC584" s="141"/>
      <c r="LXD584" s="141"/>
      <c r="LXE584" s="141"/>
      <c r="LXF584" s="141"/>
      <c r="LXG584" s="141"/>
      <c r="LXH584" s="141"/>
      <c r="LXI584" s="141"/>
      <c r="LXJ584" s="141"/>
      <c r="LXK584" s="141"/>
      <c r="LXL584" s="141"/>
      <c r="LXM584" s="141"/>
      <c r="LXN584" s="141"/>
      <c r="LXO584" s="141"/>
      <c r="LXP584" s="141"/>
      <c r="LXQ584" s="141"/>
      <c r="LXR584" s="141"/>
      <c r="LXS584" s="141"/>
      <c r="LXT584" s="141"/>
      <c r="LXU584" s="141"/>
      <c r="LXV584" s="141"/>
      <c r="LXW584" s="141"/>
      <c r="LXX584" s="141"/>
      <c r="LXY584" s="141"/>
      <c r="LXZ584" s="141"/>
      <c r="LYA584" s="141"/>
      <c r="LYB584" s="141"/>
      <c r="LYC584" s="141"/>
      <c r="LYD584" s="141"/>
      <c r="LYE584" s="141"/>
      <c r="LYF584" s="141"/>
      <c r="LYG584" s="141"/>
      <c r="LYH584" s="141"/>
      <c r="LYI584" s="141"/>
      <c r="LYJ584" s="141"/>
      <c r="LYK584" s="141"/>
      <c r="LYL584" s="141"/>
      <c r="LYM584" s="141"/>
      <c r="LYN584" s="141"/>
      <c r="LYO584" s="141"/>
      <c r="LYP584" s="141"/>
      <c r="LYQ584" s="141"/>
      <c r="LYR584" s="141"/>
      <c r="LYS584" s="141"/>
      <c r="LYT584" s="141"/>
      <c r="LYU584" s="141"/>
      <c r="LYV584" s="141"/>
      <c r="LYW584" s="141"/>
      <c r="LYX584" s="141"/>
      <c r="LYY584" s="141"/>
      <c r="LYZ584" s="141"/>
      <c r="LZA584" s="141"/>
      <c r="LZB584" s="141"/>
      <c r="LZC584" s="141"/>
      <c r="LZD584" s="141"/>
      <c r="LZE584" s="141"/>
      <c r="LZF584" s="141"/>
      <c r="LZG584" s="141"/>
      <c r="LZH584" s="141"/>
      <c r="LZI584" s="141"/>
      <c r="LZJ584" s="141"/>
      <c r="LZK584" s="141"/>
      <c r="LZL584" s="141"/>
      <c r="LZM584" s="141"/>
      <c r="LZN584" s="141"/>
      <c r="LZO584" s="141"/>
      <c r="LZP584" s="141"/>
      <c r="LZQ584" s="141"/>
      <c r="LZR584" s="141"/>
      <c r="LZS584" s="141"/>
      <c r="LZT584" s="141"/>
      <c r="LZU584" s="141"/>
      <c r="LZV584" s="141"/>
      <c r="LZW584" s="141"/>
      <c r="LZX584" s="141"/>
      <c r="LZY584" s="141"/>
      <c r="LZZ584" s="141"/>
      <c r="MAA584" s="141"/>
      <c r="MAB584" s="141"/>
      <c r="MAC584" s="141"/>
      <c r="MAD584" s="141"/>
      <c r="MAE584" s="141"/>
      <c r="MAF584" s="141"/>
      <c r="MAG584" s="141"/>
      <c r="MAH584" s="141"/>
      <c r="MAI584" s="141"/>
      <c r="MAJ584" s="141"/>
      <c r="MAK584" s="141"/>
      <c r="MAL584" s="141"/>
      <c r="MAM584" s="141"/>
      <c r="MAN584" s="141"/>
      <c r="MAO584" s="141"/>
      <c r="MAP584" s="141"/>
      <c r="MAQ584" s="141"/>
      <c r="MAR584" s="141"/>
      <c r="MAS584" s="141"/>
      <c r="MAT584" s="141"/>
      <c r="MAU584" s="141"/>
      <c r="MAV584" s="141"/>
      <c r="MAW584" s="141"/>
      <c r="MAX584" s="141"/>
      <c r="MAY584" s="141"/>
      <c r="MAZ584" s="141"/>
      <c r="MBA584" s="141"/>
      <c r="MBB584" s="141"/>
      <c r="MBC584" s="141"/>
      <c r="MBD584" s="141"/>
      <c r="MBE584" s="141"/>
      <c r="MBF584" s="141"/>
      <c r="MBG584" s="141"/>
      <c r="MBH584" s="141"/>
      <c r="MBI584" s="141"/>
      <c r="MBJ584" s="141"/>
      <c r="MBK584" s="141"/>
      <c r="MBL584" s="141"/>
      <c r="MBM584" s="141"/>
      <c r="MBN584" s="141"/>
      <c r="MBO584" s="141"/>
      <c r="MBP584" s="141"/>
      <c r="MBQ584" s="141"/>
      <c r="MBR584" s="141"/>
      <c r="MBS584" s="141"/>
      <c r="MBT584" s="141"/>
      <c r="MBU584" s="141"/>
      <c r="MBV584" s="141"/>
      <c r="MBW584" s="141"/>
      <c r="MBX584" s="141"/>
      <c r="MBY584" s="141"/>
      <c r="MBZ584" s="141"/>
      <c r="MCA584" s="141"/>
      <c r="MCB584" s="141"/>
      <c r="MCC584" s="141"/>
      <c r="MCD584" s="141"/>
      <c r="MCE584" s="141"/>
      <c r="MCF584" s="141"/>
      <c r="MCG584" s="141"/>
      <c r="MCH584" s="141"/>
      <c r="MCI584" s="141"/>
      <c r="MCJ584" s="141"/>
      <c r="MCK584" s="141"/>
      <c r="MCL584" s="141"/>
      <c r="MCM584" s="141"/>
      <c r="MCN584" s="141"/>
      <c r="MCO584" s="141"/>
      <c r="MCP584" s="141"/>
      <c r="MCQ584" s="141"/>
      <c r="MCR584" s="141"/>
      <c r="MCS584" s="141"/>
      <c r="MCT584" s="141"/>
      <c r="MCU584" s="141"/>
      <c r="MCV584" s="141"/>
      <c r="MCW584" s="141"/>
      <c r="MCX584" s="141"/>
      <c r="MCY584" s="141"/>
      <c r="MCZ584" s="141"/>
      <c r="MDA584" s="141"/>
      <c r="MDB584" s="141"/>
      <c r="MDC584" s="141"/>
      <c r="MDD584" s="141"/>
      <c r="MDE584" s="141"/>
      <c r="MDF584" s="141"/>
      <c r="MDG584" s="141"/>
      <c r="MDH584" s="141"/>
      <c r="MDI584" s="141"/>
      <c r="MDJ584" s="141"/>
      <c r="MDK584" s="141"/>
      <c r="MDL584" s="141"/>
      <c r="MDM584" s="141"/>
      <c r="MDN584" s="141"/>
      <c r="MDO584" s="141"/>
      <c r="MDP584" s="141"/>
      <c r="MDQ584" s="141"/>
      <c r="MDR584" s="141"/>
      <c r="MDS584" s="141"/>
      <c r="MDT584" s="141"/>
      <c r="MDU584" s="141"/>
      <c r="MDV584" s="141"/>
      <c r="MDW584" s="141"/>
      <c r="MDX584" s="141"/>
      <c r="MDY584" s="141"/>
      <c r="MDZ584" s="141"/>
      <c r="MEA584" s="141"/>
      <c r="MEB584" s="141"/>
      <c r="MEC584" s="141"/>
      <c r="MED584" s="141"/>
      <c r="MEE584" s="141"/>
      <c r="MEF584" s="141"/>
      <c r="MEG584" s="141"/>
      <c r="MEH584" s="141"/>
      <c r="MEI584" s="141"/>
      <c r="MEJ584" s="141"/>
      <c r="MEK584" s="141"/>
      <c r="MEL584" s="141"/>
      <c r="MEM584" s="141"/>
      <c r="MEN584" s="141"/>
      <c r="MEO584" s="141"/>
      <c r="MEP584" s="141"/>
      <c r="MEQ584" s="141"/>
      <c r="MER584" s="141"/>
      <c r="MES584" s="141"/>
      <c r="MET584" s="141"/>
      <c r="MEU584" s="141"/>
      <c r="MEV584" s="141"/>
      <c r="MEW584" s="141"/>
      <c r="MEX584" s="141"/>
      <c r="MEY584" s="141"/>
      <c r="MEZ584" s="141"/>
      <c r="MFA584" s="141"/>
      <c r="MFB584" s="141"/>
      <c r="MFC584" s="141"/>
      <c r="MFD584" s="141"/>
      <c r="MFE584" s="141"/>
      <c r="MFF584" s="141"/>
      <c r="MFG584" s="141"/>
      <c r="MFH584" s="141"/>
      <c r="MFI584" s="141"/>
      <c r="MFJ584" s="141"/>
      <c r="MFK584" s="141"/>
      <c r="MFL584" s="141"/>
      <c r="MFM584" s="141"/>
      <c r="MFN584" s="141"/>
      <c r="MFO584" s="141"/>
      <c r="MFP584" s="141"/>
      <c r="MFQ584" s="141"/>
      <c r="MFR584" s="141"/>
      <c r="MFS584" s="141"/>
      <c r="MFT584" s="141"/>
      <c r="MFU584" s="141"/>
      <c r="MFV584" s="141"/>
      <c r="MFW584" s="141"/>
      <c r="MFX584" s="141"/>
      <c r="MFY584" s="141"/>
      <c r="MFZ584" s="141"/>
      <c r="MGA584" s="141"/>
      <c r="MGB584" s="141"/>
      <c r="MGC584" s="141"/>
      <c r="MGD584" s="141"/>
      <c r="MGE584" s="141"/>
      <c r="MGF584" s="141"/>
      <c r="MGG584" s="141"/>
      <c r="MGH584" s="141"/>
      <c r="MGI584" s="141"/>
      <c r="MGJ584" s="141"/>
      <c r="MGK584" s="141"/>
      <c r="MGL584" s="141"/>
      <c r="MGM584" s="141"/>
      <c r="MGN584" s="141"/>
      <c r="MGO584" s="141"/>
      <c r="MGP584" s="141"/>
      <c r="MGQ584" s="141"/>
      <c r="MGR584" s="141"/>
      <c r="MGS584" s="141"/>
      <c r="MGT584" s="141"/>
      <c r="MGU584" s="141"/>
      <c r="MGV584" s="141"/>
      <c r="MGW584" s="141"/>
      <c r="MGX584" s="141"/>
      <c r="MGY584" s="141"/>
      <c r="MGZ584" s="141"/>
      <c r="MHA584" s="141"/>
      <c r="MHB584" s="141"/>
      <c r="MHC584" s="141"/>
      <c r="MHD584" s="141"/>
      <c r="MHE584" s="141"/>
      <c r="MHF584" s="141"/>
      <c r="MHG584" s="141"/>
      <c r="MHH584" s="141"/>
      <c r="MHI584" s="141"/>
      <c r="MHJ584" s="141"/>
      <c r="MHK584" s="141"/>
      <c r="MHL584" s="141"/>
      <c r="MHM584" s="141"/>
      <c r="MHN584" s="141"/>
      <c r="MHO584" s="141"/>
      <c r="MHP584" s="141"/>
      <c r="MHQ584" s="141"/>
      <c r="MHR584" s="141"/>
      <c r="MHS584" s="141"/>
      <c r="MHT584" s="141"/>
      <c r="MHU584" s="141"/>
      <c r="MHV584" s="141"/>
      <c r="MHW584" s="141"/>
      <c r="MHX584" s="141"/>
      <c r="MHY584" s="141"/>
      <c r="MHZ584" s="141"/>
      <c r="MIA584" s="141"/>
      <c r="MIB584" s="141"/>
      <c r="MIC584" s="141"/>
      <c r="MID584" s="141"/>
      <c r="MIE584" s="141"/>
      <c r="MIF584" s="141"/>
      <c r="MIG584" s="141"/>
      <c r="MIH584" s="141"/>
      <c r="MII584" s="141"/>
      <c r="MIJ584" s="141"/>
      <c r="MIK584" s="141"/>
      <c r="MIL584" s="141"/>
      <c r="MIM584" s="141"/>
      <c r="MIN584" s="141"/>
      <c r="MIO584" s="141"/>
      <c r="MIP584" s="141"/>
      <c r="MIQ584" s="141"/>
      <c r="MIR584" s="141"/>
      <c r="MIS584" s="141"/>
      <c r="MIT584" s="141"/>
      <c r="MIU584" s="141"/>
      <c r="MIV584" s="141"/>
      <c r="MIW584" s="141"/>
      <c r="MIX584" s="141"/>
      <c r="MIY584" s="141"/>
      <c r="MIZ584" s="141"/>
      <c r="MJA584" s="141"/>
      <c r="MJB584" s="141"/>
      <c r="MJC584" s="141"/>
      <c r="MJD584" s="141"/>
      <c r="MJE584" s="141"/>
      <c r="MJF584" s="141"/>
      <c r="MJG584" s="141"/>
      <c r="MJH584" s="141"/>
      <c r="MJI584" s="141"/>
      <c r="MJJ584" s="141"/>
      <c r="MJK584" s="141"/>
      <c r="MJL584" s="141"/>
      <c r="MJM584" s="141"/>
      <c r="MJN584" s="141"/>
      <c r="MJO584" s="141"/>
      <c r="MJP584" s="141"/>
      <c r="MJQ584" s="141"/>
      <c r="MJR584" s="141"/>
      <c r="MJS584" s="141"/>
      <c r="MJT584" s="141"/>
      <c r="MJU584" s="141"/>
      <c r="MJV584" s="141"/>
      <c r="MJW584" s="141"/>
      <c r="MJX584" s="141"/>
      <c r="MJY584" s="141"/>
      <c r="MJZ584" s="141"/>
      <c r="MKA584" s="141"/>
      <c r="MKB584" s="141"/>
      <c r="MKC584" s="141"/>
      <c r="MKD584" s="141"/>
      <c r="MKE584" s="141"/>
      <c r="MKF584" s="141"/>
      <c r="MKG584" s="141"/>
      <c r="MKH584" s="141"/>
      <c r="MKI584" s="141"/>
      <c r="MKJ584" s="141"/>
      <c r="MKK584" s="141"/>
      <c r="MKL584" s="141"/>
      <c r="MKM584" s="141"/>
      <c r="MKN584" s="141"/>
      <c r="MKO584" s="141"/>
      <c r="MKP584" s="141"/>
      <c r="MKQ584" s="141"/>
      <c r="MKR584" s="141"/>
      <c r="MKS584" s="141"/>
      <c r="MKT584" s="141"/>
      <c r="MKU584" s="141"/>
      <c r="MKV584" s="141"/>
      <c r="MKW584" s="141"/>
      <c r="MKX584" s="141"/>
      <c r="MKY584" s="141"/>
      <c r="MKZ584" s="141"/>
      <c r="MLA584" s="141"/>
      <c r="MLB584" s="141"/>
      <c r="MLC584" s="141"/>
      <c r="MLD584" s="141"/>
      <c r="MLE584" s="141"/>
      <c r="MLF584" s="141"/>
      <c r="MLG584" s="141"/>
      <c r="MLH584" s="141"/>
      <c r="MLI584" s="141"/>
      <c r="MLJ584" s="141"/>
      <c r="MLK584" s="141"/>
      <c r="MLL584" s="141"/>
      <c r="MLM584" s="141"/>
      <c r="MLN584" s="141"/>
      <c r="MLO584" s="141"/>
      <c r="MLP584" s="141"/>
      <c r="MLQ584" s="141"/>
      <c r="MLR584" s="141"/>
      <c r="MLS584" s="141"/>
      <c r="MLT584" s="141"/>
      <c r="MLU584" s="141"/>
      <c r="MLV584" s="141"/>
      <c r="MLW584" s="141"/>
      <c r="MLX584" s="141"/>
      <c r="MLY584" s="141"/>
      <c r="MLZ584" s="141"/>
      <c r="MMA584" s="141"/>
      <c r="MMB584" s="141"/>
      <c r="MMC584" s="141"/>
      <c r="MMD584" s="141"/>
      <c r="MME584" s="141"/>
      <c r="MMF584" s="141"/>
      <c r="MMG584" s="141"/>
      <c r="MMH584" s="141"/>
      <c r="MMI584" s="141"/>
      <c r="MMJ584" s="141"/>
      <c r="MMK584" s="141"/>
      <c r="MML584" s="141"/>
      <c r="MMM584" s="141"/>
      <c r="MMN584" s="141"/>
      <c r="MMO584" s="141"/>
      <c r="MMP584" s="141"/>
      <c r="MMQ584" s="141"/>
      <c r="MMR584" s="141"/>
      <c r="MMS584" s="141"/>
      <c r="MMT584" s="141"/>
      <c r="MMU584" s="141"/>
      <c r="MMV584" s="141"/>
      <c r="MMW584" s="141"/>
      <c r="MMX584" s="141"/>
      <c r="MMY584" s="141"/>
      <c r="MMZ584" s="141"/>
      <c r="MNA584" s="141"/>
      <c r="MNB584" s="141"/>
      <c r="MNC584" s="141"/>
      <c r="MND584" s="141"/>
      <c r="MNE584" s="141"/>
      <c r="MNF584" s="141"/>
      <c r="MNG584" s="141"/>
      <c r="MNH584" s="141"/>
      <c r="MNI584" s="141"/>
      <c r="MNJ584" s="141"/>
      <c r="MNK584" s="141"/>
      <c r="MNL584" s="141"/>
      <c r="MNM584" s="141"/>
      <c r="MNN584" s="141"/>
      <c r="MNO584" s="141"/>
      <c r="MNP584" s="141"/>
      <c r="MNQ584" s="141"/>
      <c r="MNR584" s="141"/>
      <c r="MNS584" s="141"/>
      <c r="MNT584" s="141"/>
      <c r="MNU584" s="141"/>
      <c r="MNV584" s="141"/>
      <c r="MNW584" s="141"/>
      <c r="MNX584" s="141"/>
      <c r="MNY584" s="141"/>
      <c r="MNZ584" s="141"/>
      <c r="MOA584" s="141"/>
      <c r="MOB584" s="141"/>
      <c r="MOC584" s="141"/>
      <c r="MOD584" s="141"/>
      <c r="MOE584" s="141"/>
      <c r="MOF584" s="141"/>
      <c r="MOG584" s="141"/>
      <c r="MOH584" s="141"/>
      <c r="MOI584" s="141"/>
      <c r="MOJ584" s="141"/>
      <c r="MOK584" s="141"/>
      <c r="MOL584" s="141"/>
      <c r="MOM584" s="141"/>
      <c r="MON584" s="141"/>
      <c r="MOO584" s="141"/>
      <c r="MOP584" s="141"/>
      <c r="MOQ584" s="141"/>
      <c r="MOR584" s="141"/>
      <c r="MOS584" s="141"/>
      <c r="MOT584" s="141"/>
      <c r="MOU584" s="141"/>
      <c r="MOV584" s="141"/>
      <c r="MOW584" s="141"/>
      <c r="MOX584" s="141"/>
      <c r="MOY584" s="141"/>
      <c r="MOZ584" s="141"/>
      <c r="MPA584" s="141"/>
      <c r="MPB584" s="141"/>
      <c r="MPC584" s="141"/>
      <c r="MPD584" s="141"/>
      <c r="MPE584" s="141"/>
      <c r="MPF584" s="141"/>
      <c r="MPG584" s="141"/>
      <c r="MPH584" s="141"/>
      <c r="MPI584" s="141"/>
      <c r="MPJ584" s="141"/>
      <c r="MPK584" s="141"/>
      <c r="MPL584" s="141"/>
      <c r="MPM584" s="141"/>
      <c r="MPN584" s="141"/>
      <c r="MPO584" s="141"/>
      <c r="MPP584" s="141"/>
      <c r="MPQ584" s="141"/>
      <c r="MPR584" s="141"/>
      <c r="MPS584" s="141"/>
      <c r="MPT584" s="141"/>
      <c r="MPU584" s="141"/>
      <c r="MPV584" s="141"/>
      <c r="MPW584" s="141"/>
      <c r="MPX584" s="141"/>
      <c r="MPY584" s="141"/>
      <c r="MPZ584" s="141"/>
      <c r="MQA584" s="141"/>
      <c r="MQB584" s="141"/>
      <c r="MQC584" s="141"/>
      <c r="MQD584" s="141"/>
      <c r="MQE584" s="141"/>
      <c r="MQF584" s="141"/>
      <c r="MQG584" s="141"/>
      <c r="MQH584" s="141"/>
      <c r="MQI584" s="141"/>
      <c r="MQJ584" s="141"/>
      <c r="MQK584" s="141"/>
      <c r="MQL584" s="141"/>
      <c r="MQM584" s="141"/>
      <c r="MQN584" s="141"/>
      <c r="MQO584" s="141"/>
      <c r="MQP584" s="141"/>
      <c r="MQQ584" s="141"/>
      <c r="MQR584" s="141"/>
      <c r="MQS584" s="141"/>
      <c r="MQT584" s="141"/>
      <c r="MQU584" s="141"/>
      <c r="MQV584" s="141"/>
      <c r="MQW584" s="141"/>
      <c r="MQX584" s="141"/>
      <c r="MQY584" s="141"/>
      <c r="MQZ584" s="141"/>
      <c r="MRA584" s="141"/>
      <c r="MRB584" s="141"/>
      <c r="MRC584" s="141"/>
      <c r="MRD584" s="141"/>
      <c r="MRE584" s="141"/>
      <c r="MRF584" s="141"/>
      <c r="MRG584" s="141"/>
      <c r="MRH584" s="141"/>
      <c r="MRI584" s="141"/>
      <c r="MRJ584" s="141"/>
      <c r="MRK584" s="141"/>
      <c r="MRL584" s="141"/>
      <c r="MRM584" s="141"/>
      <c r="MRN584" s="141"/>
      <c r="MRO584" s="141"/>
      <c r="MRP584" s="141"/>
      <c r="MRQ584" s="141"/>
      <c r="MRR584" s="141"/>
      <c r="MRS584" s="141"/>
      <c r="MRT584" s="141"/>
      <c r="MRU584" s="141"/>
      <c r="MRV584" s="141"/>
      <c r="MRW584" s="141"/>
      <c r="MRX584" s="141"/>
      <c r="MRY584" s="141"/>
      <c r="MRZ584" s="141"/>
      <c r="MSA584" s="141"/>
      <c r="MSB584" s="141"/>
      <c r="MSC584" s="141"/>
      <c r="MSD584" s="141"/>
      <c r="MSE584" s="141"/>
      <c r="MSF584" s="141"/>
      <c r="MSG584" s="141"/>
      <c r="MSH584" s="141"/>
      <c r="MSI584" s="141"/>
      <c r="MSJ584" s="141"/>
      <c r="MSK584" s="141"/>
      <c r="MSL584" s="141"/>
      <c r="MSM584" s="141"/>
      <c r="MSN584" s="141"/>
      <c r="MSO584" s="141"/>
      <c r="MSP584" s="141"/>
      <c r="MSQ584" s="141"/>
      <c r="MSR584" s="141"/>
      <c r="MSS584" s="141"/>
      <c r="MST584" s="141"/>
      <c r="MSU584" s="141"/>
      <c r="MSV584" s="141"/>
      <c r="MSW584" s="141"/>
      <c r="MSX584" s="141"/>
      <c r="MSY584" s="141"/>
      <c r="MSZ584" s="141"/>
      <c r="MTA584" s="141"/>
      <c r="MTB584" s="141"/>
      <c r="MTC584" s="141"/>
      <c r="MTD584" s="141"/>
      <c r="MTE584" s="141"/>
      <c r="MTF584" s="141"/>
      <c r="MTG584" s="141"/>
      <c r="MTH584" s="141"/>
      <c r="MTI584" s="141"/>
      <c r="MTJ584" s="141"/>
      <c r="MTK584" s="141"/>
      <c r="MTL584" s="141"/>
      <c r="MTM584" s="141"/>
      <c r="MTN584" s="141"/>
      <c r="MTO584" s="141"/>
      <c r="MTP584" s="141"/>
      <c r="MTQ584" s="141"/>
      <c r="MTR584" s="141"/>
      <c r="MTS584" s="141"/>
      <c r="MTT584" s="141"/>
      <c r="MTU584" s="141"/>
      <c r="MTV584" s="141"/>
      <c r="MTW584" s="141"/>
      <c r="MTX584" s="141"/>
      <c r="MTY584" s="141"/>
      <c r="MTZ584" s="141"/>
      <c r="MUA584" s="141"/>
      <c r="MUB584" s="141"/>
      <c r="MUC584" s="141"/>
      <c r="MUD584" s="141"/>
      <c r="MUE584" s="141"/>
      <c r="MUF584" s="141"/>
      <c r="MUG584" s="141"/>
      <c r="MUH584" s="141"/>
      <c r="MUI584" s="141"/>
      <c r="MUJ584" s="141"/>
      <c r="MUK584" s="141"/>
      <c r="MUL584" s="141"/>
      <c r="MUM584" s="141"/>
      <c r="MUN584" s="141"/>
      <c r="MUO584" s="141"/>
      <c r="MUP584" s="141"/>
      <c r="MUQ584" s="141"/>
      <c r="MUR584" s="141"/>
      <c r="MUS584" s="141"/>
      <c r="MUT584" s="141"/>
      <c r="MUU584" s="141"/>
      <c r="MUV584" s="141"/>
      <c r="MUW584" s="141"/>
      <c r="MUX584" s="141"/>
      <c r="MUY584" s="141"/>
      <c r="MUZ584" s="141"/>
      <c r="MVA584" s="141"/>
      <c r="MVB584" s="141"/>
      <c r="MVC584" s="141"/>
      <c r="MVD584" s="141"/>
      <c r="MVE584" s="141"/>
      <c r="MVF584" s="141"/>
      <c r="MVG584" s="141"/>
      <c r="MVH584" s="141"/>
      <c r="MVI584" s="141"/>
      <c r="MVJ584" s="141"/>
      <c r="MVK584" s="141"/>
      <c r="MVL584" s="141"/>
      <c r="MVM584" s="141"/>
      <c r="MVN584" s="141"/>
      <c r="MVO584" s="141"/>
      <c r="MVP584" s="141"/>
      <c r="MVQ584" s="141"/>
      <c r="MVR584" s="141"/>
      <c r="MVS584" s="141"/>
      <c r="MVT584" s="141"/>
      <c r="MVU584" s="141"/>
      <c r="MVV584" s="141"/>
      <c r="MVW584" s="141"/>
      <c r="MVX584" s="141"/>
      <c r="MVY584" s="141"/>
      <c r="MVZ584" s="141"/>
      <c r="MWA584" s="141"/>
      <c r="MWB584" s="141"/>
      <c r="MWC584" s="141"/>
      <c r="MWD584" s="141"/>
      <c r="MWE584" s="141"/>
      <c r="MWF584" s="141"/>
      <c r="MWG584" s="141"/>
      <c r="MWH584" s="141"/>
      <c r="MWI584" s="141"/>
      <c r="MWJ584" s="141"/>
      <c r="MWK584" s="141"/>
      <c r="MWL584" s="141"/>
      <c r="MWM584" s="141"/>
      <c r="MWN584" s="141"/>
      <c r="MWO584" s="141"/>
      <c r="MWP584" s="141"/>
      <c r="MWQ584" s="141"/>
      <c r="MWR584" s="141"/>
      <c r="MWS584" s="141"/>
      <c r="MWT584" s="141"/>
      <c r="MWU584" s="141"/>
      <c r="MWV584" s="141"/>
      <c r="MWW584" s="141"/>
      <c r="MWX584" s="141"/>
      <c r="MWY584" s="141"/>
      <c r="MWZ584" s="141"/>
      <c r="MXA584" s="141"/>
      <c r="MXB584" s="141"/>
      <c r="MXC584" s="141"/>
      <c r="MXD584" s="141"/>
      <c r="MXE584" s="141"/>
      <c r="MXF584" s="141"/>
      <c r="MXG584" s="141"/>
      <c r="MXH584" s="141"/>
      <c r="MXI584" s="141"/>
      <c r="MXJ584" s="141"/>
      <c r="MXK584" s="141"/>
      <c r="MXL584" s="141"/>
      <c r="MXM584" s="141"/>
      <c r="MXN584" s="141"/>
      <c r="MXO584" s="141"/>
      <c r="MXP584" s="141"/>
      <c r="MXQ584" s="141"/>
      <c r="MXR584" s="141"/>
      <c r="MXS584" s="141"/>
      <c r="MXT584" s="141"/>
      <c r="MXU584" s="141"/>
      <c r="MXV584" s="141"/>
      <c r="MXW584" s="141"/>
      <c r="MXX584" s="141"/>
      <c r="MXY584" s="141"/>
      <c r="MXZ584" s="141"/>
      <c r="MYA584" s="141"/>
      <c r="MYB584" s="141"/>
      <c r="MYC584" s="141"/>
      <c r="MYD584" s="141"/>
      <c r="MYE584" s="141"/>
      <c r="MYF584" s="141"/>
      <c r="MYG584" s="141"/>
      <c r="MYH584" s="141"/>
      <c r="MYI584" s="141"/>
      <c r="MYJ584" s="141"/>
      <c r="MYK584" s="141"/>
      <c r="MYL584" s="141"/>
      <c r="MYM584" s="141"/>
      <c r="MYN584" s="141"/>
      <c r="MYO584" s="141"/>
      <c r="MYP584" s="141"/>
      <c r="MYQ584" s="141"/>
      <c r="MYR584" s="141"/>
      <c r="MYS584" s="141"/>
      <c r="MYT584" s="141"/>
      <c r="MYU584" s="141"/>
      <c r="MYV584" s="141"/>
      <c r="MYW584" s="141"/>
      <c r="MYX584" s="141"/>
      <c r="MYY584" s="141"/>
      <c r="MYZ584" s="141"/>
      <c r="MZA584" s="141"/>
      <c r="MZB584" s="141"/>
      <c r="MZC584" s="141"/>
      <c r="MZD584" s="141"/>
      <c r="MZE584" s="141"/>
      <c r="MZF584" s="141"/>
      <c r="MZG584" s="141"/>
      <c r="MZH584" s="141"/>
      <c r="MZI584" s="141"/>
      <c r="MZJ584" s="141"/>
      <c r="MZK584" s="141"/>
      <c r="MZL584" s="141"/>
      <c r="MZM584" s="141"/>
      <c r="MZN584" s="141"/>
      <c r="MZO584" s="141"/>
      <c r="MZP584" s="141"/>
      <c r="MZQ584" s="141"/>
      <c r="MZR584" s="141"/>
      <c r="MZS584" s="141"/>
      <c r="MZT584" s="141"/>
      <c r="MZU584" s="141"/>
      <c r="MZV584" s="141"/>
      <c r="MZW584" s="141"/>
      <c r="MZX584" s="141"/>
      <c r="MZY584" s="141"/>
      <c r="MZZ584" s="141"/>
      <c r="NAA584" s="141"/>
      <c r="NAB584" s="141"/>
      <c r="NAC584" s="141"/>
      <c r="NAD584" s="141"/>
      <c r="NAE584" s="141"/>
      <c r="NAF584" s="141"/>
      <c r="NAG584" s="141"/>
      <c r="NAH584" s="141"/>
      <c r="NAI584" s="141"/>
      <c r="NAJ584" s="141"/>
      <c r="NAK584" s="141"/>
      <c r="NAL584" s="141"/>
      <c r="NAM584" s="141"/>
      <c r="NAN584" s="141"/>
      <c r="NAO584" s="141"/>
      <c r="NAP584" s="141"/>
      <c r="NAQ584" s="141"/>
      <c r="NAR584" s="141"/>
      <c r="NAS584" s="141"/>
      <c r="NAT584" s="141"/>
      <c r="NAU584" s="141"/>
      <c r="NAV584" s="141"/>
      <c r="NAW584" s="141"/>
      <c r="NAX584" s="141"/>
      <c r="NAY584" s="141"/>
      <c r="NAZ584" s="141"/>
      <c r="NBA584" s="141"/>
      <c r="NBB584" s="141"/>
      <c r="NBC584" s="141"/>
      <c r="NBD584" s="141"/>
      <c r="NBE584" s="141"/>
      <c r="NBF584" s="141"/>
      <c r="NBG584" s="141"/>
      <c r="NBH584" s="141"/>
      <c r="NBI584" s="141"/>
      <c r="NBJ584" s="141"/>
      <c r="NBK584" s="141"/>
      <c r="NBL584" s="141"/>
      <c r="NBM584" s="141"/>
      <c r="NBN584" s="141"/>
      <c r="NBO584" s="141"/>
      <c r="NBP584" s="141"/>
      <c r="NBQ584" s="141"/>
      <c r="NBR584" s="141"/>
      <c r="NBS584" s="141"/>
      <c r="NBT584" s="141"/>
      <c r="NBU584" s="141"/>
      <c r="NBV584" s="141"/>
      <c r="NBW584" s="141"/>
      <c r="NBX584" s="141"/>
      <c r="NBY584" s="141"/>
      <c r="NBZ584" s="141"/>
      <c r="NCA584" s="141"/>
      <c r="NCB584" s="141"/>
      <c r="NCC584" s="141"/>
      <c r="NCD584" s="141"/>
      <c r="NCE584" s="141"/>
      <c r="NCF584" s="141"/>
      <c r="NCG584" s="141"/>
      <c r="NCH584" s="141"/>
      <c r="NCI584" s="141"/>
      <c r="NCJ584" s="141"/>
      <c r="NCK584" s="141"/>
      <c r="NCL584" s="141"/>
      <c r="NCM584" s="141"/>
      <c r="NCN584" s="141"/>
      <c r="NCO584" s="141"/>
      <c r="NCP584" s="141"/>
      <c r="NCQ584" s="141"/>
      <c r="NCR584" s="141"/>
      <c r="NCS584" s="141"/>
      <c r="NCT584" s="141"/>
      <c r="NCU584" s="141"/>
      <c r="NCV584" s="141"/>
      <c r="NCW584" s="141"/>
      <c r="NCX584" s="141"/>
      <c r="NCY584" s="141"/>
      <c r="NCZ584" s="141"/>
      <c r="NDA584" s="141"/>
      <c r="NDB584" s="141"/>
      <c r="NDC584" s="141"/>
      <c r="NDD584" s="141"/>
      <c r="NDE584" s="141"/>
      <c r="NDF584" s="141"/>
      <c r="NDG584" s="141"/>
      <c r="NDH584" s="141"/>
      <c r="NDI584" s="141"/>
      <c r="NDJ584" s="141"/>
      <c r="NDK584" s="141"/>
      <c r="NDL584" s="141"/>
      <c r="NDM584" s="141"/>
      <c r="NDN584" s="141"/>
      <c r="NDO584" s="141"/>
      <c r="NDP584" s="141"/>
      <c r="NDQ584" s="141"/>
      <c r="NDR584" s="141"/>
      <c r="NDS584" s="141"/>
      <c r="NDT584" s="141"/>
      <c r="NDU584" s="141"/>
      <c r="NDV584" s="141"/>
      <c r="NDW584" s="141"/>
      <c r="NDX584" s="141"/>
      <c r="NDY584" s="141"/>
      <c r="NDZ584" s="141"/>
      <c r="NEA584" s="141"/>
      <c r="NEB584" s="141"/>
      <c r="NEC584" s="141"/>
      <c r="NED584" s="141"/>
      <c r="NEE584" s="141"/>
      <c r="NEF584" s="141"/>
      <c r="NEG584" s="141"/>
      <c r="NEH584" s="141"/>
      <c r="NEI584" s="141"/>
      <c r="NEJ584" s="141"/>
      <c r="NEK584" s="141"/>
      <c r="NEL584" s="141"/>
      <c r="NEM584" s="141"/>
      <c r="NEN584" s="141"/>
      <c r="NEO584" s="141"/>
      <c r="NEP584" s="141"/>
      <c r="NEQ584" s="141"/>
      <c r="NER584" s="141"/>
      <c r="NES584" s="141"/>
      <c r="NET584" s="141"/>
      <c r="NEU584" s="141"/>
      <c r="NEV584" s="141"/>
      <c r="NEW584" s="141"/>
      <c r="NEX584" s="141"/>
      <c r="NEY584" s="141"/>
      <c r="NEZ584" s="141"/>
      <c r="NFA584" s="141"/>
      <c r="NFB584" s="141"/>
      <c r="NFC584" s="141"/>
      <c r="NFD584" s="141"/>
      <c r="NFE584" s="141"/>
      <c r="NFF584" s="141"/>
      <c r="NFG584" s="141"/>
      <c r="NFH584" s="141"/>
      <c r="NFI584" s="141"/>
      <c r="NFJ584" s="141"/>
      <c r="NFK584" s="141"/>
      <c r="NFL584" s="141"/>
      <c r="NFM584" s="141"/>
      <c r="NFN584" s="141"/>
      <c r="NFO584" s="141"/>
      <c r="NFP584" s="141"/>
      <c r="NFQ584" s="141"/>
      <c r="NFR584" s="141"/>
      <c r="NFS584" s="141"/>
      <c r="NFT584" s="141"/>
      <c r="NFU584" s="141"/>
      <c r="NFV584" s="141"/>
      <c r="NFW584" s="141"/>
      <c r="NFX584" s="141"/>
      <c r="NFY584" s="141"/>
      <c r="NFZ584" s="141"/>
      <c r="NGA584" s="141"/>
      <c r="NGB584" s="141"/>
      <c r="NGC584" s="141"/>
      <c r="NGD584" s="141"/>
      <c r="NGE584" s="141"/>
      <c r="NGF584" s="141"/>
      <c r="NGG584" s="141"/>
      <c r="NGH584" s="141"/>
      <c r="NGI584" s="141"/>
      <c r="NGJ584" s="141"/>
      <c r="NGK584" s="141"/>
      <c r="NGL584" s="141"/>
      <c r="NGM584" s="141"/>
      <c r="NGN584" s="141"/>
      <c r="NGO584" s="141"/>
      <c r="NGP584" s="141"/>
      <c r="NGQ584" s="141"/>
      <c r="NGR584" s="141"/>
      <c r="NGS584" s="141"/>
      <c r="NGT584" s="141"/>
      <c r="NGU584" s="141"/>
      <c r="NGV584" s="141"/>
      <c r="NGW584" s="141"/>
      <c r="NGX584" s="141"/>
      <c r="NGY584" s="141"/>
      <c r="NGZ584" s="141"/>
      <c r="NHA584" s="141"/>
      <c r="NHB584" s="141"/>
      <c r="NHC584" s="141"/>
      <c r="NHD584" s="141"/>
      <c r="NHE584" s="141"/>
      <c r="NHF584" s="141"/>
      <c r="NHG584" s="141"/>
      <c r="NHH584" s="141"/>
      <c r="NHI584" s="141"/>
      <c r="NHJ584" s="141"/>
      <c r="NHK584" s="141"/>
      <c r="NHL584" s="141"/>
      <c r="NHM584" s="141"/>
      <c r="NHN584" s="141"/>
      <c r="NHO584" s="141"/>
      <c r="NHP584" s="141"/>
      <c r="NHQ584" s="141"/>
      <c r="NHR584" s="141"/>
      <c r="NHS584" s="141"/>
      <c r="NHT584" s="141"/>
      <c r="NHU584" s="141"/>
      <c r="NHV584" s="141"/>
      <c r="NHW584" s="141"/>
      <c r="NHX584" s="141"/>
      <c r="NHY584" s="141"/>
      <c r="NHZ584" s="141"/>
      <c r="NIA584" s="141"/>
      <c r="NIB584" s="141"/>
      <c r="NIC584" s="141"/>
      <c r="NID584" s="141"/>
      <c r="NIE584" s="141"/>
      <c r="NIF584" s="141"/>
      <c r="NIG584" s="141"/>
      <c r="NIH584" s="141"/>
      <c r="NII584" s="141"/>
      <c r="NIJ584" s="141"/>
      <c r="NIK584" s="141"/>
      <c r="NIL584" s="141"/>
      <c r="NIM584" s="141"/>
      <c r="NIN584" s="141"/>
      <c r="NIO584" s="141"/>
      <c r="NIP584" s="141"/>
      <c r="NIQ584" s="141"/>
      <c r="NIR584" s="141"/>
      <c r="NIS584" s="141"/>
      <c r="NIT584" s="141"/>
      <c r="NIU584" s="141"/>
      <c r="NIV584" s="141"/>
      <c r="NIW584" s="141"/>
      <c r="NIX584" s="141"/>
      <c r="NIY584" s="141"/>
      <c r="NIZ584" s="141"/>
      <c r="NJA584" s="141"/>
      <c r="NJB584" s="141"/>
      <c r="NJC584" s="141"/>
      <c r="NJD584" s="141"/>
      <c r="NJE584" s="141"/>
      <c r="NJF584" s="141"/>
      <c r="NJG584" s="141"/>
      <c r="NJH584" s="141"/>
      <c r="NJI584" s="141"/>
      <c r="NJJ584" s="141"/>
      <c r="NJK584" s="141"/>
      <c r="NJL584" s="141"/>
      <c r="NJM584" s="141"/>
      <c r="NJN584" s="141"/>
      <c r="NJO584" s="141"/>
      <c r="NJP584" s="141"/>
      <c r="NJQ584" s="141"/>
      <c r="NJR584" s="141"/>
      <c r="NJS584" s="141"/>
      <c r="NJT584" s="141"/>
      <c r="NJU584" s="141"/>
      <c r="NJV584" s="141"/>
      <c r="NJW584" s="141"/>
      <c r="NJX584" s="141"/>
      <c r="NJY584" s="141"/>
      <c r="NJZ584" s="141"/>
      <c r="NKA584" s="141"/>
      <c r="NKB584" s="141"/>
      <c r="NKC584" s="141"/>
      <c r="NKD584" s="141"/>
      <c r="NKE584" s="141"/>
      <c r="NKF584" s="141"/>
      <c r="NKG584" s="141"/>
      <c r="NKH584" s="141"/>
      <c r="NKI584" s="141"/>
      <c r="NKJ584" s="141"/>
      <c r="NKK584" s="141"/>
      <c r="NKL584" s="141"/>
      <c r="NKM584" s="141"/>
      <c r="NKN584" s="141"/>
      <c r="NKO584" s="141"/>
      <c r="NKP584" s="141"/>
      <c r="NKQ584" s="141"/>
      <c r="NKR584" s="141"/>
      <c r="NKS584" s="141"/>
      <c r="NKT584" s="141"/>
      <c r="NKU584" s="141"/>
      <c r="NKV584" s="141"/>
      <c r="NKW584" s="141"/>
      <c r="NKX584" s="141"/>
      <c r="NKY584" s="141"/>
      <c r="NKZ584" s="141"/>
      <c r="NLA584" s="141"/>
      <c r="NLB584" s="141"/>
      <c r="NLC584" s="141"/>
      <c r="NLD584" s="141"/>
      <c r="NLE584" s="141"/>
      <c r="NLF584" s="141"/>
      <c r="NLG584" s="141"/>
      <c r="NLH584" s="141"/>
      <c r="NLI584" s="141"/>
      <c r="NLJ584" s="141"/>
      <c r="NLK584" s="141"/>
      <c r="NLL584" s="141"/>
      <c r="NLM584" s="141"/>
      <c r="NLN584" s="141"/>
      <c r="NLO584" s="141"/>
      <c r="NLP584" s="141"/>
      <c r="NLQ584" s="141"/>
      <c r="NLR584" s="141"/>
      <c r="NLS584" s="141"/>
      <c r="NLT584" s="141"/>
      <c r="NLU584" s="141"/>
      <c r="NLV584" s="141"/>
      <c r="NLW584" s="141"/>
      <c r="NLX584" s="141"/>
      <c r="NLY584" s="141"/>
      <c r="NLZ584" s="141"/>
      <c r="NMA584" s="141"/>
      <c r="NMB584" s="141"/>
      <c r="NMC584" s="141"/>
      <c r="NMD584" s="141"/>
      <c r="NME584" s="141"/>
      <c r="NMF584" s="141"/>
      <c r="NMG584" s="141"/>
      <c r="NMH584" s="141"/>
      <c r="NMI584" s="141"/>
      <c r="NMJ584" s="141"/>
      <c r="NMK584" s="141"/>
      <c r="NML584" s="141"/>
      <c r="NMM584" s="141"/>
      <c r="NMN584" s="141"/>
      <c r="NMO584" s="141"/>
      <c r="NMP584" s="141"/>
      <c r="NMQ584" s="141"/>
      <c r="NMR584" s="141"/>
      <c r="NMS584" s="141"/>
      <c r="NMT584" s="141"/>
      <c r="NMU584" s="141"/>
      <c r="NMV584" s="141"/>
      <c r="NMW584" s="141"/>
      <c r="NMX584" s="141"/>
      <c r="NMY584" s="141"/>
      <c r="NMZ584" s="141"/>
      <c r="NNA584" s="141"/>
      <c r="NNB584" s="141"/>
      <c r="NNC584" s="141"/>
      <c r="NND584" s="141"/>
      <c r="NNE584" s="141"/>
      <c r="NNF584" s="141"/>
      <c r="NNG584" s="141"/>
      <c r="NNH584" s="141"/>
      <c r="NNI584" s="141"/>
      <c r="NNJ584" s="141"/>
      <c r="NNK584" s="141"/>
      <c r="NNL584" s="141"/>
      <c r="NNM584" s="141"/>
      <c r="NNN584" s="141"/>
      <c r="NNO584" s="141"/>
      <c r="NNP584" s="141"/>
      <c r="NNQ584" s="141"/>
      <c r="NNR584" s="141"/>
      <c r="NNS584" s="141"/>
      <c r="NNT584" s="141"/>
      <c r="NNU584" s="141"/>
      <c r="NNV584" s="141"/>
      <c r="NNW584" s="141"/>
      <c r="NNX584" s="141"/>
      <c r="NNY584" s="141"/>
      <c r="NNZ584" s="141"/>
      <c r="NOA584" s="141"/>
      <c r="NOB584" s="141"/>
      <c r="NOC584" s="141"/>
      <c r="NOD584" s="141"/>
      <c r="NOE584" s="141"/>
      <c r="NOF584" s="141"/>
      <c r="NOG584" s="141"/>
      <c r="NOH584" s="141"/>
      <c r="NOI584" s="141"/>
      <c r="NOJ584" s="141"/>
      <c r="NOK584" s="141"/>
      <c r="NOL584" s="141"/>
      <c r="NOM584" s="141"/>
      <c r="NON584" s="141"/>
      <c r="NOO584" s="141"/>
      <c r="NOP584" s="141"/>
      <c r="NOQ584" s="141"/>
      <c r="NOR584" s="141"/>
      <c r="NOS584" s="141"/>
      <c r="NOT584" s="141"/>
      <c r="NOU584" s="141"/>
      <c r="NOV584" s="141"/>
      <c r="NOW584" s="141"/>
      <c r="NOX584" s="141"/>
      <c r="NOY584" s="141"/>
      <c r="NOZ584" s="141"/>
      <c r="NPA584" s="141"/>
      <c r="NPB584" s="141"/>
      <c r="NPC584" s="141"/>
      <c r="NPD584" s="141"/>
      <c r="NPE584" s="141"/>
      <c r="NPF584" s="141"/>
      <c r="NPG584" s="141"/>
      <c r="NPH584" s="141"/>
      <c r="NPI584" s="141"/>
      <c r="NPJ584" s="141"/>
      <c r="NPK584" s="141"/>
      <c r="NPL584" s="141"/>
      <c r="NPM584" s="141"/>
      <c r="NPN584" s="141"/>
      <c r="NPO584" s="141"/>
      <c r="NPP584" s="141"/>
      <c r="NPQ584" s="141"/>
      <c r="NPR584" s="141"/>
      <c r="NPS584" s="141"/>
      <c r="NPT584" s="141"/>
      <c r="NPU584" s="141"/>
      <c r="NPV584" s="141"/>
      <c r="NPW584" s="141"/>
      <c r="NPX584" s="141"/>
      <c r="NPY584" s="141"/>
      <c r="NPZ584" s="141"/>
      <c r="NQA584" s="141"/>
      <c r="NQB584" s="141"/>
      <c r="NQC584" s="141"/>
      <c r="NQD584" s="141"/>
      <c r="NQE584" s="141"/>
      <c r="NQF584" s="141"/>
      <c r="NQG584" s="141"/>
      <c r="NQH584" s="141"/>
      <c r="NQI584" s="141"/>
      <c r="NQJ584" s="141"/>
      <c r="NQK584" s="141"/>
      <c r="NQL584" s="141"/>
      <c r="NQM584" s="141"/>
      <c r="NQN584" s="141"/>
      <c r="NQO584" s="141"/>
      <c r="NQP584" s="141"/>
      <c r="NQQ584" s="141"/>
      <c r="NQR584" s="141"/>
      <c r="NQS584" s="141"/>
      <c r="NQT584" s="141"/>
      <c r="NQU584" s="141"/>
      <c r="NQV584" s="141"/>
      <c r="NQW584" s="141"/>
      <c r="NQX584" s="141"/>
      <c r="NQY584" s="141"/>
      <c r="NQZ584" s="141"/>
      <c r="NRA584" s="141"/>
      <c r="NRB584" s="141"/>
      <c r="NRC584" s="141"/>
      <c r="NRD584" s="141"/>
      <c r="NRE584" s="141"/>
      <c r="NRF584" s="141"/>
      <c r="NRG584" s="141"/>
      <c r="NRH584" s="141"/>
      <c r="NRI584" s="141"/>
      <c r="NRJ584" s="141"/>
      <c r="NRK584" s="141"/>
      <c r="NRL584" s="141"/>
      <c r="NRM584" s="141"/>
      <c r="NRN584" s="141"/>
      <c r="NRO584" s="141"/>
      <c r="NRP584" s="141"/>
      <c r="NRQ584" s="141"/>
      <c r="NRR584" s="141"/>
      <c r="NRS584" s="141"/>
      <c r="NRT584" s="141"/>
      <c r="NRU584" s="141"/>
      <c r="NRV584" s="141"/>
      <c r="NRW584" s="141"/>
      <c r="NRX584" s="141"/>
      <c r="NRY584" s="141"/>
      <c r="NRZ584" s="141"/>
      <c r="NSA584" s="141"/>
      <c r="NSB584" s="141"/>
      <c r="NSC584" s="141"/>
      <c r="NSD584" s="141"/>
      <c r="NSE584" s="141"/>
      <c r="NSF584" s="141"/>
      <c r="NSG584" s="141"/>
      <c r="NSH584" s="141"/>
      <c r="NSI584" s="141"/>
      <c r="NSJ584" s="141"/>
      <c r="NSK584" s="141"/>
      <c r="NSL584" s="141"/>
      <c r="NSM584" s="141"/>
      <c r="NSN584" s="141"/>
      <c r="NSO584" s="141"/>
      <c r="NSP584" s="141"/>
      <c r="NSQ584" s="141"/>
      <c r="NSR584" s="141"/>
      <c r="NSS584" s="141"/>
      <c r="NST584" s="141"/>
      <c r="NSU584" s="141"/>
      <c r="NSV584" s="141"/>
      <c r="NSW584" s="141"/>
      <c r="NSX584" s="141"/>
      <c r="NSY584" s="141"/>
      <c r="NSZ584" s="141"/>
      <c r="NTA584" s="141"/>
      <c r="NTB584" s="141"/>
      <c r="NTC584" s="141"/>
      <c r="NTD584" s="141"/>
      <c r="NTE584" s="141"/>
      <c r="NTF584" s="141"/>
      <c r="NTG584" s="141"/>
      <c r="NTH584" s="141"/>
      <c r="NTI584" s="141"/>
      <c r="NTJ584" s="141"/>
      <c r="NTK584" s="141"/>
      <c r="NTL584" s="141"/>
      <c r="NTM584" s="141"/>
      <c r="NTN584" s="141"/>
      <c r="NTO584" s="141"/>
      <c r="NTP584" s="141"/>
      <c r="NTQ584" s="141"/>
      <c r="NTR584" s="141"/>
      <c r="NTS584" s="141"/>
      <c r="NTT584" s="141"/>
      <c r="NTU584" s="141"/>
      <c r="NTV584" s="141"/>
      <c r="NTW584" s="141"/>
      <c r="NTX584" s="141"/>
      <c r="NTY584" s="141"/>
      <c r="NTZ584" s="141"/>
      <c r="NUA584" s="141"/>
      <c r="NUB584" s="141"/>
      <c r="NUC584" s="141"/>
      <c r="NUD584" s="141"/>
      <c r="NUE584" s="141"/>
      <c r="NUF584" s="141"/>
      <c r="NUG584" s="141"/>
      <c r="NUH584" s="141"/>
      <c r="NUI584" s="141"/>
      <c r="NUJ584" s="141"/>
      <c r="NUK584" s="141"/>
      <c r="NUL584" s="141"/>
      <c r="NUM584" s="141"/>
      <c r="NUN584" s="141"/>
      <c r="NUO584" s="141"/>
      <c r="NUP584" s="141"/>
      <c r="NUQ584" s="141"/>
      <c r="NUR584" s="141"/>
      <c r="NUS584" s="141"/>
      <c r="NUT584" s="141"/>
      <c r="NUU584" s="141"/>
      <c r="NUV584" s="141"/>
      <c r="NUW584" s="141"/>
      <c r="NUX584" s="141"/>
      <c r="NUY584" s="141"/>
      <c r="NUZ584" s="141"/>
      <c r="NVA584" s="141"/>
      <c r="NVB584" s="141"/>
      <c r="NVC584" s="141"/>
      <c r="NVD584" s="141"/>
      <c r="NVE584" s="141"/>
      <c r="NVF584" s="141"/>
      <c r="NVG584" s="141"/>
      <c r="NVH584" s="141"/>
      <c r="NVI584" s="141"/>
      <c r="NVJ584" s="141"/>
      <c r="NVK584" s="141"/>
      <c r="NVL584" s="141"/>
      <c r="NVM584" s="141"/>
      <c r="NVN584" s="141"/>
      <c r="NVO584" s="141"/>
      <c r="NVP584" s="141"/>
      <c r="NVQ584" s="141"/>
      <c r="NVR584" s="141"/>
      <c r="NVS584" s="141"/>
      <c r="NVT584" s="141"/>
      <c r="NVU584" s="141"/>
      <c r="NVV584" s="141"/>
      <c r="NVW584" s="141"/>
      <c r="NVX584" s="141"/>
      <c r="NVY584" s="141"/>
      <c r="NVZ584" s="141"/>
      <c r="NWA584" s="141"/>
      <c r="NWB584" s="141"/>
      <c r="NWC584" s="141"/>
      <c r="NWD584" s="141"/>
      <c r="NWE584" s="141"/>
      <c r="NWF584" s="141"/>
      <c r="NWG584" s="141"/>
      <c r="NWH584" s="141"/>
      <c r="NWI584" s="141"/>
      <c r="NWJ584" s="141"/>
      <c r="NWK584" s="141"/>
      <c r="NWL584" s="141"/>
      <c r="NWM584" s="141"/>
      <c r="NWN584" s="141"/>
      <c r="NWO584" s="141"/>
      <c r="NWP584" s="141"/>
      <c r="NWQ584" s="141"/>
      <c r="NWR584" s="141"/>
      <c r="NWS584" s="141"/>
      <c r="NWT584" s="141"/>
      <c r="NWU584" s="141"/>
      <c r="NWV584" s="141"/>
      <c r="NWW584" s="141"/>
      <c r="NWX584" s="141"/>
      <c r="NWY584" s="141"/>
      <c r="NWZ584" s="141"/>
      <c r="NXA584" s="141"/>
      <c r="NXB584" s="141"/>
      <c r="NXC584" s="141"/>
      <c r="NXD584" s="141"/>
      <c r="NXE584" s="141"/>
      <c r="NXF584" s="141"/>
      <c r="NXG584" s="141"/>
      <c r="NXH584" s="141"/>
      <c r="NXI584" s="141"/>
      <c r="NXJ584" s="141"/>
      <c r="NXK584" s="141"/>
      <c r="NXL584" s="141"/>
      <c r="NXM584" s="141"/>
      <c r="NXN584" s="141"/>
      <c r="NXO584" s="141"/>
      <c r="NXP584" s="141"/>
      <c r="NXQ584" s="141"/>
      <c r="NXR584" s="141"/>
      <c r="NXS584" s="141"/>
      <c r="NXT584" s="141"/>
      <c r="NXU584" s="141"/>
      <c r="NXV584" s="141"/>
      <c r="NXW584" s="141"/>
      <c r="NXX584" s="141"/>
      <c r="NXY584" s="141"/>
      <c r="NXZ584" s="141"/>
      <c r="NYA584" s="141"/>
      <c r="NYB584" s="141"/>
      <c r="NYC584" s="141"/>
      <c r="NYD584" s="141"/>
      <c r="NYE584" s="141"/>
      <c r="NYF584" s="141"/>
      <c r="NYG584" s="141"/>
      <c r="NYH584" s="141"/>
      <c r="NYI584" s="141"/>
      <c r="NYJ584" s="141"/>
      <c r="NYK584" s="141"/>
      <c r="NYL584" s="141"/>
      <c r="NYM584" s="141"/>
      <c r="NYN584" s="141"/>
      <c r="NYO584" s="141"/>
      <c r="NYP584" s="141"/>
      <c r="NYQ584" s="141"/>
      <c r="NYR584" s="141"/>
      <c r="NYS584" s="141"/>
      <c r="NYT584" s="141"/>
      <c r="NYU584" s="141"/>
      <c r="NYV584" s="141"/>
      <c r="NYW584" s="141"/>
      <c r="NYX584" s="141"/>
      <c r="NYY584" s="141"/>
      <c r="NYZ584" s="141"/>
      <c r="NZA584" s="141"/>
      <c r="NZB584" s="141"/>
      <c r="NZC584" s="141"/>
      <c r="NZD584" s="141"/>
      <c r="NZE584" s="141"/>
      <c r="NZF584" s="141"/>
      <c r="NZG584" s="141"/>
      <c r="NZH584" s="141"/>
      <c r="NZI584" s="141"/>
      <c r="NZJ584" s="141"/>
      <c r="NZK584" s="141"/>
      <c r="NZL584" s="141"/>
      <c r="NZM584" s="141"/>
      <c r="NZN584" s="141"/>
      <c r="NZO584" s="141"/>
      <c r="NZP584" s="141"/>
      <c r="NZQ584" s="141"/>
      <c r="NZR584" s="141"/>
      <c r="NZS584" s="141"/>
      <c r="NZT584" s="141"/>
      <c r="NZU584" s="141"/>
      <c r="NZV584" s="141"/>
      <c r="NZW584" s="141"/>
      <c r="NZX584" s="141"/>
      <c r="NZY584" s="141"/>
      <c r="NZZ584" s="141"/>
      <c r="OAA584" s="141"/>
      <c r="OAB584" s="141"/>
      <c r="OAC584" s="141"/>
      <c r="OAD584" s="141"/>
      <c r="OAE584" s="141"/>
      <c r="OAF584" s="141"/>
      <c r="OAG584" s="141"/>
      <c r="OAH584" s="141"/>
      <c r="OAI584" s="141"/>
      <c r="OAJ584" s="141"/>
      <c r="OAK584" s="141"/>
      <c r="OAL584" s="141"/>
      <c r="OAM584" s="141"/>
      <c r="OAN584" s="141"/>
      <c r="OAO584" s="141"/>
      <c r="OAP584" s="141"/>
      <c r="OAQ584" s="141"/>
      <c r="OAR584" s="141"/>
      <c r="OAS584" s="141"/>
      <c r="OAT584" s="141"/>
      <c r="OAU584" s="141"/>
      <c r="OAV584" s="141"/>
      <c r="OAW584" s="141"/>
      <c r="OAX584" s="141"/>
      <c r="OAY584" s="141"/>
      <c r="OAZ584" s="141"/>
      <c r="OBA584" s="141"/>
      <c r="OBB584" s="141"/>
      <c r="OBC584" s="141"/>
      <c r="OBD584" s="141"/>
      <c r="OBE584" s="141"/>
      <c r="OBF584" s="141"/>
      <c r="OBG584" s="141"/>
      <c r="OBH584" s="141"/>
      <c r="OBI584" s="141"/>
      <c r="OBJ584" s="141"/>
      <c r="OBK584" s="141"/>
      <c r="OBL584" s="141"/>
      <c r="OBM584" s="141"/>
      <c r="OBN584" s="141"/>
      <c r="OBO584" s="141"/>
      <c r="OBP584" s="141"/>
      <c r="OBQ584" s="141"/>
      <c r="OBR584" s="141"/>
      <c r="OBS584" s="141"/>
      <c r="OBT584" s="141"/>
      <c r="OBU584" s="141"/>
      <c r="OBV584" s="141"/>
      <c r="OBW584" s="141"/>
      <c r="OBX584" s="141"/>
      <c r="OBY584" s="141"/>
      <c r="OBZ584" s="141"/>
      <c r="OCA584" s="141"/>
      <c r="OCB584" s="141"/>
      <c r="OCC584" s="141"/>
      <c r="OCD584" s="141"/>
      <c r="OCE584" s="141"/>
      <c r="OCF584" s="141"/>
      <c r="OCG584" s="141"/>
      <c r="OCH584" s="141"/>
      <c r="OCI584" s="141"/>
      <c r="OCJ584" s="141"/>
      <c r="OCK584" s="141"/>
      <c r="OCL584" s="141"/>
      <c r="OCM584" s="141"/>
      <c r="OCN584" s="141"/>
      <c r="OCO584" s="141"/>
      <c r="OCP584" s="141"/>
      <c r="OCQ584" s="141"/>
      <c r="OCR584" s="141"/>
      <c r="OCS584" s="141"/>
      <c r="OCT584" s="141"/>
      <c r="OCU584" s="141"/>
      <c r="OCV584" s="141"/>
      <c r="OCW584" s="141"/>
      <c r="OCX584" s="141"/>
      <c r="OCY584" s="141"/>
      <c r="OCZ584" s="141"/>
      <c r="ODA584" s="141"/>
      <c r="ODB584" s="141"/>
      <c r="ODC584" s="141"/>
      <c r="ODD584" s="141"/>
      <c r="ODE584" s="141"/>
      <c r="ODF584" s="141"/>
      <c r="ODG584" s="141"/>
      <c r="ODH584" s="141"/>
      <c r="ODI584" s="141"/>
      <c r="ODJ584" s="141"/>
      <c r="ODK584" s="141"/>
      <c r="ODL584" s="141"/>
      <c r="ODM584" s="141"/>
      <c r="ODN584" s="141"/>
      <c r="ODO584" s="141"/>
      <c r="ODP584" s="141"/>
      <c r="ODQ584" s="141"/>
      <c r="ODR584" s="141"/>
      <c r="ODS584" s="141"/>
      <c r="ODT584" s="141"/>
      <c r="ODU584" s="141"/>
      <c r="ODV584" s="141"/>
      <c r="ODW584" s="141"/>
      <c r="ODX584" s="141"/>
      <c r="ODY584" s="141"/>
      <c r="ODZ584" s="141"/>
      <c r="OEA584" s="141"/>
      <c r="OEB584" s="141"/>
      <c r="OEC584" s="141"/>
      <c r="OED584" s="141"/>
      <c r="OEE584" s="141"/>
      <c r="OEF584" s="141"/>
      <c r="OEG584" s="141"/>
      <c r="OEH584" s="141"/>
      <c r="OEI584" s="141"/>
      <c r="OEJ584" s="141"/>
      <c r="OEK584" s="141"/>
      <c r="OEL584" s="141"/>
      <c r="OEM584" s="141"/>
      <c r="OEN584" s="141"/>
      <c r="OEO584" s="141"/>
      <c r="OEP584" s="141"/>
      <c r="OEQ584" s="141"/>
      <c r="OER584" s="141"/>
      <c r="OES584" s="141"/>
      <c r="OET584" s="141"/>
      <c r="OEU584" s="141"/>
      <c r="OEV584" s="141"/>
      <c r="OEW584" s="141"/>
      <c r="OEX584" s="141"/>
      <c r="OEY584" s="141"/>
      <c r="OEZ584" s="141"/>
      <c r="OFA584" s="141"/>
      <c r="OFB584" s="141"/>
      <c r="OFC584" s="141"/>
      <c r="OFD584" s="141"/>
      <c r="OFE584" s="141"/>
      <c r="OFF584" s="141"/>
      <c r="OFG584" s="141"/>
      <c r="OFH584" s="141"/>
      <c r="OFI584" s="141"/>
      <c r="OFJ584" s="141"/>
      <c r="OFK584" s="141"/>
      <c r="OFL584" s="141"/>
      <c r="OFM584" s="141"/>
      <c r="OFN584" s="141"/>
      <c r="OFO584" s="141"/>
      <c r="OFP584" s="141"/>
      <c r="OFQ584" s="141"/>
      <c r="OFR584" s="141"/>
      <c r="OFS584" s="141"/>
      <c r="OFT584" s="141"/>
      <c r="OFU584" s="141"/>
      <c r="OFV584" s="141"/>
      <c r="OFW584" s="141"/>
      <c r="OFX584" s="141"/>
      <c r="OFY584" s="141"/>
      <c r="OFZ584" s="141"/>
      <c r="OGA584" s="141"/>
      <c r="OGB584" s="141"/>
      <c r="OGC584" s="141"/>
      <c r="OGD584" s="141"/>
      <c r="OGE584" s="141"/>
      <c r="OGF584" s="141"/>
      <c r="OGG584" s="141"/>
      <c r="OGH584" s="141"/>
      <c r="OGI584" s="141"/>
      <c r="OGJ584" s="141"/>
      <c r="OGK584" s="141"/>
      <c r="OGL584" s="141"/>
      <c r="OGM584" s="141"/>
      <c r="OGN584" s="141"/>
      <c r="OGO584" s="141"/>
      <c r="OGP584" s="141"/>
      <c r="OGQ584" s="141"/>
      <c r="OGR584" s="141"/>
      <c r="OGS584" s="141"/>
      <c r="OGT584" s="141"/>
      <c r="OGU584" s="141"/>
      <c r="OGV584" s="141"/>
      <c r="OGW584" s="141"/>
      <c r="OGX584" s="141"/>
      <c r="OGY584" s="141"/>
      <c r="OGZ584" s="141"/>
      <c r="OHA584" s="141"/>
      <c r="OHB584" s="141"/>
      <c r="OHC584" s="141"/>
      <c r="OHD584" s="141"/>
      <c r="OHE584" s="141"/>
      <c r="OHF584" s="141"/>
      <c r="OHG584" s="141"/>
      <c r="OHH584" s="141"/>
      <c r="OHI584" s="141"/>
      <c r="OHJ584" s="141"/>
      <c r="OHK584" s="141"/>
      <c r="OHL584" s="141"/>
      <c r="OHM584" s="141"/>
      <c r="OHN584" s="141"/>
      <c r="OHO584" s="141"/>
      <c r="OHP584" s="141"/>
      <c r="OHQ584" s="141"/>
      <c r="OHR584" s="141"/>
      <c r="OHS584" s="141"/>
      <c r="OHT584" s="141"/>
      <c r="OHU584" s="141"/>
      <c r="OHV584" s="141"/>
      <c r="OHW584" s="141"/>
      <c r="OHX584" s="141"/>
      <c r="OHY584" s="141"/>
      <c r="OHZ584" s="141"/>
      <c r="OIA584" s="141"/>
      <c r="OIB584" s="141"/>
      <c r="OIC584" s="141"/>
      <c r="OID584" s="141"/>
      <c r="OIE584" s="141"/>
      <c r="OIF584" s="141"/>
      <c r="OIG584" s="141"/>
      <c r="OIH584" s="141"/>
      <c r="OII584" s="141"/>
      <c r="OIJ584" s="141"/>
      <c r="OIK584" s="141"/>
      <c r="OIL584" s="141"/>
      <c r="OIM584" s="141"/>
      <c r="OIN584" s="141"/>
      <c r="OIO584" s="141"/>
      <c r="OIP584" s="141"/>
      <c r="OIQ584" s="141"/>
      <c r="OIR584" s="141"/>
      <c r="OIS584" s="141"/>
      <c r="OIT584" s="141"/>
      <c r="OIU584" s="141"/>
      <c r="OIV584" s="141"/>
      <c r="OIW584" s="141"/>
      <c r="OIX584" s="141"/>
      <c r="OIY584" s="141"/>
      <c r="OIZ584" s="141"/>
      <c r="OJA584" s="141"/>
      <c r="OJB584" s="141"/>
      <c r="OJC584" s="141"/>
      <c r="OJD584" s="141"/>
      <c r="OJE584" s="141"/>
      <c r="OJF584" s="141"/>
      <c r="OJG584" s="141"/>
      <c r="OJH584" s="141"/>
      <c r="OJI584" s="141"/>
      <c r="OJJ584" s="141"/>
      <c r="OJK584" s="141"/>
      <c r="OJL584" s="141"/>
      <c r="OJM584" s="141"/>
      <c r="OJN584" s="141"/>
      <c r="OJO584" s="141"/>
      <c r="OJP584" s="141"/>
      <c r="OJQ584" s="141"/>
      <c r="OJR584" s="141"/>
      <c r="OJS584" s="141"/>
      <c r="OJT584" s="141"/>
      <c r="OJU584" s="141"/>
      <c r="OJV584" s="141"/>
      <c r="OJW584" s="141"/>
      <c r="OJX584" s="141"/>
      <c r="OJY584" s="141"/>
      <c r="OJZ584" s="141"/>
      <c r="OKA584" s="141"/>
      <c r="OKB584" s="141"/>
      <c r="OKC584" s="141"/>
      <c r="OKD584" s="141"/>
      <c r="OKE584" s="141"/>
      <c r="OKF584" s="141"/>
      <c r="OKG584" s="141"/>
      <c r="OKH584" s="141"/>
      <c r="OKI584" s="141"/>
      <c r="OKJ584" s="141"/>
      <c r="OKK584" s="141"/>
      <c r="OKL584" s="141"/>
      <c r="OKM584" s="141"/>
      <c r="OKN584" s="141"/>
      <c r="OKO584" s="141"/>
      <c r="OKP584" s="141"/>
      <c r="OKQ584" s="141"/>
      <c r="OKR584" s="141"/>
      <c r="OKS584" s="141"/>
      <c r="OKT584" s="141"/>
      <c r="OKU584" s="141"/>
      <c r="OKV584" s="141"/>
      <c r="OKW584" s="141"/>
      <c r="OKX584" s="141"/>
      <c r="OKY584" s="141"/>
      <c r="OKZ584" s="141"/>
      <c r="OLA584" s="141"/>
      <c r="OLB584" s="141"/>
      <c r="OLC584" s="141"/>
      <c r="OLD584" s="141"/>
      <c r="OLE584" s="141"/>
      <c r="OLF584" s="141"/>
      <c r="OLG584" s="141"/>
      <c r="OLH584" s="141"/>
      <c r="OLI584" s="141"/>
      <c r="OLJ584" s="141"/>
      <c r="OLK584" s="141"/>
      <c r="OLL584" s="141"/>
      <c r="OLM584" s="141"/>
      <c r="OLN584" s="141"/>
      <c r="OLO584" s="141"/>
      <c r="OLP584" s="141"/>
      <c r="OLQ584" s="141"/>
      <c r="OLR584" s="141"/>
      <c r="OLS584" s="141"/>
      <c r="OLT584" s="141"/>
      <c r="OLU584" s="141"/>
      <c r="OLV584" s="141"/>
      <c r="OLW584" s="141"/>
      <c r="OLX584" s="141"/>
      <c r="OLY584" s="141"/>
      <c r="OLZ584" s="141"/>
      <c r="OMA584" s="141"/>
      <c r="OMB584" s="141"/>
      <c r="OMC584" s="141"/>
      <c r="OMD584" s="141"/>
      <c r="OME584" s="141"/>
      <c r="OMF584" s="141"/>
      <c r="OMG584" s="141"/>
      <c r="OMH584" s="141"/>
      <c r="OMI584" s="141"/>
      <c r="OMJ584" s="141"/>
      <c r="OMK584" s="141"/>
      <c r="OML584" s="141"/>
      <c r="OMM584" s="141"/>
      <c r="OMN584" s="141"/>
      <c r="OMO584" s="141"/>
      <c r="OMP584" s="141"/>
      <c r="OMQ584" s="141"/>
      <c r="OMR584" s="141"/>
      <c r="OMS584" s="141"/>
      <c r="OMT584" s="141"/>
      <c r="OMU584" s="141"/>
      <c r="OMV584" s="141"/>
      <c r="OMW584" s="141"/>
      <c r="OMX584" s="141"/>
      <c r="OMY584" s="141"/>
      <c r="OMZ584" s="141"/>
      <c r="ONA584" s="141"/>
      <c r="ONB584" s="141"/>
      <c r="ONC584" s="141"/>
      <c r="OND584" s="141"/>
      <c r="ONE584" s="141"/>
      <c r="ONF584" s="141"/>
      <c r="ONG584" s="141"/>
      <c r="ONH584" s="141"/>
      <c r="ONI584" s="141"/>
      <c r="ONJ584" s="141"/>
      <c r="ONK584" s="141"/>
      <c r="ONL584" s="141"/>
      <c r="ONM584" s="141"/>
      <c r="ONN584" s="141"/>
      <c r="ONO584" s="141"/>
      <c r="ONP584" s="141"/>
      <c r="ONQ584" s="141"/>
      <c r="ONR584" s="141"/>
      <c r="ONS584" s="141"/>
      <c r="ONT584" s="141"/>
      <c r="ONU584" s="141"/>
      <c r="ONV584" s="141"/>
      <c r="ONW584" s="141"/>
      <c r="ONX584" s="141"/>
      <c r="ONY584" s="141"/>
      <c r="ONZ584" s="141"/>
      <c r="OOA584" s="141"/>
      <c r="OOB584" s="141"/>
      <c r="OOC584" s="141"/>
      <c r="OOD584" s="141"/>
      <c r="OOE584" s="141"/>
      <c r="OOF584" s="141"/>
      <c r="OOG584" s="141"/>
      <c r="OOH584" s="141"/>
      <c r="OOI584" s="141"/>
      <c r="OOJ584" s="141"/>
      <c r="OOK584" s="141"/>
      <c r="OOL584" s="141"/>
      <c r="OOM584" s="141"/>
      <c r="OON584" s="141"/>
      <c r="OOO584" s="141"/>
      <c r="OOP584" s="141"/>
      <c r="OOQ584" s="141"/>
      <c r="OOR584" s="141"/>
      <c r="OOS584" s="141"/>
      <c r="OOT584" s="141"/>
      <c r="OOU584" s="141"/>
      <c r="OOV584" s="141"/>
      <c r="OOW584" s="141"/>
      <c r="OOX584" s="141"/>
      <c r="OOY584" s="141"/>
      <c r="OOZ584" s="141"/>
      <c r="OPA584" s="141"/>
      <c r="OPB584" s="141"/>
      <c r="OPC584" s="141"/>
      <c r="OPD584" s="141"/>
      <c r="OPE584" s="141"/>
      <c r="OPF584" s="141"/>
      <c r="OPG584" s="141"/>
      <c r="OPH584" s="141"/>
      <c r="OPI584" s="141"/>
      <c r="OPJ584" s="141"/>
      <c r="OPK584" s="141"/>
      <c r="OPL584" s="141"/>
      <c r="OPM584" s="141"/>
      <c r="OPN584" s="141"/>
      <c r="OPO584" s="141"/>
      <c r="OPP584" s="141"/>
      <c r="OPQ584" s="141"/>
      <c r="OPR584" s="141"/>
      <c r="OPS584" s="141"/>
      <c r="OPT584" s="141"/>
      <c r="OPU584" s="141"/>
      <c r="OPV584" s="141"/>
      <c r="OPW584" s="141"/>
      <c r="OPX584" s="141"/>
      <c r="OPY584" s="141"/>
      <c r="OPZ584" s="141"/>
      <c r="OQA584" s="141"/>
      <c r="OQB584" s="141"/>
      <c r="OQC584" s="141"/>
      <c r="OQD584" s="141"/>
      <c r="OQE584" s="141"/>
      <c r="OQF584" s="141"/>
      <c r="OQG584" s="141"/>
      <c r="OQH584" s="141"/>
      <c r="OQI584" s="141"/>
      <c r="OQJ584" s="141"/>
      <c r="OQK584" s="141"/>
      <c r="OQL584" s="141"/>
      <c r="OQM584" s="141"/>
      <c r="OQN584" s="141"/>
      <c r="OQO584" s="141"/>
      <c r="OQP584" s="141"/>
      <c r="OQQ584" s="141"/>
      <c r="OQR584" s="141"/>
      <c r="OQS584" s="141"/>
      <c r="OQT584" s="141"/>
      <c r="OQU584" s="141"/>
      <c r="OQV584" s="141"/>
      <c r="OQW584" s="141"/>
      <c r="OQX584" s="141"/>
      <c r="OQY584" s="141"/>
      <c r="OQZ584" s="141"/>
      <c r="ORA584" s="141"/>
      <c r="ORB584" s="141"/>
      <c r="ORC584" s="141"/>
      <c r="ORD584" s="141"/>
      <c r="ORE584" s="141"/>
      <c r="ORF584" s="141"/>
      <c r="ORG584" s="141"/>
      <c r="ORH584" s="141"/>
      <c r="ORI584" s="141"/>
      <c r="ORJ584" s="141"/>
      <c r="ORK584" s="141"/>
      <c r="ORL584" s="141"/>
      <c r="ORM584" s="141"/>
      <c r="ORN584" s="141"/>
      <c r="ORO584" s="141"/>
      <c r="ORP584" s="141"/>
      <c r="ORQ584" s="141"/>
      <c r="ORR584" s="141"/>
      <c r="ORS584" s="141"/>
      <c r="ORT584" s="141"/>
      <c r="ORU584" s="141"/>
      <c r="ORV584" s="141"/>
      <c r="ORW584" s="141"/>
      <c r="ORX584" s="141"/>
      <c r="ORY584" s="141"/>
      <c r="ORZ584" s="141"/>
      <c r="OSA584" s="141"/>
      <c r="OSB584" s="141"/>
      <c r="OSC584" s="141"/>
      <c r="OSD584" s="141"/>
      <c r="OSE584" s="141"/>
      <c r="OSF584" s="141"/>
      <c r="OSG584" s="141"/>
      <c r="OSH584" s="141"/>
      <c r="OSI584" s="141"/>
      <c r="OSJ584" s="141"/>
      <c r="OSK584" s="141"/>
      <c r="OSL584" s="141"/>
      <c r="OSM584" s="141"/>
      <c r="OSN584" s="141"/>
      <c r="OSO584" s="141"/>
      <c r="OSP584" s="141"/>
      <c r="OSQ584" s="141"/>
      <c r="OSR584" s="141"/>
      <c r="OSS584" s="141"/>
      <c r="OST584" s="141"/>
      <c r="OSU584" s="141"/>
      <c r="OSV584" s="141"/>
      <c r="OSW584" s="141"/>
      <c r="OSX584" s="141"/>
      <c r="OSY584" s="141"/>
      <c r="OSZ584" s="141"/>
      <c r="OTA584" s="141"/>
      <c r="OTB584" s="141"/>
      <c r="OTC584" s="141"/>
      <c r="OTD584" s="141"/>
      <c r="OTE584" s="141"/>
      <c r="OTF584" s="141"/>
      <c r="OTG584" s="141"/>
      <c r="OTH584" s="141"/>
      <c r="OTI584" s="141"/>
      <c r="OTJ584" s="141"/>
      <c r="OTK584" s="141"/>
      <c r="OTL584" s="141"/>
      <c r="OTM584" s="141"/>
      <c r="OTN584" s="141"/>
      <c r="OTO584" s="141"/>
      <c r="OTP584" s="141"/>
      <c r="OTQ584" s="141"/>
      <c r="OTR584" s="141"/>
      <c r="OTS584" s="141"/>
      <c r="OTT584" s="141"/>
      <c r="OTU584" s="141"/>
      <c r="OTV584" s="141"/>
      <c r="OTW584" s="141"/>
      <c r="OTX584" s="141"/>
      <c r="OTY584" s="141"/>
      <c r="OTZ584" s="141"/>
      <c r="OUA584" s="141"/>
      <c r="OUB584" s="141"/>
      <c r="OUC584" s="141"/>
      <c r="OUD584" s="141"/>
      <c r="OUE584" s="141"/>
      <c r="OUF584" s="141"/>
      <c r="OUG584" s="141"/>
      <c r="OUH584" s="141"/>
      <c r="OUI584" s="141"/>
      <c r="OUJ584" s="141"/>
      <c r="OUK584" s="141"/>
      <c r="OUL584" s="141"/>
      <c r="OUM584" s="141"/>
      <c r="OUN584" s="141"/>
      <c r="OUO584" s="141"/>
      <c r="OUP584" s="141"/>
      <c r="OUQ584" s="141"/>
      <c r="OUR584" s="141"/>
      <c r="OUS584" s="141"/>
      <c r="OUT584" s="141"/>
      <c r="OUU584" s="141"/>
      <c r="OUV584" s="141"/>
      <c r="OUW584" s="141"/>
      <c r="OUX584" s="141"/>
      <c r="OUY584" s="141"/>
      <c r="OUZ584" s="141"/>
      <c r="OVA584" s="141"/>
      <c r="OVB584" s="141"/>
      <c r="OVC584" s="141"/>
      <c r="OVD584" s="141"/>
      <c r="OVE584" s="141"/>
      <c r="OVF584" s="141"/>
      <c r="OVG584" s="141"/>
      <c r="OVH584" s="141"/>
      <c r="OVI584" s="141"/>
      <c r="OVJ584" s="141"/>
      <c r="OVK584" s="141"/>
      <c r="OVL584" s="141"/>
      <c r="OVM584" s="141"/>
      <c r="OVN584" s="141"/>
      <c r="OVO584" s="141"/>
      <c r="OVP584" s="141"/>
      <c r="OVQ584" s="141"/>
      <c r="OVR584" s="141"/>
      <c r="OVS584" s="141"/>
      <c r="OVT584" s="141"/>
      <c r="OVU584" s="141"/>
      <c r="OVV584" s="141"/>
      <c r="OVW584" s="141"/>
      <c r="OVX584" s="141"/>
      <c r="OVY584" s="141"/>
      <c r="OVZ584" s="141"/>
      <c r="OWA584" s="141"/>
      <c r="OWB584" s="141"/>
      <c r="OWC584" s="141"/>
      <c r="OWD584" s="141"/>
      <c r="OWE584" s="141"/>
      <c r="OWF584" s="141"/>
      <c r="OWG584" s="141"/>
      <c r="OWH584" s="141"/>
      <c r="OWI584" s="141"/>
      <c r="OWJ584" s="141"/>
      <c r="OWK584" s="141"/>
      <c r="OWL584" s="141"/>
      <c r="OWM584" s="141"/>
      <c r="OWN584" s="141"/>
      <c r="OWO584" s="141"/>
      <c r="OWP584" s="141"/>
      <c r="OWQ584" s="141"/>
      <c r="OWR584" s="141"/>
      <c r="OWS584" s="141"/>
      <c r="OWT584" s="141"/>
      <c r="OWU584" s="141"/>
      <c r="OWV584" s="141"/>
      <c r="OWW584" s="141"/>
      <c r="OWX584" s="141"/>
      <c r="OWY584" s="141"/>
      <c r="OWZ584" s="141"/>
      <c r="OXA584" s="141"/>
      <c r="OXB584" s="141"/>
      <c r="OXC584" s="141"/>
      <c r="OXD584" s="141"/>
      <c r="OXE584" s="141"/>
      <c r="OXF584" s="141"/>
      <c r="OXG584" s="141"/>
      <c r="OXH584" s="141"/>
      <c r="OXI584" s="141"/>
      <c r="OXJ584" s="141"/>
      <c r="OXK584" s="141"/>
      <c r="OXL584" s="141"/>
      <c r="OXM584" s="141"/>
      <c r="OXN584" s="141"/>
      <c r="OXO584" s="141"/>
      <c r="OXP584" s="141"/>
      <c r="OXQ584" s="141"/>
      <c r="OXR584" s="141"/>
      <c r="OXS584" s="141"/>
      <c r="OXT584" s="141"/>
      <c r="OXU584" s="141"/>
      <c r="OXV584" s="141"/>
      <c r="OXW584" s="141"/>
      <c r="OXX584" s="141"/>
      <c r="OXY584" s="141"/>
      <c r="OXZ584" s="141"/>
      <c r="OYA584" s="141"/>
      <c r="OYB584" s="141"/>
      <c r="OYC584" s="141"/>
      <c r="OYD584" s="141"/>
      <c r="OYE584" s="141"/>
      <c r="OYF584" s="141"/>
      <c r="OYG584" s="141"/>
      <c r="OYH584" s="141"/>
      <c r="OYI584" s="141"/>
      <c r="OYJ584" s="141"/>
      <c r="OYK584" s="141"/>
      <c r="OYL584" s="141"/>
      <c r="OYM584" s="141"/>
      <c r="OYN584" s="141"/>
      <c r="OYO584" s="141"/>
      <c r="OYP584" s="141"/>
      <c r="OYQ584" s="141"/>
      <c r="OYR584" s="141"/>
      <c r="OYS584" s="141"/>
      <c r="OYT584" s="141"/>
      <c r="OYU584" s="141"/>
      <c r="OYV584" s="141"/>
      <c r="OYW584" s="141"/>
      <c r="OYX584" s="141"/>
      <c r="OYY584" s="141"/>
      <c r="OYZ584" s="141"/>
      <c r="OZA584" s="141"/>
      <c r="OZB584" s="141"/>
      <c r="OZC584" s="141"/>
      <c r="OZD584" s="141"/>
      <c r="OZE584" s="141"/>
      <c r="OZF584" s="141"/>
      <c r="OZG584" s="141"/>
      <c r="OZH584" s="141"/>
      <c r="OZI584" s="141"/>
      <c r="OZJ584" s="141"/>
      <c r="OZK584" s="141"/>
      <c r="OZL584" s="141"/>
      <c r="OZM584" s="141"/>
      <c r="OZN584" s="141"/>
      <c r="OZO584" s="141"/>
      <c r="OZP584" s="141"/>
      <c r="OZQ584" s="141"/>
      <c r="OZR584" s="141"/>
      <c r="OZS584" s="141"/>
      <c r="OZT584" s="141"/>
      <c r="OZU584" s="141"/>
      <c r="OZV584" s="141"/>
      <c r="OZW584" s="141"/>
      <c r="OZX584" s="141"/>
      <c r="OZY584" s="141"/>
      <c r="OZZ584" s="141"/>
      <c r="PAA584" s="141"/>
      <c r="PAB584" s="141"/>
      <c r="PAC584" s="141"/>
      <c r="PAD584" s="141"/>
      <c r="PAE584" s="141"/>
      <c r="PAF584" s="141"/>
      <c r="PAG584" s="141"/>
      <c r="PAH584" s="141"/>
      <c r="PAI584" s="141"/>
      <c r="PAJ584" s="141"/>
      <c r="PAK584" s="141"/>
      <c r="PAL584" s="141"/>
      <c r="PAM584" s="141"/>
      <c r="PAN584" s="141"/>
      <c r="PAO584" s="141"/>
      <c r="PAP584" s="141"/>
      <c r="PAQ584" s="141"/>
      <c r="PAR584" s="141"/>
      <c r="PAS584" s="141"/>
      <c r="PAT584" s="141"/>
      <c r="PAU584" s="141"/>
      <c r="PAV584" s="141"/>
      <c r="PAW584" s="141"/>
      <c r="PAX584" s="141"/>
      <c r="PAY584" s="141"/>
      <c r="PAZ584" s="141"/>
      <c r="PBA584" s="141"/>
      <c r="PBB584" s="141"/>
      <c r="PBC584" s="141"/>
      <c r="PBD584" s="141"/>
      <c r="PBE584" s="141"/>
      <c r="PBF584" s="141"/>
      <c r="PBG584" s="141"/>
      <c r="PBH584" s="141"/>
      <c r="PBI584" s="141"/>
      <c r="PBJ584" s="141"/>
      <c r="PBK584" s="141"/>
      <c r="PBL584" s="141"/>
      <c r="PBM584" s="141"/>
      <c r="PBN584" s="141"/>
      <c r="PBO584" s="141"/>
      <c r="PBP584" s="141"/>
      <c r="PBQ584" s="141"/>
      <c r="PBR584" s="141"/>
      <c r="PBS584" s="141"/>
      <c r="PBT584" s="141"/>
      <c r="PBU584" s="141"/>
      <c r="PBV584" s="141"/>
      <c r="PBW584" s="141"/>
      <c r="PBX584" s="141"/>
      <c r="PBY584" s="141"/>
      <c r="PBZ584" s="141"/>
      <c r="PCA584" s="141"/>
      <c r="PCB584" s="141"/>
      <c r="PCC584" s="141"/>
      <c r="PCD584" s="141"/>
      <c r="PCE584" s="141"/>
      <c r="PCF584" s="141"/>
      <c r="PCG584" s="141"/>
      <c r="PCH584" s="141"/>
      <c r="PCI584" s="141"/>
      <c r="PCJ584" s="141"/>
      <c r="PCK584" s="141"/>
      <c r="PCL584" s="141"/>
      <c r="PCM584" s="141"/>
      <c r="PCN584" s="141"/>
      <c r="PCO584" s="141"/>
      <c r="PCP584" s="141"/>
      <c r="PCQ584" s="141"/>
      <c r="PCR584" s="141"/>
      <c r="PCS584" s="141"/>
      <c r="PCT584" s="141"/>
      <c r="PCU584" s="141"/>
      <c r="PCV584" s="141"/>
      <c r="PCW584" s="141"/>
      <c r="PCX584" s="141"/>
      <c r="PCY584" s="141"/>
      <c r="PCZ584" s="141"/>
      <c r="PDA584" s="141"/>
      <c r="PDB584" s="141"/>
      <c r="PDC584" s="141"/>
      <c r="PDD584" s="141"/>
      <c r="PDE584" s="141"/>
      <c r="PDF584" s="141"/>
      <c r="PDG584" s="141"/>
      <c r="PDH584" s="141"/>
      <c r="PDI584" s="141"/>
      <c r="PDJ584" s="141"/>
      <c r="PDK584" s="141"/>
      <c r="PDL584" s="141"/>
      <c r="PDM584" s="141"/>
      <c r="PDN584" s="141"/>
      <c r="PDO584" s="141"/>
      <c r="PDP584" s="141"/>
      <c r="PDQ584" s="141"/>
      <c r="PDR584" s="141"/>
      <c r="PDS584" s="141"/>
      <c r="PDT584" s="141"/>
      <c r="PDU584" s="141"/>
      <c r="PDV584" s="141"/>
      <c r="PDW584" s="141"/>
      <c r="PDX584" s="141"/>
      <c r="PDY584" s="141"/>
      <c r="PDZ584" s="141"/>
      <c r="PEA584" s="141"/>
      <c r="PEB584" s="141"/>
      <c r="PEC584" s="141"/>
      <c r="PED584" s="141"/>
      <c r="PEE584" s="141"/>
      <c r="PEF584" s="141"/>
      <c r="PEG584" s="141"/>
      <c r="PEH584" s="141"/>
      <c r="PEI584" s="141"/>
      <c r="PEJ584" s="141"/>
      <c r="PEK584" s="141"/>
      <c r="PEL584" s="141"/>
      <c r="PEM584" s="141"/>
      <c r="PEN584" s="141"/>
      <c r="PEO584" s="141"/>
      <c r="PEP584" s="141"/>
      <c r="PEQ584" s="141"/>
      <c r="PER584" s="141"/>
      <c r="PES584" s="141"/>
      <c r="PET584" s="141"/>
      <c r="PEU584" s="141"/>
      <c r="PEV584" s="141"/>
      <c r="PEW584" s="141"/>
      <c r="PEX584" s="141"/>
      <c r="PEY584" s="141"/>
      <c r="PEZ584" s="141"/>
      <c r="PFA584" s="141"/>
      <c r="PFB584" s="141"/>
      <c r="PFC584" s="141"/>
      <c r="PFD584" s="141"/>
      <c r="PFE584" s="141"/>
      <c r="PFF584" s="141"/>
      <c r="PFG584" s="141"/>
      <c r="PFH584" s="141"/>
      <c r="PFI584" s="141"/>
      <c r="PFJ584" s="141"/>
      <c r="PFK584" s="141"/>
      <c r="PFL584" s="141"/>
      <c r="PFM584" s="141"/>
      <c r="PFN584" s="141"/>
      <c r="PFO584" s="141"/>
      <c r="PFP584" s="141"/>
      <c r="PFQ584" s="141"/>
      <c r="PFR584" s="141"/>
      <c r="PFS584" s="141"/>
      <c r="PFT584" s="141"/>
      <c r="PFU584" s="141"/>
      <c r="PFV584" s="141"/>
      <c r="PFW584" s="141"/>
      <c r="PFX584" s="141"/>
      <c r="PFY584" s="141"/>
      <c r="PFZ584" s="141"/>
      <c r="PGA584" s="141"/>
      <c r="PGB584" s="141"/>
      <c r="PGC584" s="141"/>
      <c r="PGD584" s="141"/>
      <c r="PGE584" s="141"/>
      <c r="PGF584" s="141"/>
      <c r="PGG584" s="141"/>
      <c r="PGH584" s="141"/>
      <c r="PGI584" s="141"/>
      <c r="PGJ584" s="141"/>
      <c r="PGK584" s="141"/>
      <c r="PGL584" s="141"/>
      <c r="PGM584" s="141"/>
      <c r="PGN584" s="141"/>
      <c r="PGO584" s="141"/>
      <c r="PGP584" s="141"/>
      <c r="PGQ584" s="141"/>
      <c r="PGR584" s="141"/>
      <c r="PGS584" s="141"/>
      <c r="PGT584" s="141"/>
      <c r="PGU584" s="141"/>
      <c r="PGV584" s="141"/>
      <c r="PGW584" s="141"/>
      <c r="PGX584" s="141"/>
      <c r="PGY584" s="141"/>
      <c r="PGZ584" s="141"/>
      <c r="PHA584" s="141"/>
      <c r="PHB584" s="141"/>
      <c r="PHC584" s="141"/>
      <c r="PHD584" s="141"/>
      <c r="PHE584" s="141"/>
      <c r="PHF584" s="141"/>
      <c r="PHG584" s="141"/>
      <c r="PHH584" s="141"/>
      <c r="PHI584" s="141"/>
      <c r="PHJ584" s="141"/>
      <c r="PHK584" s="141"/>
      <c r="PHL584" s="141"/>
      <c r="PHM584" s="141"/>
      <c r="PHN584" s="141"/>
      <c r="PHO584" s="141"/>
      <c r="PHP584" s="141"/>
      <c r="PHQ584" s="141"/>
      <c r="PHR584" s="141"/>
      <c r="PHS584" s="141"/>
      <c r="PHT584" s="141"/>
      <c r="PHU584" s="141"/>
      <c r="PHV584" s="141"/>
      <c r="PHW584" s="141"/>
      <c r="PHX584" s="141"/>
      <c r="PHY584" s="141"/>
      <c r="PHZ584" s="141"/>
      <c r="PIA584" s="141"/>
      <c r="PIB584" s="141"/>
      <c r="PIC584" s="141"/>
      <c r="PID584" s="141"/>
      <c r="PIE584" s="141"/>
      <c r="PIF584" s="141"/>
      <c r="PIG584" s="141"/>
      <c r="PIH584" s="141"/>
      <c r="PII584" s="141"/>
      <c r="PIJ584" s="141"/>
      <c r="PIK584" s="141"/>
      <c r="PIL584" s="141"/>
      <c r="PIM584" s="141"/>
      <c r="PIN584" s="141"/>
      <c r="PIO584" s="141"/>
      <c r="PIP584" s="141"/>
      <c r="PIQ584" s="141"/>
      <c r="PIR584" s="141"/>
      <c r="PIS584" s="141"/>
      <c r="PIT584" s="141"/>
      <c r="PIU584" s="141"/>
      <c r="PIV584" s="141"/>
      <c r="PIW584" s="141"/>
      <c r="PIX584" s="141"/>
      <c r="PIY584" s="141"/>
      <c r="PIZ584" s="141"/>
      <c r="PJA584" s="141"/>
      <c r="PJB584" s="141"/>
      <c r="PJC584" s="141"/>
      <c r="PJD584" s="141"/>
      <c r="PJE584" s="141"/>
      <c r="PJF584" s="141"/>
      <c r="PJG584" s="141"/>
      <c r="PJH584" s="141"/>
      <c r="PJI584" s="141"/>
      <c r="PJJ584" s="141"/>
      <c r="PJK584" s="141"/>
      <c r="PJL584" s="141"/>
      <c r="PJM584" s="141"/>
      <c r="PJN584" s="141"/>
      <c r="PJO584" s="141"/>
      <c r="PJP584" s="141"/>
      <c r="PJQ584" s="141"/>
      <c r="PJR584" s="141"/>
      <c r="PJS584" s="141"/>
      <c r="PJT584" s="141"/>
      <c r="PJU584" s="141"/>
      <c r="PJV584" s="141"/>
      <c r="PJW584" s="141"/>
      <c r="PJX584" s="141"/>
      <c r="PJY584" s="141"/>
      <c r="PJZ584" s="141"/>
      <c r="PKA584" s="141"/>
      <c r="PKB584" s="141"/>
      <c r="PKC584" s="141"/>
      <c r="PKD584" s="141"/>
      <c r="PKE584" s="141"/>
      <c r="PKF584" s="141"/>
      <c r="PKG584" s="141"/>
      <c r="PKH584" s="141"/>
      <c r="PKI584" s="141"/>
      <c r="PKJ584" s="141"/>
      <c r="PKK584" s="141"/>
      <c r="PKL584" s="141"/>
      <c r="PKM584" s="141"/>
      <c r="PKN584" s="141"/>
      <c r="PKO584" s="141"/>
      <c r="PKP584" s="141"/>
      <c r="PKQ584" s="141"/>
      <c r="PKR584" s="141"/>
      <c r="PKS584" s="141"/>
      <c r="PKT584" s="141"/>
      <c r="PKU584" s="141"/>
      <c r="PKV584" s="141"/>
      <c r="PKW584" s="141"/>
      <c r="PKX584" s="141"/>
      <c r="PKY584" s="141"/>
      <c r="PKZ584" s="141"/>
      <c r="PLA584" s="141"/>
      <c r="PLB584" s="141"/>
      <c r="PLC584" s="141"/>
      <c r="PLD584" s="141"/>
      <c r="PLE584" s="141"/>
      <c r="PLF584" s="141"/>
      <c r="PLG584" s="141"/>
      <c r="PLH584" s="141"/>
      <c r="PLI584" s="141"/>
      <c r="PLJ584" s="141"/>
      <c r="PLK584" s="141"/>
      <c r="PLL584" s="141"/>
      <c r="PLM584" s="141"/>
      <c r="PLN584" s="141"/>
      <c r="PLO584" s="141"/>
      <c r="PLP584" s="141"/>
      <c r="PLQ584" s="141"/>
      <c r="PLR584" s="141"/>
      <c r="PLS584" s="141"/>
      <c r="PLT584" s="141"/>
      <c r="PLU584" s="141"/>
      <c r="PLV584" s="141"/>
      <c r="PLW584" s="141"/>
      <c r="PLX584" s="141"/>
      <c r="PLY584" s="141"/>
      <c r="PLZ584" s="141"/>
      <c r="PMA584" s="141"/>
      <c r="PMB584" s="141"/>
      <c r="PMC584" s="141"/>
      <c r="PMD584" s="141"/>
      <c r="PME584" s="141"/>
      <c r="PMF584" s="141"/>
      <c r="PMG584" s="141"/>
      <c r="PMH584" s="141"/>
      <c r="PMI584" s="141"/>
      <c r="PMJ584" s="141"/>
      <c r="PMK584" s="141"/>
      <c r="PML584" s="141"/>
      <c r="PMM584" s="141"/>
      <c r="PMN584" s="141"/>
      <c r="PMO584" s="141"/>
      <c r="PMP584" s="141"/>
      <c r="PMQ584" s="141"/>
      <c r="PMR584" s="141"/>
      <c r="PMS584" s="141"/>
      <c r="PMT584" s="141"/>
      <c r="PMU584" s="141"/>
      <c r="PMV584" s="141"/>
      <c r="PMW584" s="141"/>
      <c r="PMX584" s="141"/>
      <c r="PMY584" s="141"/>
      <c r="PMZ584" s="141"/>
      <c r="PNA584" s="141"/>
      <c r="PNB584" s="141"/>
      <c r="PNC584" s="141"/>
      <c r="PND584" s="141"/>
      <c r="PNE584" s="141"/>
      <c r="PNF584" s="141"/>
      <c r="PNG584" s="141"/>
      <c r="PNH584" s="141"/>
      <c r="PNI584" s="141"/>
      <c r="PNJ584" s="141"/>
      <c r="PNK584" s="141"/>
      <c r="PNL584" s="141"/>
      <c r="PNM584" s="141"/>
      <c r="PNN584" s="141"/>
      <c r="PNO584" s="141"/>
      <c r="PNP584" s="141"/>
      <c r="PNQ584" s="141"/>
      <c r="PNR584" s="141"/>
      <c r="PNS584" s="141"/>
      <c r="PNT584" s="141"/>
      <c r="PNU584" s="141"/>
      <c r="PNV584" s="141"/>
      <c r="PNW584" s="141"/>
      <c r="PNX584" s="141"/>
      <c r="PNY584" s="141"/>
      <c r="PNZ584" s="141"/>
      <c r="POA584" s="141"/>
      <c r="POB584" s="141"/>
      <c r="POC584" s="141"/>
      <c r="POD584" s="141"/>
      <c r="POE584" s="141"/>
      <c r="POF584" s="141"/>
      <c r="POG584" s="141"/>
      <c r="POH584" s="141"/>
      <c r="POI584" s="141"/>
      <c r="POJ584" s="141"/>
      <c r="POK584" s="141"/>
      <c r="POL584" s="141"/>
      <c r="POM584" s="141"/>
      <c r="PON584" s="141"/>
      <c r="POO584" s="141"/>
      <c r="POP584" s="141"/>
      <c r="POQ584" s="141"/>
      <c r="POR584" s="141"/>
      <c r="POS584" s="141"/>
      <c r="POT584" s="141"/>
      <c r="POU584" s="141"/>
      <c r="POV584" s="141"/>
      <c r="POW584" s="141"/>
      <c r="POX584" s="141"/>
      <c r="POY584" s="141"/>
      <c r="POZ584" s="141"/>
      <c r="PPA584" s="141"/>
      <c r="PPB584" s="141"/>
      <c r="PPC584" s="141"/>
      <c r="PPD584" s="141"/>
      <c r="PPE584" s="141"/>
      <c r="PPF584" s="141"/>
      <c r="PPG584" s="141"/>
      <c r="PPH584" s="141"/>
      <c r="PPI584" s="141"/>
      <c r="PPJ584" s="141"/>
      <c r="PPK584" s="141"/>
      <c r="PPL584" s="141"/>
      <c r="PPM584" s="141"/>
      <c r="PPN584" s="141"/>
      <c r="PPO584" s="141"/>
      <c r="PPP584" s="141"/>
      <c r="PPQ584" s="141"/>
      <c r="PPR584" s="141"/>
      <c r="PPS584" s="141"/>
      <c r="PPT584" s="141"/>
      <c r="PPU584" s="141"/>
      <c r="PPV584" s="141"/>
      <c r="PPW584" s="141"/>
      <c r="PPX584" s="141"/>
      <c r="PPY584" s="141"/>
      <c r="PPZ584" s="141"/>
      <c r="PQA584" s="141"/>
      <c r="PQB584" s="141"/>
      <c r="PQC584" s="141"/>
      <c r="PQD584" s="141"/>
      <c r="PQE584" s="141"/>
      <c r="PQF584" s="141"/>
      <c r="PQG584" s="141"/>
      <c r="PQH584" s="141"/>
      <c r="PQI584" s="141"/>
      <c r="PQJ584" s="141"/>
      <c r="PQK584" s="141"/>
      <c r="PQL584" s="141"/>
      <c r="PQM584" s="141"/>
      <c r="PQN584" s="141"/>
      <c r="PQO584" s="141"/>
      <c r="PQP584" s="141"/>
      <c r="PQQ584" s="141"/>
      <c r="PQR584" s="141"/>
      <c r="PQS584" s="141"/>
      <c r="PQT584" s="141"/>
      <c r="PQU584" s="141"/>
      <c r="PQV584" s="141"/>
      <c r="PQW584" s="141"/>
      <c r="PQX584" s="141"/>
      <c r="PQY584" s="141"/>
      <c r="PQZ584" s="141"/>
      <c r="PRA584" s="141"/>
      <c r="PRB584" s="141"/>
      <c r="PRC584" s="141"/>
      <c r="PRD584" s="141"/>
      <c r="PRE584" s="141"/>
      <c r="PRF584" s="141"/>
      <c r="PRG584" s="141"/>
      <c r="PRH584" s="141"/>
      <c r="PRI584" s="141"/>
      <c r="PRJ584" s="141"/>
      <c r="PRK584" s="141"/>
      <c r="PRL584" s="141"/>
      <c r="PRM584" s="141"/>
      <c r="PRN584" s="141"/>
      <c r="PRO584" s="141"/>
      <c r="PRP584" s="141"/>
      <c r="PRQ584" s="141"/>
      <c r="PRR584" s="141"/>
      <c r="PRS584" s="141"/>
      <c r="PRT584" s="141"/>
      <c r="PRU584" s="141"/>
      <c r="PRV584" s="141"/>
      <c r="PRW584" s="141"/>
      <c r="PRX584" s="141"/>
      <c r="PRY584" s="141"/>
      <c r="PRZ584" s="141"/>
      <c r="PSA584" s="141"/>
      <c r="PSB584" s="141"/>
      <c r="PSC584" s="141"/>
      <c r="PSD584" s="141"/>
      <c r="PSE584" s="141"/>
      <c r="PSF584" s="141"/>
      <c r="PSG584" s="141"/>
      <c r="PSH584" s="141"/>
      <c r="PSI584" s="141"/>
      <c r="PSJ584" s="141"/>
      <c r="PSK584" s="141"/>
      <c r="PSL584" s="141"/>
      <c r="PSM584" s="141"/>
      <c r="PSN584" s="141"/>
      <c r="PSO584" s="141"/>
      <c r="PSP584" s="141"/>
      <c r="PSQ584" s="141"/>
      <c r="PSR584" s="141"/>
      <c r="PSS584" s="141"/>
      <c r="PST584" s="141"/>
      <c r="PSU584" s="141"/>
      <c r="PSV584" s="141"/>
      <c r="PSW584" s="141"/>
      <c r="PSX584" s="141"/>
      <c r="PSY584" s="141"/>
      <c r="PSZ584" s="141"/>
      <c r="PTA584" s="141"/>
      <c r="PTB584" s="141"/>
      <c r="PTC584" s="141"/>
      <c r="PTD584" s="141"/>
      <c r="PTE584" s="141"/>
      <c r="PTF584" s="141"/>
      <c r="PTG584" s="141"/>
      <c r="PTH584" s="141"/>
      <c r="PTI584" s="141"/>
      <c r="PTJ584" s="141"/>
      <c r="PTK584" s="141"/>
      <c r="PTL584" s="141"/>
      <c r="PTM584" s="141"/>
      <c r="PTN584" s="141"/>
      <c r="PTO584" s="141"/>
      <c r="PTP584" s="141"/>
      <c r="PTQ584" s="141"/>
      <c r="PTR584" s="141"/>
      <c r="PTS584" s="141"/>
      <c r="PTT584" s="141"/>
      <c r="PTU584" s="141"/>
      <c r="PTV584" s="141"/>
      <c r="PTW584" s="141"/>
      <c r="PTX584" s="141"/>
      <c r="PTY584" s="141"/>
      <c r="PTZ584" s="141"/>
      <c r="PUA584" s="141"/>
      <c r="PUB584" s="141"/>
      <c r="PUC584" s="141"/>
      <c r="PUD584" s="141"/>
      <c r="PUE584" s="141"/>
      <c r="PUF584" s="141"/>
      <c r="PUG584" s="141"/>
      <c r="PUH584" s="141"/>
      <c r="PUI584" s="141"/>
      <c r="PUJ584" s="141"/>
      <c r="PUK584" s="141"/>
      <c r="PUL584" s="141"/>
      <c r="PUM584" s="141"/>
      <c r="PUN584" s="141"/>
      <c r="PUO584" s="141"/>
      <c r="PUP584" s="141"/>
      <c r="PUQ584" s="141"/>
      <c r="PUR584" s="141"/>
      <c r="PUS584" s="141"/>
      <c r="PUT584" s="141"/>
      <c r="PUU584" s="141"/>
      <c r="PUV584" s="141"/>
      <c r="PUW584" s="141"/>
      <c r="PUX584" s="141"/>
      <c r="PUY584" s="141"/>
      <c r="PUZ584" s="141"/>
      <c r="PVA584" s="141"/>
      <c r="PVB584" s="141"/>
      <c r="PVC584" s="141"/>
      <c r="PVD584" s="141"/>
      <c r="PVE584" s="141"/>
      <c r="PVF584" s="141"/>
      <c r="PVG584" s="141"/>
      <c r="PVH584" s="141"/>
      <c r="PVI584" s="141"/>
      <c r="PVJ584" s="141"/>
      <c r="PVK584" s="141"/>
      <c r="PVL584" s="141"/>
      <c r="PVM584" s="141"/>
      <c r="PVN584" s="141"/>
      <c r="PVO584" s="141"/>
      <c r="PVP584" s="141"/>
      <c r="PVQ584" s="141"/>
      <c r="PVR584" s="141"/>
      <c r="PVS584" s="141"/>
      <c r="PVT584" s="141"/>
      <c r="PVU584" s="141"/>
      <c r="PVV584" s="141"/>
      <c r="PVW584" s="141"/>
      <c r="PVX584" s="141"/>
      <c r="PVY584" s="141"/>
      <c r="PVZ584" s="141"/>
      <c r="PWA584" s="141"/>
      <c r="PWB584" s="141"/>
      <c r="PWC584" s="141"/>
      <c r="PWD584" s="141"/>
      <c r="PWE584" s="141"/>
      <c r="PWF584" s="141"/>
      <c r="PWG584" s="141"/>
      <c r="PWH584" s="141"/>
      <c r="PWI584" s="141"/>
      <c r="PWJ584" s="141"/>
      <c r="PWK584" s="141"/>
      <c r="PWL584" s="141"/>
      <c r="PWM584" s="141"/>
      <c r="PWN584" s="141"/>
      <c r="PWO584" s="141"/>
      <c r="PWP584" s="141"/>
      <c r="PWQ584" s="141"/>
      <c r="PWR584" s="141"/>
      <c r="PWS584" s="141"/>
      <c r="PWT584" s="141"/>
      <c r="PWU584" s="141"/>
      <c r="PWV584" s="141"/>
      <c r="PWW584" s="141"/>
      <c r="PWX584" s="141"/>
      <c r="PWY584" s="141"/>
      <c r="PWZ584" s="141"/>
      <c r="PXA584" s="141"/>
      <c r="PXB584" s="141"/>
      <c r="PXC584" s="141"/>
      <c r="PXD584" s="141"/>
      <c r="PXE584" s="141"/>
      <c r="PXF584" s="141"/>
      <c r="PXG584" s="141"/>
      <c r="PXH584" s="141"/>
      <c r="PXI584" s="141"/>
      <c r="PXJ584" s="141"/>
      <c r="PXK584" s="141"/>
      <c r="PXL584" s="141"/>
      <c r="PXM584" s="141"/>
      <c r="PXN584" s="141"/>
      <c r="PXO584" s="141"/>
      <c r="PXP584" s="141"/>
      <c r="PXQ584" s="141"/>
      <c r="PXR584" s="141"/>
      <c r="PXS584" s="141"/>
      <c r="PXT584" s="141"/>
      <c r="PXU584" s="141"/>
      <c r="PXV584" s="141"/>
      <c r="PXW584" s="141"/>
      <c r="PXX584" s="141"/>
      <c r="PXY584" s="141"/>
      <c r="PXZ584" s="141"/>
      <c r="PYA584" s="141"/>
      <c r="PYB584" s="141"/>
      <c r="PYC584" s="141"/>
      <c r="PYD584" s="141"/>
      <c r="PYE584" s="141"/>
      <c r="PYF584" s="141"/>
      <c r="PYG584" s="141"/>
      <c r="PYH584" s="141"/>
      <c r="PYI584" s="141"/>
      <c r="PYJ584" s="141"/>
      <c r="PYK584" s="141"/>
      <c r="PYL584" s="141"/>
      <c r="PYM584" s="141"/>
      <c r="PYN584" s="141"/>
      <c r="PYO584" s="141"/>
      <c r="PYP584" s="141"/>
      <c r="PYQ584" s="141"/>
      <c r="PYR584" s="141"/>
      <c r="PYS584" s="141"/>
      <c r="PYT584" s="141"/>
      <c r="PYU584" s="141"/>
      <c r="PYV584" s="141"/>
      <c r="PYW584" s="141"/>
      <c r="PYX584" s="141"/>
      <c r="PYY584" s="141"/>
      <c r="PYZ584" s="141"/>
      <c r="PZA584" s="141"/>
      <c r="PZB584" s="141"/>
      <c r="PZC584" s="141"/>
      <c r="PZD584" s="141"/>
      <c r="PZE584" s="141"/>
      <c r="PZF584" s="141"/>
      <c r="PZG584" s="141"/>
      <c r="PZH584" s="141"/>
      <c r="PZI584" s="141"/>
      <c r="PZJ584" s="141"/>
      <c r="PZK584" s="141"/>
      <c r="PZL584" s="141"/>
      <c r="PZM584" s="141"/>
      <c r="PZN584" s="141"/>
      <c r="PZO584" s="141"/>
      <c r="PZP584" s="141"/>
      <c r="PZQ584" s="141"/>
      <c r="PZR584" s="141"/>
      <c r="PZS584" s="141"/>
      <c r="PZT584" s="141"/>
      <c r="PZU584" s="141"/>
      <c r="PZV584" s="141"/>
      <c r="PZW584" s="141"/>
      <c r="PZX584" s="141"/>
      <c r="PZY584" s="141"/>
      <c r="PZZ584" s="141"/>
      <c r="QAA584" s="141"/>
      <c r="QAB584" s="141"/>
      <c r="QAC584" s="141"/>
      <c r="QAD584" s="141"/>
      <c r="QAE584" s="141"/>
      <c r="QAF584" s="141"/>
      <c r="QAG584" s="141"/>
      <c r="QAH584" s="141"/>
      <c r="QAI584" s="141"/>
      <c r="QAJ584" s="141"/>
      <c r="QAK584" s="141"/>
      <c r="QAL584" s="141"/>
      <c r="QAM584" s="141"/>
      <c r="QAN584" s="141"/>
      <c r="QAO584" s="141"/>
      <c r="QAP584" s="141"/>
      <c r="QAQ584" s="141"/>
      <c r="QAR584" s="141"/>
      <c r="QAS584" s="141"/>
      <c r="QAT584" s="141"/>
      <c r="QAU584" s="141"/>
      <c r="QAV584" s="141"/>
      <c r="QAW584" s="141"/>
      <c r="QAX584" s="141"/>
      <c r="QAY584" s="141"/>
      <c r="QAZ584" s="141"/>
      <c r="QBA584" s="141"/>
      <c r="QBB584" s="141"/>
      <c r="QBC584" s="141"/>
      <c r="QBD584" s="141"/>
      <c r="QBE584" s="141"/>
      <c r="QBF584" s="141"/>
      <c r="QBG584" s="141"/>
      <c r="QBH584" s="141"/>
      <c r="QBI584" s="141"/>
      <c r="QBJ584" s="141"/>
      <c r="QBK584" s="141"/>
      <c r="QBL584" s="141"/>
      <c r="QBM584" s="141"/>
      <c r="QBN584" s="141"/>
      <c r="QBO584" s="141"/>
      <c r="QBP584" s="141"/>
      <c r="QBQ584" s="141"/>
      <c r="QBR584" s="141"/>
      <c r="QBS584" s="141"/>
      <c r="QBT584" s="141"/>
      <c r="QBU584" s="141"/>
      <c r="QBV584" s="141"/>
      <c r="QBW584" s="141"/>
      <c r="QBX584" s="141"/>
      <c r="QBY584" s="141"/>
      <c r="QBZ584" s="141"/>
      <c r="QCA584" s="141"/>
      <c r="QCB584" s="141"/>
      <c r="QCC584" s="141"/>
      <c r="QCD584" s="141"/>
      <c r="QCE584" s="141"/>
      <c r="QCF584" s="141"/>
      <c r="QCG584" s="141"/>
      <c r="QCH584" s="141"/>
      <c r="QCI584" s="141"/>
      <c r="QCJ584" s="141"/>
      <c r="QCK584" s="141"/>
      <c r="QCL584" s="141"/>
      <c r="QCM584" s="141"/>
      <c r="QCN584" s="141"/>
      <c r="QCO584" s="141"/>
      <c r="QCP584" s="141"/>
      <c r="QCQ584" s="141"/>
      <c r="QCR584" s="141"/>
      <c r="QCS584" s="141"/>
      <c r="QCT584" s="141"/>
      <c r="QCU584" s="141"/>
      <c r="QCV584" s="141"/>
      <c r="QCW584" s="141"/>
      <c r="QCX584" s="141"/>
      <c r="QCY584" s="141"/>
      <c r="QCZ584" s="141"/>
      <c r="QDA584" s="141"/>
      <c r="QDB584" s="141"/>
      <c r="QDC584" s="141"/>
      <c r="QDD584" s="141"/>
      <c r="QDE584" s="141"/>
      <c r="QDF584" s="141"/>
      <c r="QDG584" s="141"/>
      <c r="QDH584" s="141"/>
      <c r="QDI584" s="141"/>
      <c r="QDJ584" s="141"/>
      <c r="QDK584" s="141"/>
      <c r="QDL584" s="141"/>
      <c r="QDM584" s="141"/>
      <c r="QDN584" s="141"/>
      <c r="QDO584" s="141"/>
      <c r="QDP584" s="141"/>
      <c r="QDQ584" s="141"/>
      <c r="QDR584" s="141"/>
      <c r="QDS584" s="141"/>
      <c r="QDT584" s="141"/>
      <c r="QDU584" s="141"/>
      <c r="QDV584" s="141"/>
      <c r="QDW584" s="141"/>
      <c r="QDX584" s="141"/>
      <c r="QDY584" s="141"/>
      <c r="QDZ584" s="141"/>
      <c r="QEA584" s="141"/>
      <c r="QEB584" s="141"/>
      <c r="QEC584" s="141"/>
      <c r="QED584" s="141"/>
      <c r="QEE584" s="141"/>
      <c r="QEF584" s="141"/>
      <c r="QEG584" s="141"/>
      <c r="QEH584" s="141"/>
      <c r="QEI584" s="141"/>
      <c r="QEJ584" s="141"/>
      <c r="QEK584" s="141"/>
      <c r="QEL584" s="141"/>
      <c r="QEM584" s="141"/>
      <c r="QEN584" s="141"/>
      <c r="QEO584" s="141"/>
      <c r="QEP584" s="141"/>
      <c r="QEQ584" s="141"/>
      <c r="QER584" s="141"/>
      <c r="QES584" s="141"/>
      <c r="QET584" s="141"/>
      <c r="QEU584" s="141"/>
      <c r="QEV584" s="141"/>
      <c r="QEW584" s="141"/>
      <c r="QEX584" s="141"/>
      <c r="QEY584" s="141"/>
      <c r="QEZ584" s="141"/>
      <c r="QFA584" s="141"/>
      <c r="QFB584" s="141"/>
      <c r="QFC584" s="141"/>
      <c r="QFD584" s="141"/>
      <c r="QFE584" s="141"/>
      <c r="QFF584" s="141"/>
      <c r="QFG584" s="141"/>
      <c r="QFH584" s="141"/>
      <c r="QFI584" s="141"/>
      <c r="QFJ584" s="141"/>
      <c r="QFK584" s="141"/>
      <c r="QFL584" s="141"/>
      <c r="QFM584" s="141"/>
      <c r="QFN584" s="141"/>
      <c r="QFO584" s="141"/>
      <c r="QFP584" s="141"/>
      <c r="QFQ584" s="141"/>
      <c r="QFR584" s="141"/>
      <c r="QFS584" s="141"/>
      <c r="QFT584" s="141"/>
      <c r="QFU584" s="141"/>
      <c r="QFV584" s="141"/>
      <c r="QFW584" s="141"/>
      <c r="QFX584" s="141"/>
      <c r="QFY584" s="141"/>
      <c r="QFZ584" s="141"/>
      <c r="QGA584" s="141"/>
      <c r="QGB584" s="141"/>
      <c r="QGC584" s="141"/>
      <c r="QGD584" s="141"/>
      <c r="QGE584" s="141"/>
      <c r="QGF584" s="141"/>
      <c r="QGG584" s="141"/>
      <c r="QGH584" s="141"/>
      <c r="QGI584" s="141"/>
      <c r="QGJ584" s="141"/>
      <c r="QGK584" s="141"/>
      <c r="QGL584" s="141"/>
      <c r="QGM584" s="141"/>
      <c r="QGN584" s="141"/>
      <c r="QGO584" s="141"/>
      <c r="QGP584" s="141"/>
      <c r="QGQ584" s="141"/>
      <c r="QGR584" s="141"/>
      <c r="QGS584" s="141"/>
      <c r="QGT584" s="141"/>
      <c r="QGU584" s="141"/>
      <c r="QGV584" s="141"/>
      <c r="QGW584" s="141"/>
      <c r="QGX584" s="141"/>
      <c r="QGY584" s="141"/>
      <c r="QGZ584" s="141"/>
      <c r="QHA584" s="141"/>
      <c r="QHB584" s="141"/>
      <c r="QHC584" s="141"/>
      <c r="QHD584" s="141"/>
      <c r="QHE584" s="141"/>
      <c r="QHF584" s="141"/>
      <c r="QHG584" s="141"/>
      <c r="QHH584" s="141"/>
      <c r="QHI584" s="141"/>
      <c r="QHJ584" s="141"/>
      <c r="QHK584" s="141"/>
      <c r="QHL584" s="141"/>
      <c r="QHM584" s="141"/>
      <c r="QHN584" s="141"/>
      <c r="QHO584" s="141"/>
      <c r="QHP584" s="141"/>
      <c r="QHQ584" s="141"/>
      <c r="QHR584" s="141"/>
      <c r="QHS584" s="141"/>
      <c r="QHT584" s="141"/>
      <c r="QHU584" s="141"/>
      <c r="QHV584" s="141"/>
      <c r="QHW584" s="141"/>
      <c r="QHX584" s="141"/>
      <c r="QHY584" s="141"/>
      <c r="QHZ584" s="141"/>
      <c r="QIA584" s="141"/>
      <c r="QIB584" s="141"/>
      <c r="QIC584" s="141"/>
      <c r="QID584" s="141"/>
      <c r="QIE584" s="141"/>
      <c r="QIF584" s="141"/>
      <c r="QIG584" s="141"/>
      <c r="QIH584" s="141"/>
      <c r="QII584" s="141"/>
      <c r="QIJ584" s="141"/>
      <c r="QIK584" s="141"/>
      <c r="QIL584" s="141"/>
      <c r="QIM584" s="141"/>
      <c r="QIN584" s="141"/>
      <c r="QIO584" s="141"/>
      <c r="QIP584" s="141"/>
      <c r="QIQ584" s="141"/>
      <c r="QIR584" s="141"/>
      <c r="QIS584" s="141"/>
      <c r="QIT584" s="141"/>
      <c r="QIU584" s="141"/>
      <c r="QIV584" s="141"/>
      <c r="QIW584" s="141"/>
      <c r="QIX584" s="141"/>
      <c r="QIY584" s="141"/>
      <c r="QIZ584" s="141"/>
      <c r="QJA584" s="141"/>
      <c r="QJB584" s="141"/>
      <c r="QJC584" s="141"/>
      <c r="QJD584" s="141"/>
      <c r="QJE584" s="141"/>
      <c r="QJF584" s="141"/>
      <c r="QJG584" s="141"/>
      <c r="QJH584" s="141"/>
      <c r="QJI584" s="141"/>
      <c r="QJJ584" s="141"/>
      <c r="QJK584" s="141"/>
      <c r="QJL584" s="141"/>
      <c r="QJM584" s="141"/>
      <c r="QJN584" s="141"/>
      <c r="QJO584" s="141"/>
      <c r="QJP584" s="141"/>
      <c r="QJQ584" s="141"/>
      <c r="QJR584" s="141"/>
      <c r="QJS584" s="141"/>
      <c r="QJT584" s="141"/>
      <c r="QJU584" s="141"/>
      <c r="QJV584" s="141"/>
      <c r="QJW584" s="141"/>
      <c r="QJX584" s="141"/>
      <c r="QJY584" s="141"/>
      <c r="QJZ584" s="141"/>
      <c r="QKA584" s="141"/>
      <c r="QKB584" s="141"/>
      <c r="QKC584" s="141"/>
      <c r="QKD584" s="141"/>
      <c r="QKE584" s="141"/>
      <c r="QKF584" s="141"/>
      <c r="QKG584" s="141"/>
      <c r="QKH584" s="141"/>
      <c r="QKI584" s="141"/>
      <c r="QKJ584" s="141"/>
      <c r="QKK584" s="141"/>
      <c r="QKL584" s="141"/>
      <c r="QKM584" s="141"/>
      <c r="QKN584" s="141"/>
      <c r="QKO584" s="141"/>
      <c r="QKP584" s="141"/>
      <c r="QKQ584" s="141"/>
      <c r="QKR584" s="141"/>
      <c r="QKS584" s="141"/>
      <c r="QKT584" s="141"/>
      <c r="QKU584" s="141"/>
      <c r="QKV584" s="141"/>
      <c r="QKW584" s="141"/>
      <c r="QKX584" s="141"/>
      <c r="QKY584" s="141"/>
      <c r="QKZ584" s="141"/>
      <c r="QLA584" s="141"/>
      <c r="QLB584" s="141"/>
      <c r="QLC584" s="141"/>
      <c r="QLD584" s="141"/>
      <c r="QLE584" s="141"/>
      <c r="QLF584" s="141"/>
      <c r="QLG584" s="141"/>
      <c r="QLH584" s="141"/>
      <c r="QLI584" s="141"/>
      <c r="QLJ584" s="141"/>
      <c r="QLK584" s="141"/>
      <c r="QLL584" s="141"/>
      <c r="QLM584" s="141"/>
      <c r="QLN584" s="141"/>
      <c r="QLO584" s="141"/>
      <c r="QLP584" s="141"/>
      <c r="QLQ584" s="141"/>
      <c r="QLR584" s="141"/>
      <c r="QLS584" s="141"/>
      <c r="QLT584" s="141"/>
      <c r="QLU584" s="141"/>
      <c r="QLV584" s="141"/>
      <c r="QLW584" s="141"/>
      <c r="QLX584" s="141"/>
      <c r="QLY584" s="141"/>
      <c r="QLZ584" s="141"/>
      <c r="QMA584" s="141"/>
      <c r="QMB584" s="141"/>
      <c r="QMC584" s="141"/>
      <c r="QMD584" s="141"/>
      <c r="QME584" s="141"/>
      <c r="QMF584" s="141"/>
      <c r="QMG584" s="141"/>
      <c r="QMH584" s="141"/>
      <c r="QMI584" s="141"/>
      <c r="QMJ584" s="141"/>
      <c r="QMK584" s="141"/>
      <c r="QML584" s="141"/>
      <c r="QMM584" s="141"/>
      <c r="QMN584" s="141"/>
      <c r="QMO584" s="141"/>
      <c r="QMP584" s="141"/>
      <c r="QMQ584" s="141"/>
      <c r="QMR584" s="141"/>
      <c r="QMS584" s="141"/>
      <c r="QMT584" s="141"/>
      <c r="QMU584" s="141"/>
      <c r="QMV584" s="141"/>
      <c r="QMW584" s="141"/>
      <c r="QMX584" s="141"/>
      <c r="QMY584" s="141"/>
      <c r="QMZ584" s="141"/>
      <c r="QNA584" s="141"/>
      <c r="QNB584" s="141"/>
      <c r="QNC584" s="141"/>
      <c r="QND584" s="141"/>
      <c r="QNE584" s="141"/>
      <c r="QNF584" s="141"/>
      <c r="QNG584" s="141"/>
      <c r="QNH584" s="141"/>
      <c r="QNI584" s="141"/>
      <c r="QNJ584" s="141"/>
      <c r="QNK584" s="141"/>
      <c r="QNL584" s="141"/>
      <c r="QNM584" s="141"/>
      <c r="QNN584" s="141"/>
      <c r="QNO584" s="141"/>
      <c r="QNP584" s="141"/>
      <c r="QNQ584" s="141"/>
      <c r="QNR584" s="141"/>
      <c r="QNS584" s="141"/>
      <c r="QNT584" s="141"/>
      <c r="QNU584" s="141"/>
      <c r="QNV584" s="141"/>
      <c r="QNW584" s="141"/>
      <c r="QNX584" s="141"/>
      <c r="QNY584" s="141"/>
      <c r="QNZ584" s="141"/>
      <c r="QOA584" s="141"/>
      <c r="QOB584" s="141"/>
      <c r="QOC584" s="141"/>
      <c r="QOD584" s="141"/>
      <c r="QOE584" s="141"/>
      <c r="QOF584" s="141"/>
      <c r="QOG584" s="141"/>
      <c r="QOH584" s="141"/>
      <c r="QOI584" s="141"/>
      <c r="QOJ584" s="141"/>
      <c r="QOK584" s="141"/>
      <c r="QOL584" s="141"/>
      <c r="QOM584" s="141"/>
      <c r="QON584" s="141"/>
      <c r="QOO584" s="141"/>
      <c r="QOP584" s="141"/>
      <c r="QOQ584" s="141"/>
      <c r="QOR584" s="141"/>
      <c r="QOS584" s="141"/>
      <c r="QOT584" s="141"/>
      <c r="QOU584" s="141"/>
      <c r="QOV584" s="141"/>
      <c r="QOW584" s="141"/>
      <c r="QOX584" s="141"/>
      <c r="QOY584" s="141"/>
      <c r="QOZ584" s="141"/>
      <c r="QPA584" s="141"/>
      <c r="QPB584" s="141"/>
      <c r="QPC584" s="141"/>
      <c r="QPD584" s="141"/>
      <c r="QPE584" s="141"/>
      <c r="QPF584" s="141"/>
      <c r="QPG584" s="141"/>
      <c r="QPH584" s="141"/>
      <c r="QPI584" s="141"/>
      <c r="QPJ584" s="141"/>
      <c r="QPK584" s="141"/>
      <c r="QPL584" s="141"/>
      <c r="QPM584" s="141"/>
      <c r="QPN584" s="141"/>
      <c r="QPO584" s="141"/>
      <c r="QPP584" s="141"/>
      <c r="QPQ584" s="141"/>
      <c r="QPR584" s="141"/>
      <c r="QPS584" s="141"/>
      <c r="QPT584" s="141"/>
      <c r="QPU584" s="141"/>
      <c r="QPV584" s="141"/>
      <c r="QPW584" s="141"/>
      <c r="QPX584" s="141"/>
      <c r="QPY584" s="141"/>
      <c r="QPZ584" s="141"/>
      <c r="QQA584" s="141"/>
      <c r="QQB584" s="141"/>
      <c r="QQC584" s="141"/>
      <c r="QQD584" s="141"/>
      <c r="QQE584" s="141"/>
      <c r="QQF584" s="141"/>
      <c r="QQG584" s="141"/>
      <c r="QQH584" s="141"/>
      <c r="QQI584" s="141"/>
      <c r="QQJ584" s="141"/>
      <c r="QQK584" s="141"/>
      <c r="QQL584" s="141"/>
      <c r="QQM584" s="141"/>
      <c r="QQN584" s="141"/>
      <c r="QQO584" s="141"/>
      <c r="QQP584" s="141"/>
      <c r="QQQ584" s="141"/>
      <c r="QQR584" s="141"/>
      <c r="QQS584" s="141"/>
      <c r="QQT584" s="141"/>
      <c r="QQU584" s="141"/>
      <c r="QQV584" s="141"/>
      <c r="QQW584" s="141"/>
      <c r="QQX584" s="141"/>
      <c r="QQY584" s="141"/>
      <c r="QQZ584" s="141"/>
      <c r="QRA584" s="141"/>
      <c r="QRB584" s="141"/>
      <c r="QRC584" s="141"/>
      <c r="QRD584" s="141"/>
      <c r="QRE584" s="141"/>
      <c r="QRF584" s="141"/>
      <c r="QRG584" s="141"/>
      <c r="QRH584" s="141"/>
      <c r="QRI584" s="141"/>
      <c r="QRJ584" s="141"/>
      <c r="QRK584" s="141"/>
      <c r="QRL584" s="141"/>
      <c r="QRM584" s="141"/>
      <c r="QRN584" s="141"/>
      <c r="QRO584" s="141"/>
      <c r="QRP584" s="141"/>
      <c r="QRQ584" s="141"/>
      <c r="QRR584" s="141"/>
      <c r="QRS584" s="141"/>
      <c r="QRT584" s="141"/>
      <c r="QRU584" s="141"/>
      <c r="QRV584" s="141"/>
      <c r="QRW584" s="141"/>
      <c r="QRX584" s="141"/>
      <c r="QRY584" s="141"/>
      <c r="QRZ584" s="141"/>
      <c r="QSA584" s="141"/>
      <c r="QSB584" s="141"/>
      <c r="QSC584" s="141"/>
      <c r="QSD584" s="141"/>
      <c r="QSE584" s="141"/>
      <c r="QSF584" s="141"/>
      <c r="QSG584" s="141"/>
      <c r="QSH584" s="141"/>
      <c r="QSI584" s="141"/>
      <c r="QSJ584" s="141"/>
      <c r="QSK584" s="141"/>
      <c r="QSL584" s="141"/>
      <c r="QSM584" s="141"/>
      <c r="QSN584" s="141"/>
      <c r="QSO584" s="141"/>
      <c r="QSP584" s="141"/>
      <c r="QSQ584" s="141"/>
      <c r="QSR584" s="141"/>
      <c r="QSS584" s="141"/>
      <c r="QST584" s="141"/>
      <c r="QSU584" s="141"/>
      <c r="QSV584" s="141"/>
      <c r="QSW584" s="141"/>
      <c r="QSX584" s="141"/>
      <c r="QSY584" s="141"/>
      <c r="QSZ584" s="141"/>
      <c r="QTA584" s="141"/>
      <c r="QTB584" s="141"/>
      <c r="QTC584" s="141"/>
      <c r="QTD584" s="141"/>
      <c r="QTE584" s="141"/>
      <c r="QTF584" s="141"/>
      <c r="QTG584" s="141"/>
      <c r="QTH584" s="141"/>
      <c r="QTI584" s="141"/>
      <c r="QTJ584" s="141"/>
      <c r="QTK584" s="141"/>
      <c r="QTL584" s="141"/>
      <c r="QTM584" s="141"/>
      <c r="QTN584" s="141"/>
      <c r="QTO584" s="141"/>
      <c r="QTP584" s="141"/>
      <c r="QTQ584" s="141"/>
      <c r="QTR584" s="141"/>
      <c r="QTS584" s="141"/>
      <c r="QTT584" s="141"/>
      <c r="QTU584" s="141"/>
      <c r="QTV584" s="141"/>
      <c r="QTW584" s="141"/>
      <c r="QTX584" s="141"/>
      <c r="QTY584" s="141"/>
      <c r="QTZ584" s="141"/>
      <c r="QUA584" s="141"/>
      <c r="QUB584" s="141"/>
      <c r="QUC584" s="141"/>
      <c r="QUD584" s="141"/>
      <c r="QUE584" s="141"/>
      <c r="QUF584" s="141"/>
      <c r="QUG584" s="141"/>
      <c r="QUH584" s="141"/>
      <c r="QUI584" s="141"/>
      <c r="QUJ584" s="141"/>
      <c r="QUK584" s="141"/>
      <c r="QUL584" s="141"/>
      <c r="QUM584" s="141"/>
      <c r="QUN584" s="141"/>
      <c r="QUO584" s="141"/>
      <c r="QUP584" s="141"/>
      <c r="QUQ584" s="141"/>
      <c r="QUR584" s="141"/>
      <c r="QUS584" s="141"/>
      <c r="QUT584" s="141"/>
      <c r="QUU584" s="141"/>
      <c r="QUV584" s="141"/>
      <c r="QUW584" s="141"/>
      <c r="QUX584" s="141"/>
      <c r="QUY584" s="141"/>
      <c r="QUZ584" s="141"/>
      <c r="QVA584" s="141"/>
      <c r="QVB584" s="141"/>
      <c r="QVC584" s="141"/>
      <c r="QVD584" s="141"/>
      <c r="QVE584" s="141"/>
      <c r="QVF584" s="141"/>
      <c r="QVG584" s="141"/>
      <c r="QVH584" s="141"/>
      <c r="QVI584" s="141"/>
      <c r="QVJ584" s="141"/>
      <c r="QVK584" s="141"/>
      <c r="QVL584" s="141"/>
      <c r="QVM584" s="141"/>
      <c r="QVN584" s="141"/>
      <c r="QVO584" s="141"/>
      <c r="QVP584" s="141"/>
      <c r="QVQ584" s="141"/>
      <c r="QVR584" s="141"/>
      <c r="QVS584" s="141"/>
      <c r="QVT584" s="141"/>
      <c r="QVU584" s="141"/>
      <c r="QVV584" s="141"/>
      <c r="QVW584" s="141"/>
      <c r="QVX584" s="141"/>
      <c r="QVY584" s="141"/>
      <c r="QVZ584" s="141"/>
      <c r="QWA584" s="141"/>
      <c r="QWB584" s="141"/>
      <c r="QWC584" s="141"/>
      <c r="QWD584" s="141"/>
      <c r="QWE584" s="141"/>
      <c r="QWF584" s="141"/>
      <c r="QWG584" s="141"/>
      <c r="QWH584" s="141"/>
      <c r="QWI584" s="141"/>
      <c r="QWJ584" s="141"/>
      <c r="QWK584" s="141"/>
      <c r="QWL584" s="141"/>
      <c r="QWM584" s="141"/>
      <c r="QWN584" s="141"/>
      <c r="QWO584" s="141"/>
      <c r="QWP584" s="141"/>
      <c r="QWQ584" s="141"/>
      <c r="QWR584" s="141"/>
      <c r="QWS584" s="141"/>
      <c r="QWT584" s="141"/>
      <c r="QWU584" s="141"/>
      <c r="QWV584" s="141"/>
      <c r="QWW584" s="141"/>
      <c r="QWX584" s="141"/>
      <c r="QWY584" s="141"/>
      <c r="QWZ584" s="141"/>
      <c r="QXA584" s="141"/>
      <c r="QXB584" s="141"/>
      <c r="QXC584" s="141"/>
      <c r="QXD584" s="141"/>
      <c r="QXE584" s="141"/>
      <c r="QXF584" s="141"/>
      <c r="QXG584" s="141"/>
      <c r="QXH584" s="141"/>
      <c r="QXI584" s="141"/>
      <c r="QXJ584" s="141"/>
      <c r="QXK584" s="141"/>
      <c r="QXL584" s="141"/>
      <c r="QXM584" s="141"/>
      <c r="QXN584" s="141"/>
      <c r="QXO584" s="141"/>
      <c r="QXP584" s="141"/>
      <c r="QXQ584" s="141"/>
      <c r="QXR584" s="141"/>
      <c r="QXS584" s="141"/>
      <c r="QXT584" s="141"/>
      <c r="QXU584" s="141"/>
      <c r="QXV584" s="141"/>
      <c r="QXW584" s="141"/>
      <c r="QXX584" s="141"/>
      <c r="QXY584" s="141"/>
      <c r="QXZ584" s="141"/>
      <c r="QYA584" s="141"/>
      <c r="QYB584" s="141"/>
      <c r="QYC584" s="141"/>
      <c r="QYD584" s="141"/>
      <c r="QYE584" s="141"/>
      <c r="QYF584" s="141"/>
      <c r="QYG584" s="141"/>
      <c r="QYH584" s="141"/>
      <c r="QYI584" s="141"/>
      <c r="QYJ584" s="141"/>
      <c r="QYK584" s="141"/>
      <c r="QYL584" s="141"/>
      <c r="QYM584" s="141"/>
      <c r="QYN584" s="141"/>
      <c r="QYO584" s="141"/>
      <c r="QYP584" s="141"/>
      <c r="QYQ584" s="141"/>
      <c r="QYR584" s="141"/>
      <c r="QYS584" s="141"/>
      <c r="QYT584" s="141"/>
      <c r="QYU584" s="141"/>
      <c r="QYV584" s="141"/>
      <c r="QYW584" s="141"/>
      <c r="QYX584" s="141"/>
      <c r="QYY584" s="141"/>
      <c r="QYZ584" s="141"/>
      <c r="QZA584" s="141"/>
      <c r="QZB584" s="141"/>
      <c r="QZC584" s="141"/>
      <c r="QZD584" s="141"/>
      <c r="QZE584" s="141"/>
      <c r="QZF584" s="141"/>
      <c r="QZG584" s="141"/>
      <c r="QZH584" s="141"/>
      <c r="QZI584" s="141"/>
      <c r="QZJ584" s="141"/>
      <c r="QZK584" s="141"/>
      <c r="QZL584" s="141"/>
      <c r="QZM584" s="141"/>
      <c r="QZN584" s="141"/>
      <c r="QZO584" s="141"/>
      <c r="QZP584" s="141"/>
      <c r="QZQ584" s="141"/>
      <c r="QZR584" s="141"/>
      <c r="QZS584" s="141"/>
      <c r="QZT584" s="141"/>
      <c r="QZU584" s="141"/>
      <c r="QZV584" s="141"/>
      <c r="QZW584" s="141"/>
      <c r="QZX584" s="141"/>
      <c r="QZY584" s="141"/>
      <c r="QZZ584" s="141"/>
      <c r="RAA584" s="141"/>
      <c r="RAB584" s="141"/>
      <c r="RAC584" s="141"/>
      <c r="RAD584" s="141"/>
      <c r="RAE584" s="141"/>
      <c r="RAF584" s="141"/>
      <c r="RAG584" s="141"/>
      <c r="RAH584" s="141"/>
      <c r="RAI584" s="141"/>
      <c r="RAJ584" s="141"/>
      <c r="RAK584" s="141"/>
      <c r="RAL584" s="141"/>
      <c r="RAM584" s="141"/>
      <c r="RAN584" s="141"/>
      <c r="RAO584" s="141"/>
      <c r="RAP584" s="141"/>
      <c r="RAQ584" s="141"/>
      <c r="RAR584" s="141"/>
      <c r="RAS584" s="141"/>
      <c r="RAT584" s="141"/>
      <c r="RAU584" s="141"/>
      <c r="RAV584" s="141"/>
      <c r="RAW584" s="141"/>
      <c r="RAX584" s="141"/>
      <c r="RAY584" s="141"/>
      <c r="RAZ584" s="141"/>
      <c r="RBA584" s="141"/>
      <c r="RBB584" s="141"/>
      <c r="RBC584" s="141"/>
      <c r="RBD584" s="141"/>
      <c r="RBE584" s="141"/>
      <c r="RBF584" s="141"/>
      <c r="RBG584" s="141"/>
      <c r="RBH584" s="141"/>
      <c r="RBI584" s="141"/>
      <c r="RBJ584" s="141"/>
      <c r="RBK584" s="141"/>
      <c r="RBL584" s="141"/>
      <c r="RBM584" s="141"/>
      <c r="RBN584" s="141"/>
      <c r="RBO584" s="141"/>
      <c r="RBP584" s="141"/>
      <c r="RBQ584" s="141"/>
      <c r="RBR584" s="141"/>
      <c r="RBS584" s="141"/>
      <c r="RBT584" s="141"/>
      <c r="RBU584" s="141"/>
      <c r="RBV584" s="141"/>
      <c r="RBW584" s="141"/>
      <c r="RBX584" s="141"/>
      <c r="RBY584" s="141"/>
      <c r="RBZ584" s="141"/>
      <c r="RCA584" s="141"/>
      <c r="RCB584" s="141"/>
      <c r="RCC584" s="141"/>
      <c r="RCD584" s="141"/>
      <c r="RCE584" s="141"/>
      <c r="RCF584" s="141"/>
      <c r="RCG584" s="141"/>
      <c r="RCH584" s="141"/>
      <c r="RCI584" s="141"/>
      <c r="RCJ584" s="141"/>
      <c r="RCK584" s="141"/>
      <c r="RCL584" s="141"/>
      <c r="RCM584" s="141"/>
      <c r="RCN584" s="141"/>
      <c r="RCO584" s="141"/>
      <c r="RCP584" s="141"/>
      <c r="RCQ584" s="141"/>
      <c r="RCR584" s="141"/>
      <c r="RCS584" s="141"/>
      <c r="RCT584" s="141"/>
      <c r="RCU584" s="141"/>
      <c r="RCV584" s="141"/>
      <c r="RCW584" s="141"/>
      <c r="RCX584" s="141"/>
      <c r="RCY584" s="141"/>
      <c r="RCZ584" s="141"/>
      <c r="RDA584" s="141"/>
      <c r="RDB584" s="141"/>
      <c r="RDC584" s="141"/>
      <c r="RDD584" s="141"/>
      <c r="RDE584" s="141"/>
      <c r="RDF584" s="141"/>
      <c r="RDG584" s="141"/>
      <c r="RDH584" s="141"/>
      <c r="RDI584" s="141"/>
      <c r="RDJ584" s="141"/>
      <c r="RDK584" s="141"/>
      <c r="RDL584" s="141"/>
      <c r="RDM584" s="141"/>
      <c r="RDN584" s="141"/>
      <c r="RDO584" s="141"/>
      <c r="RDP584" s="141"/>
      <c r="RDQ584" s="141"/>
      <c r="RDR584" s="141"/>
      <c r="RDS584" s="141"/>
      <c r="RDT584" s="141"/>
      <c r="RDU584" s="141"/>
      <c r="RDV584" s="141"/>
      <c r="RDW584" s="141"/>
      <c r="RDX584" s="141"/>
      <c r="RDY584" s="141"/>
      <c r="RDZ584" s="141"/>
      <c r="REA584" s="141"/>
      <c r="REB584" s="141"/>
      <c r="REC584" s="141"/>
      <c r="RED584" s="141"/>
      <c r="REE584" s="141"/>
      <c r="REF584" s="141"/>
      <c r="REG584" s="141"/>
      <c r="REH584" s="141"/>
      <c r="REI584" s="141"/>
      <c r="REJ584" s="141"/>
      <c r="REK584" s="141"/>
      <c r="REL584" s="141"/>
      <c r="REM584" s="141"/>
      <c r="REN584" s="141"/>
      <c r="REO584" s="141"/>
      <c r="REP584" s="141"/>
      <c r="REQ584" s="141"/>
      <c r="RER584" s="141"/>
      <c r="RES584" s="141"/>
      <c r="RET584" s="141"/>
      <c r="REU584" s="141"/>
      <c r="REV584" s="141"/>
      <c r="REW584" s="141"/>
      <c r="REX584" s="141"/>
      <c r="REY584" s="141"/>
      <c r="REZ584" s="141"/>
      <c r="RFA584" s="141"/>
      <c r="RFB584" s="141"/>
      <c r="RFC584" s="141"/>
      <c r="RFD584" s="141"/>
      <c r="RFE584" s="141"/>
      <c r="RFF584" s="141"/>
      <c r="RFG584" s="141"/>
      <c r="RFH584" s="141"/>
      <c r="RFI584" s="141"/>
      <c r="RFJ584" s="141"/>
      <c r="RFK584" s="141"/>
      <c r="RFL584" s="141"/>
      <c r="RFM584" s="141"/>
      <c r="RFN584" s="141"/>
      <c r="RFO584" s="141"/>
      <c r="RFP584" s="141"/>
      <c r="RFQ584" s="141"/>
      <c r="RFR584" s="141"/>
      <c r="RFS584" s="141"/>
      <c r="RFT584" s="141"/>
      <c r="RFU584" s="141"/>
      <c r="RFV584" s="141"/>
      <c r="RFW584" s="141"/>
      <c r="RFX584" s="141"/>
      <c r="RFY584" s="141"/>
      <c r="RFZ584" s="141"/>
      <c r="RGA584" s="141"/>
      <c r="RGB584" s="141"/>
      <c r="RGC584" s="141"/>
      <c r="RGD584" s="141"/>
      <c r="RGE584" s="141"/>
      <c r="RGF584" s="141"/>
      <c r="RGG584" s="141"/>
      <c r="RGH584" s="141"/>
      <c r="RGI584" s="141"/>
      <c r="RGJ584" s="141"/>
      <c r="RGK584" s="141"/>
      <c r="RGL584" s="141"/>
      <c r="RGM584" s="141"/>
      <c r="RGN584" s="141"/>
      <c r="RGO584" s="141"/>
      <c r="RGP584" s="141"/>
      <c r="RGQ584" s="141"/>
      <c r="RGR584" s="141"/>
      <c r="RGS584" s="141"/>
      <c r="RGT584" s="141"/>
      <c r="RGU584" s="141"/>
      <c r="RGV584" s="141"/>
      <c r="RGW584" s="141"/>
      <c r="RGX584" s="141"/>
      <c r="RGY584" s="141"/>
      <c r="RGZ584" s="141"/>
      <c r="RHA584" s="141"/>
      <c r="RHB584" s="141"/>
      <c r="RHC584" s="141"/>
      <c r="RHD584" s="141"/>
      <c r="RHE584" s="141"/>
      <c r="RHF584" s="141"/>
      <c r="RHG584" s="141"/>
      <c r="RHH584" s="141"/>
      <c r="RHI584" s="141"/>
      <c r="RHJ584" s="141"/>
      <c r="RHK584" s="141"/>
      <c r="RHL584" s="141"/>
      <c r="RHM584" s="141"/>
      <c r="RHN584" s="141"/>
      <c r="RHO584" s="141"/>
      <c r="RHP584" s="141"/>
      <c r="RHQ584" s="141"/>
      <c r="RHR584" s="141"/>
      <c r="RHS584" s="141"/>
      <c r="RHT584" s="141"/>
      <c r="RHU584" s="141"/>
      <c r="RHV584" s="141"/>
      <c r="RHW584" s="141"/>
      <c r="RHX584" s="141"/>
      <c r="RHY584" s="141"/>
      <c r="RHZ584" s="141"/>
      <c r="RIA584" s="141"/>
      <c r="RIB584" s="141"/>
      <c r="RIC584" s="141"/>
      <c r="RID584" s="141"/>
      <c r="RIE584" s="141"/>
      <c r="RIF584" s="141"/>
      <c r="RIG584" s="141"/>
      <c r="RIH584" s="141"/>
      <c r="RII584" s="141"/>
      <c r="RIJ584" s="141"/>
      <c r="RIK584" s="141"/>
      <c r="RIL584" s="141"/>
      <c r="RIM584" s="141"/>
      <c r="RIN584" s="141"/>
      <c r="RIO584" s="141"/>
      <c r="RIP584" s="141"/>
      <c r="RIQ584" s="141"/>
      <c r="RIR584" s="141"/>
      <c r="RIS584" s="141"/>
      <c r="RIT584" s="141"/>
      <c r="RIU584" s="141"/>
      <c r="RIV584" s="141"/>
      <c r="RIW584" s="141"/>
      <c r="RIX584" s="141"/>
      <c r="RIY584" s="141"/>
      <c r="RIZ584" s="141"/>
      <c r="RJA584" s="141"/>
      <c r="RJB584" s="141"/>
      <c r="RJC584" s="141"/>
      <c r="RJD584" s="141"/>
      <c r="RJE584" s="141"/>
      <c r="RJF584" s="141"/>
      <c r="RJG584" s="141"/>
      <c r="RJH584" s="141"/>
      <c r="RJI584" s="141"/>
      <c r="RJJ584" s="141"/>
      <c r="RJK584" s="141"/>
      <c r="RJL584" s="141"/>
      <c r="RJM584" s="141"/>
      <c r="RJN584" s="141"/>
      <c r="RJO584" s="141"/>
      <c r="RJP584" s="141"/>
      <c r="RJQ584" s="141"/>
      <c r="RJR584" s="141"/>
      <c r="RJS584" s="141"/>
      <c r="RJT584" s="141"/>
      <c r="RJU584" s="141"/>
      <c r="RJV584" s="141"/>
      <c r="RJW584" s="141"/>
      <c r="RJX584" s="141"/>
      <c r="RJY584" s="141"/>
      <c r="RJZ584" s="141"/>
      <c r="RKA584" s="141"/>
      <c r="RKB584" s="141"/>
      <c r="RKC584" s="141"/>
      <c r="RKD584" s="141"/>
      <c r="RKE584" s="141"/>
      <c r="RKF584" s="141"/>
      <c r="RKG584" s="141"/>
      <c r="RKH584" s="141"/>
      <c r="RKI584" s="141"/>
      <c r="RKJ584" s="141"/>
      <c r="RKK584" s="141"/>
      <c r="RKL584" s="141"/>
      <c r="RKM584" s="141"/>
      <c r="RKN584" s="141"/>
      <c r="RKO584" s="141"/>
      <c r="RKP584" s="141"/>
      <c r="RKQ584" s="141"/>
      <c r="RKR584" s="141"/>
      <c r="RKS584" s="141"/>
      <c r="RKT584" s="141"/>
      <c r="RKU584" s="141"/>
      <c r="RKV584" s="141"/>
      <c r="RKW584" s="141"/>
      <c r="RKX584" s="141"/>
      <c r="RKY584" s="141"/>
      <c r="RKZ584" s="141"/>
      <c r="RLA584" s="141"/>
      <c r="RLB584" s="141"/>
      <c r="RLC584" s="141"/>
      <c r="RLD584" s="141"/>
      <c r="RLE584" s="141"/>
      <c r="RLF584" s="141"/>
      <c r="RLG584" s="141"/>
      <c r="RLH584" s="141"/>
      <c r="RLI584" s="141"/>
      <c r="RLJ584" s="141"/>
      <c r="RLK584" s="141"/>
      <c r="RLL584" s="141"/>
      <c r="RLM584" s="141"/>
      <c r="RLN584" s="141"/>
      <c r="RLO584" s="141"/>
      <c r="RLP584" s="141"/>
      <c r="RLQ584" s="141"/>
      <c r="RLR584" s="141"/>
      <c r="RLS584" s="141"/>
      <c r="RLT584" s="141"/>
      <c r="RLU584" s="141"/>
      <c r="RLV584" s="141"/>
      <c r="RLW584" s="141"/>
      <c r="RLX584" s="141"/>
      <c r="RLY584" s="141"/>
      <c r="RLZ584" s="141"/>
      <c r="RMA584" s="141"/>
      <c r="RMB584" s="141"/>
      <c r="RMC584" s="141"/>
      <c r="RMD584" s="141"/>
      <c r="RME584" s="141"/>
      <c r="RMF584" s="141"/>
      <c r="RMG584" s="141"/>
      <c r="RMH584" s="141"/>
      <c r="RMI584" s="141"/>
      <c r="RMJ584" s="141"/>
      <c r="RMK584" s="141"/>
      <c r="RML584" s="141"/>
      <c r="RMM584" s="141"/>
      <c r="RMN584" s="141"/>
      <c r="RMO584" s="141"/>
      <c r="RMP584" s="141"/>
      <c r="RMQ584" s="141"/>
      <c r="RMR584" s="141"/>
      <c r="RMS584" s="141"/>
      <c r="RMT584" s="141"/>
      <c r="RMU584" s="141"/>
      <c r="RMV584" s="141"/>
      <c r="RMW584" s="141"/>
      <c r="RMX584" s="141"/>
      <c r="RMY584" s="141"/>
      <c r="RMZ584" s="141"/>
      <c r="RNA584" s="141"/>
      <c r="RNB584" s="141"/>
      <c r="RNC584" s="141"/>
      <c r="RND584" s="141"/>
      <c r="RNE584" s="141"/>
      <c r="RNF584" s="141"/>
      <c r="RNG584" s="141"/>
      <c r="RNH584" s="141"/>
      <c r="RNI584" s="141"/>
      <c r="RNJ584" s="141"/>
      <c r="RNK584" s="141"/>
      <c r="RNL584" s="141"/>
      <c r="RNM584" s="141"/>
      <c r="RNN584" s="141"/>
      <c r="RNO584" s="141"/>
      <c r="RNP584" s="141"/>
      <c r="RNQ584" s="141"/>
      <c r="RNR584" s="141"/>
      <c r="RNS584" s="141"/>
      <c r="RNT584" s="141"/>
      <c r="RNU584" s="141"/>
      <c r="RNV584" s="141"/>
      <c r="RNW584" s="141"/>
      <c r="RNX584" s="141"/>
      <c r="RNY584" s="141"/>
      <c r="RNZ584" s="141"/>
      <c r="ROA584" s="141"/>
      <c r="ROB584" s="141"/>
      <c r="ROC584" s="141"/>
      <c r="ROD584" s="141"/>
      <c r="ROE584" s="141"/>
      <c r="ROF584" s="141"/>
      <c r="ROG584" s="141"/>
      <c r="ROH584" s="141"/>
      <c r="ROI584" s="141"/>
      <c r="ROJ584" s="141"/>
      <c r="ROK584" s="141"/>
      <c r="ROL584" s="141"/>
      <c r="ROM584" s="141"/>
      <c r="RON584" s="141"/>
      <c r="ROO584" s="141"/>
      <c r="ROP584" s="141"/>
      <c r="ROQ584" s="141"/>
      <c r="ROR584" s="141"/>
      <c r="ROS584" s="141"/>
      <c r="ROT584" s="141"/>
      <c r="ROU584" s="141"/>
      <c r="ROV584" s="141"/>
      <c r="ROW584" s="141"/>
      <c r="ROX584" s="141"/>
      <c r="ROY584" s="141"/>
      <c r="ROZ584" s="141"/>
      <c r="RPA584" s="141"/>
      <c r="RPB584" s="141"/>
      <c r="RPC584" s="141"/>
      <c r="RPD584" s="141"/>
      <c r="RPE584" s="141"/>
      <c r="RPF584" s="141"/>
      <c r="RPG584" s="141"/>
      <c r="RPH584" s="141"/>
      <c r="RPI584" s="141"/>
      <c r="RPJ584" s="141"/>
      <c r="RPK584" s="141"/>
      <c r="RPL584" s="141"/>
      <c r="RPM584" s="141"/>
      <c r="RPN584" s="141"/>
      <c r="RPO584" s="141"/>
      <c r="RPP584" s="141"/>
      <c r="RPQ584" s="141"/>
      <c r="RPR584" s="141"/>
      <c r="RPS584" s="141"/>
      <c r="RPT584" s="141"/>
      <c r="RPU584" s="141"/>
      <c r="RPV584" s="141"/>
      <c r="RPW584" s="141"/>
      <c r="RPX584" s="141"/>
      <c r="RPY584" s="141"/>
      <c r="RPZ584" s="141"/>
      <c r="RQA584" s="141"/>
      <c r="RQB584" s="141"/>
      <c r="RQC584" s="141"/>
      <c r="RQD584" s="141"/>
      <c r="RQE584" s="141"/>
      <c r="RQF584" s="141"/>
      <c r="RQG584" s="141"/>
      <c r="RQH584" s="141"/>
      <c r="RQI584" s="141"/>
      <c r="RQJ584" s="141"/>
      <c r="RQK584" s="141"/>
      <c r="RQL584" s="141"/>
      <c r="RQM584" s="141"/>
      <c r="RQN584" s="141"/>
      <c r="RQO584" s="141"/>
      <c r="RQP584" s="141"/>
      <c r="RQQ584" s="141"/>
      <c r="RQR584" s="141"/>
      <c r="RQS584" s="141"/>
      <c r="RQT584" s="141"/>
      <c r="RQU584" s="141"/>
      <c r="RQV584" s="141"/>
      <c r="RQW584" s="141"/>
      <c r="RQX584" s="141"/>
      <c r="RQY584" s="141"/>
      <c r="RQZ584" s="141"/>
      <c r="RRA584" s="141"/>
      <c r="RRB584" s="141"/>
      <c r="RRC584" s="141"/>
      <c r="RRD584" s="141"/>
      <c r="RRE584" s="141"/>
      <c r="RRF584" s="141"/>
      <c r="RRG584" s="141"/>
      <c r="RRH584" s="141"/>
      <c r="RRI584" s="141"/>
      <c r="RRJ584" s="141"/>
      <c r="RRK584" s="141"/>
      <c r="RRL584" s="141"/>
      <c r="RRM584" s="141"/>
      <c r="RRN584" s="141"/>
      <c r="RRO584" s="141"/>
      <c r="RRP584" s="141"/>
      <c r="RRQ584" s="141"/>
      <c r="RRR584" s="141"/>
      <c r="RRS584" s="141"/>
      <c r="RRT584" s="141"/>
      <c r="RRU584" s="141"/>
      <c r="RRV584" s="141"/>
      <c r="RRW584" s="141"/>
      <c r="RRX584" s="141"/>
      <c r="RRY584" s="141"/>
      <c r="RRZ584" s="141"/>
      <c r="RSA584" s="141"/>
      <c r="RSB584" s="141"/>
      <c r="RSC584" s="141"/>
      <c r="RSD584" s="141"/>
      <c r="RSE584" s="141"/>
      <c r="RSF584" s="141"/>
      <c r="RSG584" s="141"/>
      <c r="RSH584" s="141"/>
      <c r="RSI584" s="141"/>
      <c r="RSJ584" s="141"/>
      <c r="RSK584" s="141"/>
      <c r="RSL584" s="141"/>
      <c r="RSM584" s="141"/>
      <c r="RSN584" s="141"/>
      <c r="RSO584" s="141"/>
      <c r="RSP584" s="141"/>
      <c r="RSQ584" s="141"/>
      <c r="RSR584" s="141"/>
      <c r="RSS584" s="141"/>
      <c r="RST584" s="141"/>
      <c r="RSU584" s="141"/>
      <c r="RSV584" s="141"/>
      <c r="RSW584" s="141"/>
      <c r="RSX584" s="141"/>
      <c r="RSY584" s="141"/>
      <c r="RSZ584" s="141"/>
      <c r="RTA584" s="141"/>
      <c r="RTB584" s="141"/>
      <c r="RTC584" s="141"/>
      <c r="RTD584" s="141"/>
      <c r="RTE584" s="141"/>
      <c r="RTF584" s="141"/>
      <c r="RTG584" s="141"/>
      <c r="RTH584" s="141"/>
      <c r="RTI584" s="141"/>
      <c r="RTJ584" s="141"/>
      <c r="RTK584" s="141"/>
      <c r="RTL584" s="141"/>
      <c r="RTM584" s="141"/>
      <c r="RTN584" s="141"/>
      <c r="RTO584" s="141"/>
      <c r="RTP584" s="141"/>
      <c r="RTQ584" s="141"/>
      <c r="RTR584" s="141"/>
      <c r="RTS584" s="141"/>
      <c r="RTT584" s="141"/>
      <c r="RTU584" s="141"/>
      <c r="RTV584" s="141"/>
      <c r="RTW584" s="141"/>
      <c r="RTX584" s="141"/>
      <c r="RTY584" s="141"/>
      <c r="RTZ584" s="141"/>
      <c r="RUA584" s="141"/>
      <c r="RUB584" s="141"/>
      <c r="RUC584" s="141"/>
      <c r="RUD584" s="141"/>
      <c r="RUE584" s="141"/>
      <c r="RUF584" s="141"/>
      <c r="RUG584" s="141"/>
      <c r="RUH584" s="141"/>
      <c r="RUI584" s="141"/>
      <c r="RUJ584" s="141"/>
      <c r="RUK584" s="141"/>
      <c r="RUL584" s="141"/>
      <c r="RUM584" s="141"/>
      <c r="RUN584" s="141"/>
      <c r="RUO584" s="141"/>
      <c r="RUP584" s="141"/>
      <c r="RUQ584" s="141"/>
      <c r="RUR584" s="141"/>
      <c r="RUS584" s="141"/>
      <c r="RUT584" s="141"/>
      <c r="RUU584" s="141"/>
      <c r="RUV584" s="141"/>
      <c r="RUW584" s="141"/>
      <c r="RUX584" s="141"/>
      <c r="RUY584" s="141"/>
      <c r="RUZ584" s="141"/>
      <c r="RVA584" s="141"/>
      <c r="RVB584" s="141"/>
      <c r="RVC584" s="141"/>
      <c r="RVD584" s="141"/>
      <c r="RVE584" s="141"/>
      <c r="RVF584" s="141"/>
      <c r="RVG584" s="141"/>
      <c r="RVH584" s="141"/>
      <c r="RVI584" s="141"/>
      <c r="RVJ584" s="141"/>
      <c r="RVK584" s="141"/>
      <c r="RVL584" s="141"/>
      <c r="RVM584" s="141"/>
      <c r="RVN584" s="141"/>
      <c r="RVO584" s="141"/>
      <c r="RVP584" s="141"/>
      <c r="RVQ584" s="141"/>
      <c r="RVR584" s="141"/>
      <c r="RVS584" s="141"/>
      <c r="RVT584" s="141"/>
      <c r="RVU584" s="141"/>
      <c r="RVV584" s="141"/>
      <c r="RVW584" s="141"/>
      <c r="RVX584" s="141"/>
      <c r="RVY584" s="141"/>
      <c r="RVZ584" s="141"/>
      <c r="RWA584" s="141"/>
      <c r="RWB584" s="141"/>
      <c r="RWC584" s="141"/>
      <c r="RWD584" s="141"/>
      <c r="RWE584" s="141"/>
      <c r="RWF584" s="141"/>
      <c r="RWG584" s="141"/>
      <c r="RWH584" s="141"/>
      <c r="RWI584" s="141"/>
      <c r="RWJ584" s="141"/>
      <c r="RWK584" s="141"/>
      <c r="RWL584" s="141"/>
      <c r="RWM584" s="141"/>
      <c r="RWN584" s="141"/>
      <c r="RWO584" s="141"/>
      <c r="RWP584" s="141"/>
      <c r="RWQ584" s="141"/>
      <c r="RWR584" s="141"/>
      <c r="RWS584" s="141"/>
      <c r="RWT584" s="141"/>
      <c r="RWU584" s="141"/>
      <c r="RWV584" s="141"/>
      <c r="RWW584" s="141"/>
      <c r="RWX584" s="141"/>
      <c r="RWY584" s="141"/>
      <c r="RWZ584" s="141"/>
      <c r="RXA584" s="141"/>
      <c r="RXB584" s="141"/>
      <c r="RXC584" s="141"/>
      <c r="RXD584" s="141"/>
      <c r="RXE584" s="141"/>
      <c r="RXF584" s="141"/>
      <c r="RXG584" s="141"/>
      <c r="RXH584" s="141"/>
      <c r="RXI584" s="141"/>
      <c r="RXJ584" s="141"/>
      <c r="RXK584" s="141"/>
      <c r="RXL584" s="141"/>
      <c r="RXM584" s="141"/>
      <c r="RXN584" s="141"/>
      <c r="RXO584" s="141"/>
      <c r="RXP584" s="141"/>
      <c r="RXQ584" s="141"/>
      <c r="RXR584" s="141"/>
      <c r="RXS584" s="141"/>
      <c r="RXT584" s="141"/>
      <c r="RXU584" s="141"/>
      <c r="RXV584" s="141"/>
      <c r="RXW584" s="141"/>
      <c r="RXX584" s="141"/>
      <c r="RXY584" s="141"/>
      <c r="RXZ584" s="141"/>
      <c r="RYA584" s="141"/>
      <c r="RYB584" s="141"/>
      <c r="RYC584" s="141"/>
      <c r="RYD584" s="141"/>
      <c r="RYE584" s="141"/>
      <c r="RYF584" s="141"/>
      <c r="RYG584" s="141"/>
      <c r="RYH584" s="141"/>
      <c r="RYI584" s="141"/>
      <c r="RYJ584" s="141"/>
      <c r="RYK584" s="141"/>
      <c r="RYL584" s="141"/>
      <c r="RYM584" s="141"/>
      <c r="RYN584" s="141"/>
      <c r="RYO584" s="141"/>
      <c r="RYP584" s="141"/>
      <c r="RYQ584" s="141"/>
      <c r="RYR584" s="141"/>
      <c r="RYS584" s="141"/>
      <c r="RYT584" s="141"/>
      <c r="RYU584" s="141"/>
      <c r="RYV584" s="141"/>
      <c r="RYW584" s="141"/>
      <c r="RYX584" s="141"/>
      <c r="RYY584" s="141"/>
      <c r="RYZ584" s="141"/>
      <c r="RZA584" s="141"/>
      <c r="RZB584" s="141"/>
      <c r="RZC584" s="141"/>
      <c r="RZD584" s="141"/>
      <c r="RZE584" s="141"/>
      <c r="RZF584" s="141"/>
      <c r="RZG584" s="141"/>
      <c r="RZH584" s="141"/>
      <c r="RZI584" s="141"/>
      <c r="RZJ584" s="141"/>
      <c r="RZK584" s="141"/>
      <c r="RZL584" s="141"/>
      <c r="RZM584" s="141"/>
      <c r="RZN584" s="141"/>
      <c r="RZO584" s="141"/>
      <c r="RZP584" s="141"/>
      <c r="RZQ584" s="141"/>
      <c r="RZR584" s="141"/>
      <c r="RZS584" s="141"/>
      <c r="RZT584" s="141"/>
      <c r="RZU584" s="141"/>
      <c r="RZV584" s="141"/>
      <c r="RZW584" s="141"/>
      <c r="RZX584" s="141"/>
      <c r="RZY584" s="141"/>
      <c r="RZZ584" s="141"/>
      <c r="SAA584" s="141"/>
      <c r="SAB584" s="141"/>
      <c r="SAC584" s="141"/>
      <c r="SAD584" s="141"/>
      <c r="SAE584" s="141"/>
      <c r="SAF584" s="141"/>
      <c r="SAG584" s="141"/>
      <c r="SAH584" s="141"/>
      <c r="SAI584" s="141"/>
      <c r="SAJ584" s="141"/>
      <c r="SAK584" s="141"/>
      <c r="SAL584" s="141"/>
      <c r="SAM584" s="141"/>
      <c r="SAN584" s="141"/>
      <c r="SAO584" s="141"/>
      <c r="SAP584" s="141"/>
      <c r="SAQ584" s="141"/>
      <c r="SAR584" s="141"/>
      <c r="SAS584" s="141"/>
      <c r="SAT584" s="141"/>
      <c r="SAU584" s="141"/>
      <c r="SAV584" s="141"/>
      <c r="SAW584" s="141"/>
      <c r="SAX584" s="141"/>
      <c r="SAY584" s="141"/>
      <c r="SAZ584" s="141"/>
      <c r="SBA584" s="141"/>
      <c r="SBB584" s="141"/>
      <c r="SBC584" s="141"/>
      <c r="SBD584" s="141"/>
      <c r="SBE584" s="141"/>
      <c r="SBF584" s="141"/>
      <c r="SBG584" s="141"/>
      <c r="SBH584" s="141"/>
      <c r="SBI584" s="141"/>
      <c r="SBJ584" s="141"/>
      <c r="SBK584" s="141"/>
      <c r="SBL584" s="141"/>
      <c r="SBM584" s="141"/>
      <c r="SBN584" s="141"/>
      <c r="SBO584" s="141"/>
      <c r="SBP584" s="141"/>
      <c r="SBQ584" s="141"/>
      <c r="SBR584" s="141"/>
      <c r="SBS584" s="141"/>
      <c r="SBT584" s="141"/>
      <c r="SBU584" s="141"/>
      <c r="SBV584" s="141"/>
      <c r="SBW584" s="141"/>
      <c r="SBX584" s="141"/>
      <c r="SBY584" s="141"/>
      <c r="SBZ584" s="141"/>
      <c r="SCA584" s="141"/>
      <c r="SCB584" s="141"/>
      <c r="SCC584" s="141"/>
      <c r="SCD584" s="141"/>
      <c r="SCE584" s="141"/>
      <c r="SCF584" s="141"/>
      <c r="SCG584" s="141"/>
      <c r="SCH584" s="141"/>
      <c r="SCI584" s="141"/>
      <c r="SCJ584" s="141"/>
      <c r="SCK584" s="141"/>
      <c r="SCL584" s="141"/>
      <c r="SCM584" s="141"/>
      <c r="SCN584" s="141"/>
      <c r="SCO584" s="141"/>
      <c r="SCP584" s="141"/>
      <c r="SCQ584" s="141"/>
      <c r="SCR584" s="141"/>
      <c r="SCS584" s="141"/>
      <c r="SCT584" s="141"/>
      <c r="SCU584" s="141"/>
      <c r="SCV584" s="141"/>
      <c r="SCW584" s="141"/>
      <c r="SCX584" s="141"/>
      <c r="SCY584" s="141"/>
      <c r="SCZ584" s="141"/>
      <c r="SDA584" s="141"/>
      <c r="SDB584" s="141"/>
      <c r="SDC584" s="141"/>
      <c r="SDD584" s="141"/>
      <c r="SDE584" s="141"/>
      <c r="SDF584" s="141"/>
      <c r="SDG584" s="141"/>
      <c r="SDH584" s="141"/>
      <c r="SDI584" s="141"/>
      <c r="SDJ584" s="141"/>
      <c r="SDK584" s="141"/>
      <c r="SDL584" s="141"/>
      <c r="SDM584" s="141"/>
      <c r="SDN584" s="141"/>
      <c r="SDO584" s="141"/>
      <c r="SDP584" s="141"/>
      <c r="SDQ584" s="141"/>
      <c r="SDR584" s="141"/>
      <c r="SDS584" s="141"/>
      <c r="SDT584" s="141"/>
      <c r="SDU584" s="141"/>
      <c r="SDV584" s="141"/>
      <c r="SDW584" s="141"/>
      <c r="SDX584" s="141"/>
      <c r="SDY584" s="141"/>
      <c r="SDZ584" s="141"/>
      <c r="SEA584" s="141"/>
      <c r="SEB584" s="141"/>
      <c r="SEC584" s="141"/>
      <c r="SED584" s="141"/>
      <c r="SEE584" s="141"/>
      <c r="SEF584" s="141"/>
      <c r="SEG584" s="141"/>
      <c r="SEH584" s="141"/>
      <c r="SEI584" s="141"/>
      <c r="SEJ584" s="141"/>
      <c r="SEK584" s="141"/>
      <c r="SEL584" s="141"/>
      <c r="SEM584" s="141"/>
      <c r="SEN584" s="141"/>
      <c r="SEO584" s="141"/>
      <c r="SEP584" s="141"/>
      <c r="SEQ584" s="141"/>
      <c r="SER584" s="141"/>
      <c r="SES584" s="141"/>
      <c r="SET584" s="141"/>
      <c r="SEU584" s="141"/>
      <c r="SEV584" s="141"/>
      <c r="SEW584" s="141"/>
      <c r="SEX584" s="141"/>
      <c r="SEY584" s="141"/>
      <c r="SEZ584" s="141"/>
      <c r="SFA584" s="141"/>
      <c r="SFB584" s="141"/>
      <c r="SFC584" s="141"/>
      <c r="SFD584" s="141"/>
      <c r="SFE584" s="141"/>
      <c r="SFF584" s="141"/>
      <c r="SFG584" s="141"/>
      <c r="SFH584" s="141"/>
      <c r="SFI584" s="141"/>
      <c r="SFJ584" s="141"/>
      <c r="SFK584" s="141"/>
      <c r="SFL584" s="141"/>
      <c r="SFM584" s="141"/>
      <c r="SFN584" s="141"/>
      <c r="SFO584" s="141"/>
      <c r="SFP584" s="141"/>
      <c r="SFQ584" s="141"/>
      <c r="SFR584" s="141"/>
      <c r="SFS584" s="141"/>
      <c r="SFT584" s="141"/>
      <c r="SFU584" s="141"/>
      <c r="SFV584" s="141"/>
      <c r="SFW584" s="141"/>
      <c r="SFX584" s="141"/>
      <c r="SFY584" s="141"/>
      <c r="SFZ584" s="141"/>
      <c r="SGA584" s="141"/>
      <c r="SGB584" s="141"/>
      <c r="SGC584" s="141"/>
      <c r="SGD584" s="141"/>
      <c r="SGE584" s="141"/>
      <c r="SGF584" s="141"/>
      <c r="SGG584" s="141"/>
      <c r="SGH584" s="141"/>
      <c r="SGI584" s="141"/>
      <c r="SGJ584" s="141"/>
      <c r="SGK584" s="141"/>
      <c r="SGL584" s="141"/>
      <c r="SGM584" s="141"/>
      <c r="SGN584" s="141"/>
      <c r="SGO584" s="141"/>
      <c r="SGP584" s="141"/>
      <c r="SGQ584" s="141"/>
      <c r="SGR584" s="141"/>
      <c r="SGS584" s="141"/>
      <c r="SGT584" s="141"/>
      <c r="SGU584" s="141"/>
      <c r="SGV584" s="141"/>
      <c r="SGW584" s="141"/>
      <c r="SGX584" s="141"/>
      <c r="SGY584" s="141"/>
      <c r="SGZ584" s="141"/>
      <c r="SHA584" s="141"/>
      <c r="SHB584" s="141"/>
      <c r="SHC584" s="141"/>
      <c r="SHD584" s="141"/>
      <c r="SHE584" s="141"/>
      <c r="SHF584" s="141"/>
      <c r="SHG584" s="141"/>
      <c r="SHH584" s="141"/>
      <c r="SHI584" s="141"/>
      <c r="SHJ584" s="141"/>
      <c r="SHK584" s="141"/>
      <c r="SHL584" s="141"/>
      <c r="SHM584" s="141"/>
      <c r="SHN584" s="141"/>
      <c r="SHO584" s="141"/>
      <c r="SHP584" s="141"/>
      <c r="SHQ584" s="141"/>
      <c r="SHR584" s="141"/>
      <c r="SHS584" s="141"/>
      <c r="SHT584" s="141"/>
      <c r="SHU584" s="141"/>
      <c r="SHV584" s="141"/>
      <c r="SHW584" s="141"/>
      <c r="SHX584" s="141"/>
      <c r="SHY584" s="141"/>
      <c r="SHZ584" s="141"/>
      <c r="SIA584" s="141"/>
      <c r="SIB584" s="141"/>
      <c r="SIC584" s="141"/>
      <c r="SID584" s="141"/>
      <c r="SIE584" s="141"/>
      <c r="SIF584" s="141"/>
      <c r="SIG584" s="141"/>
      <c r="SIH584" s="141"/>
      <c r="SII584" s="141"/>
      <c r="SIJ584" s="141"/>
      <c r="SIK584" s="141"/>
      <c r="SIL584" s="141"/>
      <c r="SIM584" s="141"/>
      <c r="SIN584" s="141"/>
      <c r="SIO584" s="141"/>
      <c r="SIP584" s="141"/>
      <c r="SIQ584" s="141"/>
      <c r="SIR584" s="141"/>
      <c r="SIS584" s="141"/>
      <c r="SIT584" s="141"/>
      <c r="SIU584" s="141"/>
      <c r="SIV584" s="141"/>
      <c r="SIW584" s="141"/>
      <c r="SIX584" s="141"/>
      <c r="SIY584" s="141"/>
      <c r="SIZ584" s="141"/>
      <c r="SJA584" s="141"/>
      <c r="SJB584" s="141"/>
      <c r="SJC584" s="141"/>
      <c r="SJD584" s="141"/>
      <c r="SJE584" s="141"/>
      <c r="SJF584" s="141"/>
      <c r="SJG584" s="141"/>
      <c r="SJH584" s="141"/>
      <c r="SJI584" s="141"/>
      <c r="SJJ584" s="141"/>
      <c r="SJK584" s="141"/>
      <c r="SJL584" s="141"/>
      <c r="SJM584" s="141"/>
      <c r="SJN584" s="141"/>
      <c r="SJO584" s="141"/>
      <c r="SJP584" s="141"/>
      <c r="SJQ584" s="141"/>
      <c r="SJR584" s="141"/>
      <c r="SJS584" s="141"/>
      <c r="SJT584" s="141"/>
      <c r="SJU584" s="141"/>
      <c r="SJV584" s="141"/>
      <c r="SJW584" s="141"/>
      <c r="SJX584" s="141"/>
      <c r="SJY584" s="141"/>
      <c r="SJZ584" s="141"/>
      <c r="SKA584" s="141"/>
      <c r="SKB584" s="141"/>
      <c r="SKC584" s="141"/>
      <c r="SKD584" s="141"/>
      <c r="SKE584" s="141"/>
      <c r="SKF584" s="141"/>
      <c r="SKG584" s="141"/>
      <c r="SKH584" s="141"/>
      <c r="SKI584" s="141"/>
      <c r="SKJ584" s="141"/>
      <c r="SKK584" s="141"/>
      <c r="SKL584" s="141"/>
      <c r="SKM584" s="141"/>
      <c r="SKN584" s="141"/>
      <c r="SKO584" s="141"/>
      <c r="SKP584" s="141"/>
      <c r="SKQ584" s="141"/>
      <c r="SKR584" s="141"/>
      <c r="SKS584" s="141"/>
      <c r="SKT584" s="141"/>
      <c r="SKU584" s="141"/>
      <c r="SKV584" s="141"/>
      <c r="SKW584" s="141"/>
      <c r="SKX584" s="141"/>
      <c r="SKY584" s="141"/>
      <c r="SKZ584" s="141"/>
      <c r="SLA584" s="141"/>
      <c r="SLB584" s="141"/>
      <c r="SLC584" s="141"/>
      <c r="SLD584" s="141"/>
      <c r="SLE584" s="141"/>
      <c r="SLF584" s="141"/>
      <c r="SLG584" s="141"/>
      <c r="SLH584" s="141"/>
      <c r="SLI584" s="141"/>
      <c r="SLJ584" s="141"/>
      <c r="SLK584" s="141"/>
      <c r="SLL584" s="141"/>
      <c r="SLM584" s="141"/>
      <c r="SLN584" s="141"/>
      <c r="SLO584" s="141"/>
      <c r="SLP584" s="141"/>
      <c r="SLQ584" s="141"/>
      <c r="SLR584" s="141"/>
      <c r="SLS584" s="141"/>
      <c r="SLT584" s="141"/>
      <c r="SLU584" s="141"/>
      <c r="SLV584" s="141"/>
      <c r="SLW584" s="141"/>
      <c r="SLX584" s="141"/>
      <c r="SLY584" s="141"/>
      <c r="SLZ584" s="141"/>
      <c r="SMA584" s="141"/>
      <c r="SMB584" s="141"/>
      <c r="SMC584" s="141"/>
      <c r="SMD584" s="141"/>
      <c r="SME584" s="141"/>
      <c r="SMF584" s="141"/>
      <c r="SMG584" s="141"/>
      <c r="SMH584" s="141"/>
      <c r="SMI584" s="141"/>
      <c r="SMJ584" s="141"/>
      <c r="SMK584" s="141"/>
      <c r="SML584" s="141"/>
      <c r="SMM584" s="141"/>
      <c r="SMN584" s="141"/>
      <c r="SMO584" s="141"/>
      <c r="SMP584" s="141"/>
      <c r="SMQ584" s="141"/>
      <c r="SMR584" s="141"/>
      <c r="SMS584" s="141"/>
      <c r="SMT584" s="141"/>
      <c r="SMU584" s="141"/>
      <c r="SMV584" s="141"/>
      <c r="SMW584" s="141"/>
      <c r="SMX584" s="141"/>
      <c r="SMY584" s="141"/>
      <c r="SMZ584" s="141"/>
      <c r="SNA584" s="141"/>
      <c r="SNB584" s="141"/>
      <c r="SNC584" s="141"/>
      <c r="SND584" s="141"/>
      <c r="SNE584" s="141"/>
      <c r="SNF584" s="141"/>
      <c r="SNG584" s="141"/>
      <c r="SNH584" s="141"/>
      <c r="SNI584" s="141"/>
      <c r="SNJ584" s="141"/>
      <c r="SNK584" s="141"/>
      <c r="SNL584" s="141"/>
      <c r="SNM584" s="141"/>
      <c r="SNN584" s="141"/>
      <c r="SNO584" s="141"/>
      <c r="SNP584" s="141"/>
      <c r="SNQ584" s="141"/>
      <c r="SNR584" s="141"/>
      <c r="SNS584" s="141"/>
      <c r="SNT584" s="141"/>
      <c r="SNU584" s="141"/>
      <c r="SNV584" s="141"/>
      <c r="SNW584" s="141"/>
      <c r="SNX584" s="141"/>
      <c r="SNY584" s="141"/>
      <c r="SNZ584" s="141"/>
      <c r="SOA584" s="141"/>
      <c r="SOB584" s="141"/>
      <c r="SOC584" s="141"/>
      <c r="SOD584" s="141"/>
      <c r="SOE584" s="141"/>
      <c r="SOF584" s="141"/>
      <c r="SOG584" s="141"/>
      <c r="SOH584" s="141"/>
      <c r="SOI584" s="141"/>
      <c r="SOJ584" s="141"/>
      <c r="SOK584" s="141"/>
      <c r="SOL584" s="141"/>
      <c r="SOM584" s="141"/>
      <c r="SON584" s="141"/>
      <c r="SOO584" s="141"/>
      <c r="SOP584" s="141"/>
      <c r="SOQ584" s="141"/>
      <c r="SOR584" s="141"/>
      <c r="SOS584" s="141"/>
      <c r="SOT584" s="141"/>
      <c r="SOU584" s="141"/>
      <c r="SOV584" s="141"/>
      <c r="SOW584" s="141"/>
      <c r="SOX584" s="141"/>
      <c r="SOY584" s="141"/>
      <c r="SOZ584" s="141"/>
      <c r="SPA584" s="141"/>
      <c r="SPB584" s="141"/>
      <c r="SPC584" s="141"/>
      <c r="SPD584" s="141"/>
      <c r="SPE584" s="141"/>
      <c r="SPF584" s="141"/>
      <c r="SPG584" s="141"/>
      <c r="SPH584" s="141"/>
      <c r="SPI584" s="141"/>
      <c r="SPJ584" s="141"/>
      <c r="SPK584" s="141"/>
      <c r="SPL584" s="141"/>
      <c r="SPM584" s="141"/>
      <c r="SPN584" s="141"/>
      <c r="SPO584" s="141"/>
      <c r="SPP584" s="141"/>
      <c r="SPQ584" s="141"/>
      <c r="SPR584" s="141"/>
      <c r="SPS584" s="141"/>
      <c r="SPT584" s="141"/>
      <c r="SPU584" s="141"/>
      <c r="SPV584" s="141"/>
      <c r="SPW584" s="141"/>
      <c r="SPX584" s="141"/>
      <c r="SPY584" s="141"/>
      <c r="SPZ584" s="141"/>
      <c r="SQA584" s="141"/>
      <c r="SQB584" s="141"/>
      <c r="SQC584" s="141"/>
      <c r="SQD584" s="141"/>
      <c r="SQE584" s="141"/>
      <c r="SQF584" s="141"/>
      <c r="SQG584" s="141"/>
      <c r="SQH584" s="141"/>
      <c r="SQI584" s="141"/>
      <c r="SQJ584" s="141"/>
      <c r="SQK584" s="141"/>
      <c r="SQL584" s="141"/>
      <c r="SQM584" s="141"/>
      <c r="SQN584" s="141"/>
      <c r="SQO584" s="141"/>
      <c r="SQP584" s="141"/>
      <c r="SQQ584" s="141"/>
      <c r="SQR584" s="141"/>
      <c r="SQS584" s="141"/>
      <c r="SQT584" s="141"/>
      <c r="SQU584" s="141"/>
      <c r="SQV584" s="141"/>
      <c r="SQW584" s="141"/>
      <c r="SQX584" s="141"/>
      <c r="SQY584" s="141"/>
      <c r="SQZ584" s="141"/>
      <c r="SRA584" s="141"/>
      <c r="SRB584" s="141"/>
      <c r="SRC584" s="141"/>
      <c r="SRD584" s="141"/>
      <c r="SRE584" s="141"/>
      <c r="SRF584" s="141"/>
      <c r="SRG584" s="141"/>
      <c r="SRH584" s="141"/>
      <c r="SRI584" s="141"/>
      <c r="SRJ584" s="141"/>
      <c r="SRK584" s="141"/>
      <c r="SRL584" s="141"/>
      <c r="SRM584" s="141"/>
      <c r="SRN584" s="141"/>
      <c r="SRO584" s="141"/>
      <c r="SRP584" s="141"/>
      <c r="SRQ584" s="141"/>
      <c r="SRR584" s="141"/>
      <c r="SRS584" s="141"/>
      <c r="SRT584" s="141"/>
      <c r="SRU584" s="141"/>
      <c r="SRV584" s="141"/>
      <c r="SRW584" s="141"/>
      <c r="SRX584" s="141"/>
      <c r="SRY584" s="141"/>
      <c r="SRZ584" s="141"/>
      <c r="SSA584" s="141"/>
      <c r="SSB584" s="141"/>
      <c r="SSC584" s="141"/>
      <c r="SSD584" s="141"/>
      <c r="SSE584" s="141"/>
      <c r="SSF584" s="141"/>
      <c r="SSG584" s="141"/>
      <c r="SSH584" s="141"/>
      <c r="SSI584" s="141"/>
      <c r="SSJ584" s="141"/>
      <c r="SSK584" s="141"/>
      <c r="SSL584" s="141"/>
      <c r="SSM584" s="141"/>
      <c r="SSN584" s="141"/>
      <c r="SSO584" s="141"/>
      <c r="SSP584" s="141"/>
      <c r="SSQ584" s="141"/>
      <c r="SSR584" s="141"/>
      <c r="SSS584" s="141"/>
      <c r="SST584" s="141"/>
      <c r="SSU584" s="141"/>
      <c r="SSV584" s="141"/>
      <c r="SSW584" s="141"/>
      <c r="SSX584" s="141"/>
      <c r="SSY584" s="141"/>
      <c r="SSZ584" s="141"/>
      <c r="STA584" s="141"/>
      <c r="STB584" s="141"/>
      <c r="STC584" s="141"/>
      <c r="STD584" s="141"/>
      <c r="STE584" s="141"/>
      <c r="STF584" s="141"/>
      <c r="STG584" s="141"/>
      <c r="STH584" s="141"/>
      <c r="STI584" s="141"/>
      <c r="STJ584" s="141"/>
      <c r="STK584" s="141"/>
      <c r="STL584" s="141"/>
      <c r="STM584" s="141"/>
      <c r="STN584" s="141"/>
      <c r="STO584" s="141"/>
      <c r="STP584" s="141"/>
      <c r="STQ584" s="141"/>
      <c r="STR584" s="141"/>
      <c r="STS584" s="141"/>
      <c r="STT584" s="141"/>
      <c r="STU584" s="141"/>
      <c r="STV584" s="141"/>
      <c r="STW584" s="141"/>
      <c r="STX584" s="141"/>
      <c r="STY584" s="141"/>
      <c r="STZ584" s="141"/>
      <c r="SUA584" s="141"/>
      <c r="SUB584" s="141"/>
      <c r="SUC584" s="141"/>
      <c r="SUD584" s="141"/>
      <c r="SUE584" s="141"/>
      <c r="SUF584" s="141"/>
      <c r="SUG584" s="141"/>
      <c r="SUH584" s="141"/>
      <c r="SUI584" s="141"/>
      <c r="SUJ584" s="141"/>
      <c r="SUK584" s="141"/>
      <c r="SUL584" s="141"/>
      <c r="SUM584" s="141"/>
      <c r="SUN584" s="141"/>
      <c r="SUO584" s="141"/>
      <c r="SUP584" s="141"/>
      <c r="SUQ584" s="141"/>
      <c r="SUR584" s="141"/>
      <c r="SUS584" s="141"/>
      <c r="SUT584" s="141"/>
      <c r="SUU584" s="141"/>
      <c r="SUV584" s="141"/>
      <c r="SUW584" s="141"/>
      <c r="SUX584" s="141"/>
      <c r="SUY584" s="141"/>
      <c r="SUZ584" s="141"/>
      <c r="SVA584" s="141"/>
      <c r="SVB584" s="141"/>
      <c r="SVC584" s="141"/>
      <c r="SVD584" s="141"/>
      <c r="SVE584" s="141"/>
      <c r="SVF584" s="141"/>
      <c r="SVG584" s="141"/>
      <c r="SVH584" s="141"/>
      <c r="SVI584" s="141"/>
      <c r="SVJ584" s="141"/>
      <c r="SVK584" s="141"/>
      <c r="SVL584" s="141"/>
      <c r="SVM584" s="141"/>
      <c r="SVN584" s="141"/>
      <c r="SVO584" s="141"/>
      <c r="SVP584" s="141"/>
      <c r="SVQ584" s="141"/>
      <c r="SVR584" s="141"/>
      <c r="SVS584" s="141"/>
      <c r="SVT584" s="141"/>
      <c r="SVU584" s="141"/>
      <c r="SVV584" s="141"/>
      <c r="SVW584" s="141"/>
      <c r="SVX584" s="141"/>
      <c r="SVY584" s="141"/>
      <c r="SVZ584" s="141"/>
      <c r="SWA584" s="141"/>
      <c r="SWB584" s="141"/>
      <c r="SWC584" s="141"/>
      <c r="SWD584" s="141"/>
      <c r="SWE584" s="141"/>
      <c r="SWF584" s="141"/>
      <c r="SWG584" s="141"/>
      <c r="SWH584" s="141"/>
      <c r="SWI584" s="141"/>
      <c r="SWJ584" s="141"/>
      <c r="SWK584" s="141"/>
      <c r="SWL584" s="141"/>
      <c r="SWM584" s="141"/>
      <c r="SWN584" s="141"/>
      <c r="SWO584" s="141"/>
      <c r="SWP584" s="141"/>
      <c r="SWQ584" s="141"/>
      <c r="SWR584" s="141"/>
      <c r="SWS584" s="141"/>
      <c r="SWT584" s="141"/>
      <c r="SWU584" s="141"/>
      <c r="SWV584" s="141"/>
      <c r="SWW584" s="141"/>
      <c r="SWX584" s="141"/>
      <c r="SWY584" s="141"/>
      <c r="SWZ584" s="141"/>
      <c r="SXA584" s="141"/>
      <c r="SXB584" s="141"/>
      <c r="SXC584" s="141"/>
      <c r="SXD584" s="141"/>
      <c r="SXE584" s="141"/>
      <c r="SXF584" s="141"/>
      <c r="SXG584" s="141"/>
      <c r="SXH584" s="141"/>
      <c r="SXI584" s="141"/>
      <c r="SXJ584" s="141"/>
      <c r="SXK584" s="141"/>
      <c r="SXL584" s="141"/>
      <c r="SXM584" s="141"/>
      <c r="SXN584" s="141"/>
      <c r="SXO584" s="141"/>
      <c r="SXP584" s="141"/>
      <c r="SXQ584" s="141"/>
      <c r="SXR584" s="141"/>
      <c r="SXS584" s="141"/>
      <c r="SXT584" s="141"/>
      <c r="SXU584" s="141"/>
      <c r="SXV584" s="141"/>
      <c r="SXW584" s="141"/>
      <c r="SXX584" s="141"/>
      <c r="SXY584" s="141"/>
      <c r="SXZ584" s="141"/>
      <c r="SYA584" s="141"/>
      <c r="SYB584" s="141"/>
      <c r="SYC584" s="141"/>
      <c r="SYD584" s="141"/>
      <c r="SYE584" s="141"/>
      <c r="SYF584" s="141"/>
      <c r="SYG584" s="141"/>
      <c r="SYH584" s="141"/>
      <c r="SYI584" s="141"/>
      <c r="SYJ584" s="141"/>
      <c r="SYK584" s="141"/>
      <c r="SYL584" s="141"/>
      <c r="SYM584" s="141"/>
      <c r="SYN584" s="141"/>
      <c r="SYO584" s="141"/>
      <c r="SYP584" s="141"/>
      <c r="SYQ584" s="141"/>
      <c r="SYR584" s="141"/>
      <c r="SYS584" s="141"/>
      <c r="SYT584" s="141"/>
      <c r="SYU584" s="141"/>
      <c r="SYV584" s="141"/>
      <c r="SYW584" s="141"/>
      <c r="SYX584" s="141"/>
      <c r="SYY584" s="141"/>
      <c r="SYZ584" s="141"/>
      <c r="SZA584" s="141"/>
      <c r="SZB584" s="141"/>
      <c r="SZC584" s="141"/>
      <c r="SZD584" s="141"/>
      <c r="SZE584" s="141"/>
      <c r="SZF584" s="141"/>
      <c r="SZG584" s="141"/>
      <c r="SZH584" s="141"/>
      <c r="SZI584" s="141"/>
      <c r="SZJ584" s="141"/>
      <c r="SZK584" s="141"/>
      <c r="SZL584" s="141"/>
      <c r="SZM584" s="141"/>
      <c r="SZN584" s="141"/>
      <c r="SZO584" s="141"/>
      <c r="SZP584" s="141"/>
      <c r="SZQ584" s="141"/>
      <c r="SZR584" s="141"/>
      <c r="SZS584" s="141"/>
      <c r="SZT584" s="141"/>
      <c r="SZU584" s="141"/>
      <c r="SZV584" s="141"/>
      <c r="SZW584" s="141"/>
      <c r="SZX584" s="141"/>
      <c r="SZY584" s="141"/>
      <c r="SZZ584" s="141"/>
      <c r="TAA584" s="141"/>
      <c r="TAB584" s="141"/>
      <c r="TAC584" s="141"/>
      <c r="TAD584" s="141"/>
      <c r="TAE584" s="141"/>
      <c r="TAF584" s="141"/>
      <c r="TAG584" s="141"/>
      <c r="TAH584" s="141"/>
      <c r="TAI584" s="141"/>
      <c r="TAJ584" s="141"/>
      <c r="TAK584" s="141"/>
      <c r="TAL584" s="141"/>
      <c r="TAM584" s="141"/>
      <c r="TAN584" s="141"/>
      <c r="TAO584" s="141"/>
      <c r="TAP584" s="141"/>
      <c r="TAQ584" s="141"/>
      <c r="TAR584" s="141"/>
      <c r="TAS584" s="141"/>
      <c r="TAT584" s="141"/>
      <c r="TAU584" s="141"/>
      <c r="TAV584" s="141"/>
      <c r="TAW584" s="141"/>
      <c r="TAX584" s="141"/>
      <c r="TAY584" s="141"/>
      <c r="TAZ584" s="141"/>
      <c r="TBA584" s="141"/>
      <c r="TBB584" s="141"/>
      <c r="TBC584" s="141"/>
      <c r="TBD584" s="141"/>
      <c r="TBE584" s="141"/>
      <c r="TBF584" s="141"/>
      <c r="TBG584" s="141"/>
      <c r="TBH584" s="141"/>
      <c r="TBI584" s="141"/>
      <c r="TBJ584" s="141"/>
      <c r="TBK584" s="141"/>
      <c r="TBL584" s="141"/>
      <c r="TBM584" s="141"/>
      <c r="TBN584" s="141"/>
      <c r="TBO584" s="141"/>
      <c r="TBP584" s="141"/>
      <c r="TBQ584" s="141"/>
      <c r="TBR584" s="141"/>
      <c r="TBS584" s="141"/>
      <c r="TBT584" s="141"/>
      <c r="TBU584" s="141"/>
      <c r="TBV584" s="141"/>
      <c r="TBW584" s="141"/>
      <c r="TBX584" s="141"/>
      <c r="TBY584" s="141"/>
      <c r="TBZ584" s="141"/>
      <c r="TCA584" s="141"/>
      <c r="TCB584" s="141"/>
      <c r="TCC584" s="141"/>
      <c r="TCD584" s="141"/>
      <c r="TCE584" s="141"/>
      <c r="TCF584" s="141"/>
      <c r="TCG584" s="141"/>
      <c r="TCH584" s="141"/>
      <c r="TCI584" s="141"/>
      <c r="TCJ584" s="141"/>
      <c r="TCK584" s="141"/>
      <c r="TCL584" s="141"/>
      <c r="TCM584" s="141"/>
      <c r="TCN584" s="141"/>
      <c r="TCO584" s="141"/>
      <c r="TCP584" s="141"/>
      <c r="TCQ584" s="141"/>
      <c r="TCR584" s="141"/>
      <c r="TCS584" s="141"/>
      <c r="TCT584" s="141"/>
      <c r="TCU584" s="141"/>
      <c r="TCV584" s="141"/>
      <c r="TCW584" s="141"/>
      <c r="TCX584" s="141"/>
      <c r="TCY584" s="141"/>
      <c r="TCZ584" s="141"/>
      <c r="TDA584" s="141"/>
      <c r="TDB584" s="141"/>
      <c r="TDC584" s="141"/>
      <c r="TDD584" s="141"/>
      <c r="TDE584" s="141"/>
      <c r="TDF584" s="141"/>
      <c r="TDG584" s="141"/>
      <c r="TDH584" s="141"/>
      <c r="TDI584" s="141"/>
      <c r="TDJ584" s="141"/>
      <c r="TDK584" s="141"/>
      <c r="TDL584" s="141"/>
      <c r="TDM584" s="141"/>
      <c r="TDN584" s="141"/>
      <c r="TDO584" s="141"/>
      <c r="TDP584" s="141"/>
      <c r="TDQ584" s="141"/>
      <c r="TDR584" s="141"/>
      <c r="TDS584" s="141"/>
      <c r="TDT584" s="141"/>
      <c r="TDU584" s="141"/>
      <c r="TDV584" s="141"/>
      <c r="TDW584" s="141"/>
      <c r="TDX584" s="141"/>
      <c r="TDY584" s="141"/>
      <c r="TDZ584" s="141"/>
      <c r="TEA584" s="141"/>
      <c r="TEB584" s="141"/>
      <c r="TEC584" s="141"/>
      <c r="TED584" s="141"/>
      <c r="TEE584" s="141"/>
      <c r="TEF584" s="141"/>
      <c r="TEG584" s="141"/>
      <c r="TEH584" s="141"/>
      <c r="TEI584" s="141"/>
      <c r="TEJ584" s="141"/>
      <c r="TEK584" s="141"/>
      <c r="TEL584" s="141"/>
      <c r="TEM584" s="141"/>
      <c r="TEN584" s="141"/>
      <c r="TEO584" s="141"/>
      <c r="TEP584" s="141"/>
      <c r="TEQ584" s="141"/>
      <c r="TER584" s="141"/>
      <c r="TES584" s="141"/>
      <c r="TET584" s="141"/>
      <c r="TEU584" s="141"/>
      <c r="TEV584" s="141"/>
      <c r="TEW584" s="141"/>
      <c r="TEX584" s="141"/>
      <c r="TEY584" s="141"/>
      <c r="TEZ584" s="141"/>
      <c r="TFA584" s="141"/>
      <c r="TFB584" s="141"/>
      <c r="TFC584" s="141"/>
      <c r="TFD584" s="141"/>
      <c r="TFE584" s="141"/>
      <c r="TFF584" s="141"/>
      <c r="TFG584" s="141"/>
      <c r="TFH584" s="141"/>
      <c r="TFI584" s="141"/>
      <c r="TFJ584" s="141"/>
      <c r="TFK584" s="141"/>
      <c r="TFL584" s="141"/>
      <c r="TFM584" s="141"/>
      <c r="TFN584" s="141"/>
      <c r="TFO584" s="141"/>
      <c r="TFP584" s="141"/>
      <c r="TFQ584" s="141"/>
      <c r="TFR584" s="141"/>
      <c r="TFS584" s="141"/>
      <c r="TFT584" s="141"/>
      <c r="TFU584" s="141"/>
      <c r="TFV584" s="141"/>
      <c r="TFW584" s="141"/>
      <c r="TFX584" s="141"/>
      <c r="TFY584" s="141"/>
      <c r="TFZ584" s="141"/>
      <c r="TGA584" s="141"/>
      <c r="TGB584" s="141"/>
      <c r="TGC584" s="141"/>
      <c r="TGD584" s="141"/>
      <c r="TGE584" s="141"/>
      <c r="TGF584" s="141"/>
      <c r="TGG584" s="141"/>
      <c r="TGH584" s="141"/>
      <c r="TGI584" s="141"/>
      <c r="TGJ584" s="141"/>
      <c r="TGK584" s="141"/>
      <c r="TGL584" s="141"/>
      <c r="TGM584" s="141"/>
      <c r="TGN584" s="141"/>
      <c r="TGO584" s="141"/>
      <c r="TGP584" s="141"/>
      <c r="TGQ584" s="141"/>
      <c r="TGR584" s="141"/>
      <c r="TGS584" s="141"/>
      <c r="TGT584" s="141"/>
      <c r="TGU584" s="141"/>
      <c r="TGV584" s="141"/>
      <c r="TGW584" s="141"/>
      <c r="TGX584" s="141"/>
      <c r="TGY584" s="141"/>
      <c r="TGZ584" s="141"/>
      <c r="THA584" s="141"/>
      <c r="THB584" s="141"/>
      <c r="THC584" s="141"/>
      <c r="THD584" s="141"/>
      <c r="THE584" s="141"/>
      <c r="THF584" s="141"/>
      <c r="THG584" s="141"/>
      <c r="THH584" s="141"/>
      <c r="THI584" s="141"/>
      <c r="THJ584" s="141"/>
      <c r="THK584" s="141"/>
      <c r="THL584" s="141"/>
      <c r="THM584" s="141"/>
      <c r="THN584" s="141"/>
      <c r="THO584" s="141"/>
      <c r="THP584" s="141"/>
      <c r="THQ584" s="141"/>
      <c r="THR584" s="141"/>
      <c r="THS584" s="141"/>
      <c r="THT584" s="141"/>
      <c r="THU584" s="141"/>
      <c r="THV584" s="141"/>
      <c r="THW584" s="141"/>
      <c r="THX584" s="141"/>
      <c r="THY584" s="141"/>
      <c r="THZ584" s="141"/>
      <c r="TIA584" s="141"/>
      <c r="TIB584" s="141"/>
      <c r="TIC584" s="141"/>
      <c r="TID584" s="141"/>
      <c r="TIE584" s="141"/>
      <c r="TIF584" s="141"/>
      <c r="TIG584" s="141"/>
      <c r="TIH584" s="141"/>
      <c r="TII584" s="141"/>
      <c r="TIJ584" s="141"/>
      <c r="TIK584" s="141"/>
      <c r="TIL584" s="141"/>
      <c r="TIM584" s="141"/>
      <c r="TIN584" s="141"/>
      <c r="TIO584" s="141"/>
      <c r="TIP584" s="141"/>
      <c r="TIQ584" s="141"/>
      <c r="TIR584" s="141"/>
      <c r="TIS584" s="141"/>
      <c r="TIT584" s="141"/>
      <c r="TIU584" s="141"/>
      <c r="TIV584" s="141"/>
      <c r="TIW584" s="141"/>
      <c r="TIX584" s="141"/>
      <c r="TIY584" s="141"/>
      <c r="TIZ584" s="141"/>
      <c r="TJA584" s="141"/>
      <c r="TJB584" s="141"/>
      <c r="TJC584" s="141"/>
      <c r="TJD584" s="141"/>
      <c r="TJE584" s="141"/>
      <c r="TJF584" s="141"/>
      <c r="TJG584" s="141"/>
      <c r="TJH584" s="141"/>
      <c r="TJI584" s="141"/>
      <c r="TJJ584" s="141"/>
      <c r="TJK584" s="141"/>
      <c r="TJL584" s="141"/>
      <c r="TJM584" s="141"/>
      <c r="TJN584" s="141"/>
      <c r="TJO584" s="141"/>
      <c r="TJP584" s="141"/>
      <c r="TJQ584" s="141"/>
      <c r="TJR584" s="141"/>
      <c r="TJS584" s="141"/>
      <c r="TJT584" s="141"/>
      <c r="TJU584" s="141"/>
      <c r="TJV584" s="141"/>
      <c r="TJW584" s="141"/>
      <c r="TJX584" s="141"/>
      <c r="TJY584" s="141"/>
      <c r="TJZ584" s="141"/>
      <c r="TKA584" s="141"/>
      <c r="TKB584" s="141"/>
      <c r="TKC584" s="141"/>
      <c r="TKD584" s="141"/>
      <c r="TKE584" s="141"/>
      <c r="TKF584" s="141"/>
      <c r="TKG584" s="141"/>
      <c r="TKH584" s="141"/>
      <c r="TKI584" s="141"/>
      <c r="TKJ584" s="141"/>
      <c r="TKK584" s="141"/>
      <c r="TKL584" s="141"/>
      <c r="TKM584" s="141"/>
      <c r="TKN584" s="141"/>
      <c r="TKO584" s="141"/>
      <c r="TKP584" s="141"/>
      <c r="TKQ584" s="141"/>
      <c r="TKR584" s="141"/>
      <c r="TKS584" s="141"/>
      <c r="TKT584" s="141"/>
      <c r="TKU584" s="141"/>
      <c r="TKV584" s="141"/>
      <c r="TKW584" s="141"/>
      <c r="TKX584" s="141"/>
      <c r="TKY584" s="141"/>
      <c r="TKZ584" s="141"/>
      <c r="TLA584" s="141"/>
      <c r="TLB584" s="141"/>
      <c r="TLC584" s="141"/>
      <c r="TLD584" s="141"/>
      <c r="TLE584" s="141"/>
      <c r="TLF584" s="141"/>
      <c r="TLG584" s="141"/>
      <c r="TLH584" s="141"/>
      <c r="TLI584" s="141"/>
      <c r="TLJ584" s="141"/>
      <c r="TLK584" s="141"/>
      <c r="TLL584" s="141"/>
      <c r="TLM584" s="141"/>
      <c r="TLN584" s="141"/>
      <c r="TLO584" s="141"/>
      <c r="TLP584" s="141"/>
      <c r="TLQ584" s="141"/>
      <c r="TLR584" s="141"/>
      <c r="TLS584" s="141"/>
      <c r="TLT584" s="141"/>
      <c r="TLU584" s="141"/>
      <c r="TLV584" s="141"/>
      <c r="TLW584" s="141"/>
      <c r="TLX584" s="141"/>
      <c r="TLY584" s="141"/>
      <c r="TLZ584" s="141"/>
      <c r="TMA584" s="141"/>
      <c r="TMB584" s="141"/>
      <c r="TMC584" s="141"/>
      <c r="TMD584" s="141"/>
      <c r="TME584" s="141"/>
      <c r="TMF584" s="141"/>
      <c r="TMG584" s="141"/>
      <c r="TMH584" s="141"/>
      <c r="TMI584" s="141"/>
      <c r="TMJ584" s="141"/>
      <c r="TMK584" s="141"/>
      <c r="TML584" s="141"/>
      <c r="TMM584" s="141"/>
      <c r="TMN584" s="141"/>
      <c r="TMO584" s="141"/>
      <c r="TMP584" s="141"/>
      <c r="TMQ584" s="141"/>
      <c r="TMR584" s="141"/>
      <c r="TMS584" s="141"/>
      <c r="TMT584" s="141"/>
      <c r="TMU584" s="141"/>
      <c r="TMV584" s="141"/>
      <c r="TMW584" s="141"/>
      <c r="TMX584" s="141"/>
      <c r="TMY584" s="141"/>
      <c r="TMZ584" s="141"/>
      <c r="TNA584" s="141"/>
      <c r="TNB584" s="141"/>
      <c r="TNC584" s="141"/>
      <c r="TND584" s="141"/>
      <c r="TNE584" s="141"/>
      <c r="TNF584" s="141"/>
      <c r="TNG584" s="141"/>
      <c r="TNH584" s="141"/>
      <c r="TNI584" s="141"/>
      <c r="TNJ584" s="141"/>
      <c r="TNK584" s="141"/>
      <c r="TNL584" s="141"/>
      <c r="TNM584" s="141"/>
      <c r="TNN584" s="141"/>
      <c r="TNO584" s="141"/>
      <c r="TNP584" s="141"/>
      <c r="TNQ584" s="141"/>
      <c r="TNR584" s="141"/>
      <c r="TNS584" s="141"/>
      <c r="TNT584" s="141"/>
      <c r="TNU584" s="141"/>
      <c r="TNV584" s="141"/>
      <c r="TNW584" s="141"/>
      <c r="TNX584" s="141"/>
      <c r="TNY584" s="141"/>
      <c r="TNZ584" s="141"/>
      <c r="TOA584" s="141"/>
      <c r="TOB584" s="141"/>
      <c r="TOC584" s="141"/>
      <c r="TOD584" s="141"/>
      <c r="TOE584" s="141"/>
      <c r="TOF584" s="141"/>
      <c r="TOG584" s="141"/>
      <c r="TOH584" s="141"/>
      <c r="TOI584" s="141"/>
      <c r="TOJ584" s="141"/>
      <c r="TOK584" s="141"/>
      <c r="TOL584" s="141"/>
      <c r="TOM584" s="141"/>
      <c r="TON584" s="141"/>
      <c r="TOO584" s="141"/>
      <c r="TOP584" s="141"/>
      <c r="TOQ584" s="141"/>
      <c r="TOR584" s="141"/>
      <c r="TOS584" s="141"/>
      <c r="TOT584" s="141"/>
      <c r="TOU584" s="141"/>
      <c r="TOV584" s="141"/>
      <c r="TOW584" s="141"/>
      <c r="TOX584" s="141"/>
      <c r="TOY584" s="141"/>
      <c r="TOZ584" s="141"/>
      <c r="TPA584" s="141"/>
      <c r="TPB584" s="141"/>
      <c r="TPC584" s="141"/>
      <c r="TPD584" s="141"/>
      <c r="TPE584" s="141"/>
      <c r="TPF584" s="141"/>
      <c r="TPG584" s="141"/>
      <c r="TPH584" s="141"/>
      <c r="TPI584" s="141"/>
      <c r="TPJ584" s="141"/>
      <c r="TPK584" s="141"/>
      <c r="TPL584" s="141"/>
      <c r="TPM584" s="141"/>
      <c r="TPN584" s="141"/>
      <c r="TPO584" s="141"/>
      <c r="TPP584" s="141"/>
      <c r="TPQ584" s="141"/>
      <c r="TPR584" s="141"/>
      <c r="TPS584" s="141"/>
      <c r="TPT584" s="141"/>
      <c r="TPU584" s="141"/>
      <c r="TPV584" s="141"/>
      <c r="TPW584" s="141"/>
      <c r="TPX584" s="141"/>
      <c r="TPY584" s="141"/>
      <c r="TPZ584" s="141"/>
      <c r="TQA584" s="141"/>
      <c r="TQB584" s="141"/>
      <c r="TQC584" s="141"/>
      <c r="TQD584" s="141"/>
      <c r="TQE584" s="141"/>
      <c r="TQF584" s="141"/>
      <c r="TQG584" s="141"/>
      <c r="TQH584" s="141"/>
      <c r="TQI584" s="141"/>
      <c r="TQJ584" s="141"/>
      <c r="TQK584" s="141"/>
      <c r="TQL584" s="141"/>
      <c r="TQM584" s="141"/>
      <c r="TQN584" s="141"/>
      <c r="TQO584" s="141"/>
      <c r="TQP584" s="141"/>
      <c r="TQQ584" s="141"/>
      <c r="TQR584" s="141"/>
      <c r="TQS584" s="141"/>
      <c r="TQT584" s="141"/>
      <c r="TQU584" s="141"/>
      <c r="TQV584" s="141"/>
      <c r="TQW584" s="141"/>
      <c r="TQX584" s="141"/>
      <c r="TQY584" s="141"/>
      <c r="TQZ584" s="141"/>
      <c r="TRA584" s="141"/>
      <c r="TRB584" s="141"/>
      <c r="TRC584" s="141"/>
      <c r="TRD584" s="141"/>
      <c r="TRE584" s="141"/>
      <c r="TRF584" s="141"/>
      <c r="TRG584" s="141"/>
      <c r="TRH584" s="141"/>
      <c r="TRI584" s="141"/>
      <c r="TRJ584" s="141"/>
      <c r="TRK584" s="141"/>
      <c r="TRL584" s="141"/>
      <c r="TRM584" s="141"/>
      <c r="TRN584" s="141"/>
      <c r="TRO584" s="141"/>
      <c r="TRP584" s="141"/>
      <c r="TRQ584" s="141"/>
      <c r="TRR584" s="141"/>
      <c r="TRS584" s="141"/>
      <c r="TRT584" s="141"/>
      <c r="TRU584" s="141"/>
      <c r="TRV584" s="141"/>
      <c r="TRW584" s="141"/>
      <c r="TRX584" s="141"/>
      <c r="TRY584" s="141"/>
      <c r="TRZ584" s="141"/>
      <c r="TSA584" s="141"/>
      <c r="TSB584" s="141"/>
      <c r="TSC584" s="141"/>
      <c r="TSD584" s="141"/>
      <c r="TSE584" s="141"/>
      <c r="TSF584" s="141"/>
      <c r="TSG584" s="141"/>
      <c r="TSH584" s="141"/>
      <c r="TSI584" s="141"/>
      <c r="TSJ584" s="141"/>
      <c r="TSK584" s="141"/>
      <c r="TSL584" s="141"/>
      <c r="TSM584" s="141"/>
      <c r="TSN584" s="141"/>
      <c r="TSO584" s="141"/>
      <c r="TSP584" s="141"/>
      <c r="TSQ584" s="141"/>
      <c r="TSR584" s="141"/>
      <c r="TSS584" s="141"/>
      <c r="TST584" s="141"/>
      <c r="TSU584" s="141"/>
      <c r="TSV584" s="141"/>
      <c r="TSW584" s="141"/>
      <c r="TSX584" s="141"/>
      <c r="TSY584" s="141"/>
      <c r="TSZ584" s="141"/>
      <c r="TTA584" s="141"/>
      <c r="TTB584" s="141"/>
      <c r="TTC584" s="141"/>
      <c r="TTD584" s="141"/>
      <c r="TTE584" s="141"/>
      <c r="TTF584" s="141"/>
      <c r="TTG584" s="141"/>
      <c r="TTH584" s="141"/>
      <c r="TTI584" s="141"/>
      <c r="TTJ584" s="141"/>
      <c r="TTK584" s="141"/>
      <c r="TTL584" s="141"/>
      <c r="TTM584" s="141"/>
      <c r="TTN584" s="141"/>
      <c r="TTO584" s="141"/>
      <c r="TTP584" s="141"/>
      <c r="TTQ584" s="141"/>
      <c r="TTR584" s="141"/>
      <c r="TTS584" s="141"/>
      <c r="TTT584" s="141"/>
      <c r="TTU584" s="141"/>
      <c r="TTV584" s="141"/>
      <c r="TTW584" s="141"/>
      <c r="TTX584" s="141"/>
      <c r="TTY584" s="141"/>
      <c r="TTZ584" s="141"/>
      <c r="TUA584" s="141"/>
      <c r="TUB584" s="141"/>
      <c r="TUC584" s="141"/>
      <c r="TUD584" s="141"/>
      <c r="TUE584" s="141"/>
      <c r="TUF584" s="141"/>
      <c r="TUG584" s="141"/>
      <c r="TUH584" s="141"/>
      <c r="TUI584" s="141"/>
      <c r="TUJ584" s="141"/>
      <c r="TUK584" s="141"/>
      <c r="TUL584" s="141"/>
      <c r="TUM584" s="141"/>
      <c r="TUN584" s="141"/>
      <c r="TUO584" s="141"/>
      <c r="TUP584" s="141"/>
      <c r="TUQ584" s="141"/>
      <c r="TUR584" s="141"/>
      <c r="TUS584" s="141"/>
      <c r="TUT584" s="141"/>
      <c r="TUU584" s="141"/>
      <c r="TUV584" s="141"/>
      <c r="TUW584" s="141"/>
      <c r="TUX584" s="141"/>
      <c r="TUY584" s="141"/>
      <c r="TUZ584" s="141"/>
      <c r="TVA584" s="141"/>
      <c r="TVB584" s="141"/>
      <c r="TVC584" s="141"/>
      <c r="TVD584" s="141"/>
      <c r="TVE584" s="141"/>
      <c r="TVF584" s="141"/>
      <c r="TVG584" s="141"/>
      <c r="TVH584" s="141"/>
      <c r="TVI584" s="141"/>
      <c r="TVJ584" s="141"/>
      <c r="TVK584" s="141"/>
      <c r="TVL584" s="141"/>
      <c r="TVM584" s="141"/>
      <c r="TVN584" s="141"/>
      <c r="TVO584" s="141"/>
      <c r="TVP584" s="141"/>
      <c r="TVQ584" s="141"/>
      <c r="TVR584" s="141"/>
      <c r="TVS584" s="141"/>
      <c r="TVT584" s="141"/>
      <c r="TVU584" s="141"/>
      <c r="TVV584" s="141"/>
      <c r="TVW584" s="141"/>
      <c r="TVX584" s="141"/>
      <c r="TVY584" s="141"/>
      <c r="TVZ584" s="141"/>
      <c r="TWA584" s="141"/>
      <c r="TWB584" s="141"/>
      <c r="TWC584" s="141"/>
      <c r="TWD584" s="141"/>
      <c r="TWE584" s="141"/>
      <c r="TWF584" s="141"/>
      <c r="TWG584" s="141"/>
      <c r="TWH584" s="141"/>
      <c r="TWI584" s="141"/>
      <c r="TWJ584" s="141"/>
      <c r="TWK584" s="141"/>
      <c r="TWL584" s="141"/>
      <c r="TWM584" s="141"/>
      <c r="TWN584" s="141"/>
      <c r="TWO584" s="141"/>
      <c r="TWP584" s="141"/>
      <c r="TWQ584" s="141"/>
      <c r="TWR584" s="141"/>
      <c r="TWS584" s="141"/>
      <c r="TWT584" s="141"/>
      <c r="TWU584" s="141"/>
      <c r="TWV584" s="141"/>
      <c r="TWW584" s="141"/>
      <c r="TWX584" s="141"/>
      <c r="TWY584" s="141"/>
      <c r="TWZ584" s="141"/>
      <c r="TXA584" s="141"/>
      <c r="TXB584" s="141"/>
      <c r="TXC584" s="141"/>
      <c r="TXD584" s="141"/>
      <c r="TXE584" s="141"/>
      <c r="TXF584" s="141"/>
      <c r="TXG584" s="141"/>
      <c r="TXH584" s="141"/>
      <c r="TXI584" s="141"/>
      <c r="TXJ584" s="141"/>
      <c r="TXK584" s="141"/>
      <c r="TXL584" s="141"/>
      <c r="TXM584" s="141"/>
      <c r="TXN584" s="141"/>
      <c r="TXO584" s="141"/>
      <c r="TXP584" s="141"/>
      <c r="TXQ584" s="141"/>
      <c r="TXR584" s="141"/>
      <c r="TXS584" s="141"/>
      <c r="TXT584" s="141"/>
      <c r="TXU584" s="141"/>
      <c r="TXV584" s="141"/>
      <c r="TXW584" s="141"/>
      <c r="TXX584" s="141"/>
      <c r="TXY584" s="141"/>
      <c r="TXZ584" s="141"/>
      <c r="TYA584" s="141"/>
      <c r="TYB584" s="141"/>
      <c r="TYC584" s="141"/>
      <c r="TYD584" s="141"/>
      <c r="TYE584" s="141"/>
      <c r="TYF584" s="141"/>
      <c r="TYG584" s="141"/>
      <c r="TYH584" s="141"/>
      <c r="TYI584" s="141"/>
      <c r="TYJ584" s="141"/>
      <c r="TYK584" s="141"/>
      <c r="TYL584" s="141"/>
      <c r="TYM584" s="141"/>
      <c r="TYN584" s="141"/>
      <c r="TYO584" s="141"/>
      <c r="TYP584" s="141"/>
      <c r="TYQ584" s="141"/>
      <c r="TYR584" s="141"/>
      <c r="TYS584" s="141"/>
      <c r="TYT584" s="141"/>
      <c r="TYU584" s="141"/>
      <c r="TYV584" s="141"/>
      <c r="TYW584" s="141"/>
      <c r="TYX584" s="141"/>
      <c r="TYY584" s="141"/>
      <c r="TYZ584" s="141"/>
      <c r="TZA584" s="141"/>
      <c r="TZB584" s="141"/>
      <c r="TZC584" s="141"/>
      <c r="TZD584" s="141"/>
      <c r="TZE584" s="141"/>
      <c r="TZF584" s="141"/>
      <c r="TZG584" s="141"/>
      <c r="TZH584" s="141"/>
      <c r="TZI584" s="141"/>
      <c r="TZJ584" s="141"/>
      <c r="TZK584" s="141"/>
      <c r="TZL584" s="141"/>
      <c r="TZM584" s="141"/>
      <c r="TZN584" s="141"/>
      <c r="TZO584" s="141"/>
      <c r="TZP584" s="141"/>
      <c r="TZQ584" s="141"/>
      <c r="TZR584" s="141"/>
      <c r="TZS584" s="141"/>
      <c r="TZT584" s="141"/>
      <c r="TZU584" s="141"/>
      <c r="TZV584" s="141"/>
      <c r="TZW584" s="141"/>
      <c r="TZX584" s="141"/>
      <c r="TZY584" s="141"/>
      <c r="TZZ584" s="141"/>
      <c r="UAA584" s="141"/>
      <c r="UAB584" s="141"/>
      <c r="UAC584" s="141"/>
      <c r="UAD584" s="141"/>
      <c r="UAE584" s="141"/>
      <c r="UAF584" s="141"/>
      <c r="UAG584" s="141"/>
      <c r="UAH584" s="141"/>
      <c r="UAI584" s="141"/>
      <c r="UAJ584" s="141"/>
      <c r="UAK584" s="141"/>
      <c r="UAL584" s="141"/>
      <c r="UAM584" s="141"/>
      <c r="UAN584" s="141"/>
      <c r="UAO584" s="141"/>
      <c r="UAP584" s="141"/>
      <c r="UAQ584" s="141"/>
      <c r="UAR584" s="141"/>
      <c r="UAS584" s="141"/>
      <c r="UAT584" s="141"/>
      <c r="UAU584" s="141"/>
      <c r="UAV584" s="141"/>
      <c r="UAW584" s="141"/>
      <c r="UAX584" s="141"/>
      <c r="UAY584" s="141"/>
      <c r="UAZ584" s="141"/>
      <c r="UBA584" s="141"/>
      <c r="UBB584" s="141"/>
      <c r="UBC584" s="141"/>
      <c r="UBD584" s="141"/>
      <c r="UBE584" s="141"/>
      <c r="UBF584" s="141"/>
      <c r="UBG584" s="141"/>
      <c r="UBH584" s="141"/>
      <c r="UBI584" s="141"/>
      <c r="UBJ584" s="141"/>
      <c r="UBK584" s="141"/>
      <c r="UBL584" s="141"/>
      <c r="UBM584" s="141"/>
      <c r="UBN584" s="141"/>
      <c r="UBO584" s="141"/>
      <c r="UBP584" s="141"/>
      <c r="UBQ584" s="141"/>
      <c r="UBR584" s="141"/>
      <c r="UBS584" s="141"/>
      <c r="UBT584" s="141"/>
      <c r="UBU584" s="141"/>
      <c r="UBV584" s="141"/>
      <c r="UBW584" s="141"/>
      <c r="UBX584" s="141"/>
      <c r="UBY584" s="141"/>
      <c r="UBZ584" s="141"/>
      <c r="UCA584" s="141"/>
      <c r="UCB584" s="141"/>
      <c r="UCC584" s="141"/>
      <c r="UCD584" s="141"/>
      <c r="UCE584" s="141"/>
      <c r="UCF584" s="141"/>
      <c r="UCG584" s="141"/>
      <c r="UCH584" s="141"/>
      <c r="UCI584" s="141"/>
      <c r="UCJ584" s="141"/>
      <c r="UCK584" s="141"/>
      <c r="UCL584" s="141"/>
      <c r="UCM584" s="141"/>
      <c r="UCN584" s="141"/>
      <c r="UCO584" s="141"/>
      <c r="UCP584" s="141"/>
      <c r="UCQ584" s="141"/>
      <c r="UCR584" s="141"/>
      <c r="UCS584" s="141"/>
      <c r="UCT584" s="141"/>
      <c r="UCU584" s="141"/>
      <c r="UCV584" s="141"/>
      <c r="UCW584" s="141"/>
      <c r="UCX584" s="141"/>
      <c r="UCY584" s="141"/>
      <c r="UCZ584" s="141"/>
      <c r="UDA584" s="141"/>
      <c r="UDB584" s="141"/>
      <c r="UDC584" s="141"/>
      <c r="UDD584" s="141"/>
      <c r="UDE584" s="141"/>
      <c r="UDF584" s="141"/>
      <c r="UDG584" s="141"/>
      <c r="UDH584" s="141"/>
      <c r="UDI584" s="141"/>
      <c r="UDJ584" s="141"/>
      <c r="UDK584" s="141"/>
      <c r="UDL584" s="141"/>
      <c r="UDM584" s="141"/>
      <c r="UDN584" s="141"/>
      <c r="UDO584" s="141"/>
      <c r="UDP584" s="141"/>
      <c r="UDQ584" s="141"/>
      <c r="UDR584" s="141"/>
      <c r="UDS584" s="141"/>
      <c r="UDT584" s="141"/>
      <c r="UDU584" s="141"/>
      <c r="UDV584" s="141"/>
      <c r="UDW584" s="141"/>
      <c r="UDX584" s="141"/>
      <c r="UDY584" s="141"/>
      <c r="UDZ584" s="141"/>
      <c r="UEA584" s="141"/>
      <c r="UEB584" s="141"/>
      <c r="UEC584" s="141"/>
      <c r="UED584" s="141"/>
      <c r="UEE584" s="141"/>
      <c r="UEF584" s="141"/>
      <c r="UEG584" s="141"/>
      <c r="UEH584" s="141"/>
      <c r="UEI584" s="141"/>
      <c r="UEJ584" s="141"/>
      <c r="UEK584" s="141"/>
      <c r="UEL584" s="141"/>
      <c r="UEM584" s="141"/>
      <c r="UEN584" s="141"/>
      <c r="UEO584" s="141"/>
      <c r="UEP584" s="141"/>
      <c r="UEQ584" s="141"/>
      <c r="UER584" s="141"/>
      <c r="UES584" s="141"/>
      <c r="UET584" s="141"/>
      <c r="UEU584" s="141"/>
      <c r="UEV584" s="141"/>
      <c r="UEW584" s="141"/>
      <c r="UEX584" s="141"/>
      <c r="UEY584" s="141"/>
      <c r="UEZ584" s="141"/>
      <c r="UFA584" s="141"/>
      <c r="UFB584" s="141"/>
      <c r="UFC584" s="141"/>
      <c r="UFD584" s="141"/>
      <c r="UFE584" s="141"/>
      <c r="UFF584" s="141"/>
      <c r="UFG584" s="141"/>
      <c r="UFH584" s="141"/>
      <c r="UFI584" s="141"/>
      <c r="UFJ584" s="141"/>
      <c r="UFK584" s="141"/>
      <c r="UFL584" s="141"/>
      <c r="UFM584" s="141"/>
      <c r="UFN584" s="141"/>
      <c r="UFO584" s="141"/>
      <c r="UFP584" s="141"/>
      <c r="UFQ584" s="141"/>
      <c r="UFR584" s="141"/>
      <c r="UFS584" s="141"/>
      <c r="UFT584" s="141"/>
      <c r="UFU584" s="141"/>
      <c r="UFV584" s="141"/>
      <c r="UFW584" s="141"/>
      <c r="UFX584" s="141"/>
      <c r="UFY584" s="141"/>
      <c r="UFZ584" s="141"/>
      <c r="UGA584" s="141"/>
      <c r="UGB584" s="141"/>
      <c r="UGC584" s="141"/>
      <c r="UGD584" s="141"/>
      <c r="UGE584" s="141"/>
      <c r="UGF584" s="141"/>
      <c r="UGG584" s="141"/>
      <c r="UGH584" s="141"/>
      <c r="UGI584" s="141"/>
      <c r="UGJ584" s="141"/>
      <c r="UGK584" s="141"/>
      <c r="UGL584" s="141"/>
      <c r="UGM584" s="141"/>
      <c r="UGN584" s="141"/>
      <c r="UGO584" s="141"/>
      <c r="UGP584" s="141"/>
      <c r="UGQ584" s="141"/>
      <c r="UGR584" s="141"/>
      <c r="UGS584" s="141"/>
      <c r="UGT584" s="141"/>
      <c r="UGU584" s="141"/>
      <c r="UGV584" s="141"/>
      <c r="UGW584" s="141"/>
      <c r="UGX584" s="141"/>
      <c r="UGY584" s="141"/>
      <c r="UGZ584" s="141"/>
      <c r="UHA584" s="141"/>
      <c r="UHB584" s="141"/>
      <c r="UHC584" s="141"/>
      <c r="UHD584" s="141"/>
      <c r="UHE584" s="141"/>
      <c r="UHF584" s="141"/>
      <c r="UHG584" s="141"/>
      <c r="UHH584" s="141"/>
      <c r="UHI584" s="141"/>
      <c r="UHJ584" s="141"/>
      <c r="UHK584" s="141"/>
      <c r="UHL584" s="141"/>
      <c r="UHM584" s="141"/>
      <c r="UHN584" s="141"/>
      <c r="UHO584" s="141"/>
      <c r="UHP584" s="141"/>
      <c r="UHQ584" s="141"/>
      <c r="UHR584" s="141"/>
      <c r="UHS584" s="141"/>
      <c r="UHT584" s="141"/>
      <c r="UHU584" s="141"/>
      <c r="UHV584" s="141"/>
      <c r="UHW584" s="141"/>
      <c r="UHX584" s="141"/>
      <c r="UHY584" s="141"/>
      <c r="UHZ584" s="141"/>
      <c r="UIA584" s="141"/>
      <c r="UIB584" s="141"/>
      <c r="UIC584" s="141"/>
      <c r="UID584" s="141"/>
      <c r="UIE584" s="141"/>
      <c r="UIF584" s="141"/>
      <c r="UIG584" s="141"/>
      <c r="UIH584" s="141"/>
      <c r="UII584" s="141"/>
      <c r="UIJ584" s="141"/>
      <c r="UIK584" s="141"/>
      <c r="UIL584" s="141"/>
      <c r="UIM584" s="141"/>
      <c r="UIN584" s="141"/>
      <c r="UIO584" s="141"/>
      <c r="UIP584" s="141"/>
      <c r="UIQ584" s="141"/>
      <c r="UIR584" s="141"/>
      <c r="UIS584" s="141"/>
      <c r="UIT584" s="141"/>
      <c r="UIU584" s="141"/>
      <c r="UIV584" s="141"/>
      <c r="UIW584" s="141"/>
      <c r="UIX584" s="141"/>
      <c r="UIY584" s="141"/>
      <c r="UIZ584" s="141"/>
      <c r="UJA584" s="141"/>
      <c r="UJB584" s="141"/>
      <c r="UJC584" s="141"/>
      <c r="UJD584" s="141"/>
      <c r="UJE584" s="141"/>
      <c r="UJF584" s="141"/>
      <c r="UJG584" s="141"/>
      <c r="UJH584" s="141"/>
      <c r="UJI584" s="141"/>
      <c r="UJJ584" s="141"/>
      <c r="UJK584" s="141"/>
      <c r="UJL584" s="141"/>
      <c r="UJM584" s="141"/>
      <c r="UJN584" s="141"/>
      <c r="UJO584" s="141"/>
      <c r="UJP584" s="141"/>
      <c r="UJQ584" s="141"/>
      <c r="UJR584" s="141"/>
      <c r="UJS584" s="141"/>
      <c r="UJT584" s="141"/>
      <c r="UJU584" s="141"/>
      <c r="UJV584" s="141"/>
      <c r="UJW584" s="141"/>
      <c r="UJX584" s="141"/>
      <c r="UJY584" s="141"/>
      <c r="UJZ584" s="141"/>
      <c r="UKA584" s="141"/>
      <c r="UKB584" s="141"/>
      <c r="UKC584" s="141"/>
      <c r="UKD584" s="141"/>
      <c r="UKE584" s="141"/>
      <c r="UKF584" s="141"/>
      <c r="UKG584" s="141"/>
      <c r="UKH584" s="141"/>
      <c r="UKI584" s="141"/>
      <c r="UKJ584" s="141"/>
      <c r="UKK584" s="141"/>
      <c r="UKL584" s="141"/>
      <c r="UKM584" s="141"/>
      <c r="UKN584" s="141"/>
      <c r="UKO584" s="141"/>
      <c r="UKP584" s="141"/>
      <c r="UKQ584" s="141"/>
      <c r="UKR584" s="141"/>
      <c r="UKS584" s="141"/>
      <c r="UKT584" s="141"/>
      <c r="UKU584" s="141"/>
      <c r="UKV584" s="141"/>
      <c r="UKW584" s="141"/>
      <c r="UKX584" s="141"/>
      <c r="UKY584" s="141"/>
      <c r="UKZ584" s="141"/>
      <c r="ULA584" s="141"/>
      <c r="ULB584" s="141"/>
      <c r="ULC584" s="141"/>
      <c r="ULD584" s="141"/>
      <c r="ULE584" s="141"/>
      <c r="ULF584" s="141"/>
      <c r="ULG584" s="141"/>
      <c r="ULH584" s="141"/>
      <c r="ULI584" s="141"/>
      <c r="ULJ584" s="141"/>
      <c r="ULK584" s="141"/>
      <c r="ULL584" s="141"/>
      <c r="ULM584" s="141"/>
      <c r="ULN584" s="141"/>
      <c r="ULO584" s="141"/>
      <c r="ULP584" s="141"/>
      <c r="ULQ584" s="141"/>
      <c r="ULR584" s="141"/>
      <c r="ULS584" s="141"/>
      <c r="ULT584" s="141"/>
      <c r="ULU584" s="141"/>
      <c r="ULV584" s="141"/>
      <c r="ULW584" s="141"/>
      <c r="ULX584" s="141"/>
      <c r="ULY584" s="141"/>
      <c r="ULZ584" s="141"/>
      <c r="UMA584" s="141"/>
      <c r="UMB584" s="141"/>
      <c r="UMC584" s="141"/>
      <c r="UMD584" s="141"/>
      <c r="UME584" s="141"/>
      <c r="UMF584" s="141"/>
      <c r="UMG584" s="141"/>
      <c r="UMH584" s="141"/>
      <c r="UMI584" s="141"/>
      <c r="UMJ584" s="141"/>
      <c r="UMK584" s="141"/>
      <c r="UML584" s="141"/>
      <c r="UMM584" s="141"/>
      <c r="UMN584" s="141"/>
      <c r="UMO584" s="141"/>
      <c r="UMP584" s="141"/>
      <c r="UMQ584" s="141"/>
      <c r="UMR584" s="141"/>
      <c r="UMS584" s="141"/>
      <c r="UMT584" s="141"/>
      <c r="UMU584" s="141"/>
      <c r="UMV584" s="141"/>
      <c r="UMW584" s="141"/>
      <c r="UMX584" s="141"/>
      <c r="UMY584" s="141"/>
      <c r="UMZ584" s="141"/>
      <c r="UNA584" s="141"/>
      <c r="UNB584" s="141"/>
      <c r="UNC584" s="141"/>
      <c r="UND584" s="141"/>
      <c r="UNE584" s="141"/>
      <c r="UNF584" s="141"/>
      <c r="UNG584" s="141"/>
      <c r="UNH584" s="141"/>
      <c r="UNI584" s="141"/>
      <c r="UNJ584" s="141"/>
      <c r="UNK584" s="141"/>
      <c r="UNL584" s="141"/>
      <c r="UNM584" s="141"/>
      <c r="UNN584" s="141"/>
      <c r="UNO584" s="141"/>
      <c r="UNP584" s="141"/>
      <c r="UNQ584" s="141"/>
      <c r="UNR584" s="141"/>
      <c r="UNS584" s="141"/>
      <c r="UNT584" s="141"/>
      <c r="UNU584" s="141"/>
      <c r="UNV584" s="141"/>
      <c r="UNW584" s="141"/>
      <c r="UNX584" s="141"/>
      <c r="UNY584" s="141"/>
      <c r="UNZ584" s="141"/>
      <c r="UOA584" s="141"/>
      <c r="UOB584" s="141"/>
      <c r="UOC584" s="141"/>
      <c r="UOD584" s="141"/>
      <c r="UOE584" s="141"/>
      <c r="UOF584" s="141"/>
      <c r="UOG584" s="141"/>
      <c r="UOH584" s="141"/>
      <c r="UOI584" s="141"/>
      <c r="UOJ584" s="141"/>
      <c r="UOK584" s="141"/>
      <c r="UOL584" s="141"/>
      <c r="UOM584" s="141"/>
      <c r="UON584" s="141"/>
      <c r="UOO584" s="141"/>
      <c r="UOP584" s="141"/>
      <c r="UOQ584" s="141"/>
      <c r="UOR584" s="141"/>
      <c r="UOS584" s="141"/>
      <c r="UOT584" s="141"/>
      <c r="UOU584" s="141"/>
      <c r="UOV584" s="141"/>
      <c r="UOW584" s="141"/>
      <c r="UOX584" s="141"/>
      <c r="UOY584" s="141"/>
      <c r="UOZ584" s="141"/>
      <c r="UPA584" s="141"/>
      <c r="UPB584" s="141"/>
      <c r="UPC584" s="141"/>
      <c r="UPD584" s="141"/>
      <c r="UPE584" s="141"/>
      <c r="UPF584" s="141"/>
      <c r="UPG584" s="141"/>
      <c r="UPH584" s="141"/>
      <c r="UPI584" s="141"/>
      <c r="UPJ584" s="141"/>
      <c r="UPK584" s="141"/>
      <c r="UPL584" s="141"/>
      <c r="UPM584" s="141"/>
      <c r="UPN584" s="141"/>
      <c r="UPO584" s="141"/>
      <c r="UPP584" s="141"/>
      <c r="UPQ584" s="141"/>
      <c r="UPR584" s="141"/>
      <c r="UPS584" s="141"/>
      <c r="UPT584" s="141"/>
      <c r="UPU584" s="141"/>
      <c r="UPV584" s="141"/>
      <c r="UPW584" s="141"/>
      <c r="UPX584" s="141"/>
      <c r="UPY584" s="141"/>
      <c r="UPZ584" s="141"/>
      <c r="UQA584" s="141"/>
      <c r="UQB584" s="141"/>
      <c r="UQC584" s="141"/>
      <c r="UQD584" s="141"/>
      <c r="UQE584" s="141"/>
      <c r="UQF584" s="141"/>
      <c r="UQG584" s="141"/>
      <c r="UQH584" s="141"/>
      <c r="UQI584" s="141"/>
      <c r="UQJ584" s="141"/>
      <c r="UQK584" s="141"/>
      <c r="UQL584" s="141"/>
      <c r="UQM584" s="141"/>
      <c r="UQN584" s="141"/>
      <c r="UQO584" s="141"/>
      <c r="UQP584" s="141"/>
      <c r="UQQ584" s="141"/>
      <c r="UQR584" s="141"/>
      <c r="UQS584" s="141"/>
      <c r="UQT584" s="141"/>
      <c r="UQU584" s="141"/>
      <c r="UQV584" s="141"/>
      <c r="UQW584" s="141"/>
      <c r="UQX584" s="141"/>
      <c r="UQY584" s="141"/>
      <c r="UQZ584" s="141"/>
      <c r="URA584" s="141"/>
      <c r="URB584" s="141"/>
      <c r="URC584" s="141"/>
      <c r="URD584" s="141"/>
      <c r="URE584" s="141"/>
      <c r="URF584" s="141"/>
      <c r="URG584" s="141"/>
      <c r="URH584" s="141"/>
      <c r="URI584" s="141"/>
      <c r="URJ584" s="141"/>
      <c r="URK584" s="141"/>
      <c r="URL584" s="141"/>
      <c r="URM584" s="141"/>
      <c r="URN584" s="141"/>
      <c r="URO584" s="141"/>
      <c r="URP584" s="141"/>
      <c r="URQ584" s="141"/>
      <c r="URR584" s="141"/>
      <c r="URS584" s="141"/>
      <c r="URT584" s="141"/>
      <c r="URU584" s="141"/>
      <c r="URV584" s="141"/>
      <c r="URW584" s="141"/>
      <c r="URX584" s="141"/>
      <c r="URY584" s="141"/>
      <c r="URZ584" s="141"/>
      <c r="USA584" s="141"/>
      <c r="USB584" s="141"/>
      <c r="USC584" s="141"/>
      <c r="USD584" s="141"/>
      <c r="USE584" s="141"/>
      <c r="USF584" s="141"/>
      <c r="USG584" s="141"/>
      <c r="USH584" s="141"/>
      <c r="USI584" s="141"/>
      <c r="USJ584" s="141"/>
      <c r="USK584" s="141"/>
      <c r="USL584" s="141"/>
      <c r="USM584" s="141"/>
      <c r="USN584" s="141"/>
      <c r="USO584" s="141"/>
      <c r="USP584" s="141"/>
      <c r="USQ584" s="141"/>
      <c r="USR584" s="141"/>
      <c r="USS584" s="141"/>
      <c r="UST584" s="141"/>
      <c r="USU584" s="141"/>
      <c r="USV584" s="141"/>
      <c r="USW584" s="141"/>
      <c r="USX584" s="141"/>
      <c r="USY584" s="141"/>
      <c r="USZ584" s="141"/>
      <c r="UTA584" s="141"/>
      <c r="UTB584" s="141"/>
      <c r="UTC584" s="141"/>
      <c r="UTD584" s="141"/>
      <c r="UTE584" s="141"/>
      <c r="UTF584" s="141"/>
      <c r="UTG584" s="141"/>
      <c r="UTH584" s="141"/>
      <c r="UTI584" s="141"/>
      <c r="UTJ584" s="141"/>
      <c r="UTK584" s="141"/>
      <c r="UTL584" s="141"/>
      <c r="UTM584" s="141"/>
      <c r="UTN584" s="141"/>
      <c r="UTO584" s="141"/>
      <c r="UTP584" s="141"/>
      <c r="UTQ584" s="141"/>
      <c r="UTR584" s="141"/>
      <c r="UTS584" s="141"/>
      <c r="UTT584" s="141"/>
      <c r="UTU584" s="141"/>
      <c r="UTV584" s="141"/>
      <c r="UTW584" s="141"/>
      <c r="UTX584" s="141"/>
      <c r="UTY584" s="141"/>
      <c r="UTZ584" s="141"/>
      <c r="UUA584" s="141"/>
      <c r="UUB584" s="141"/>
      <c r="UUC584" s="141"/>
      <c r="UUD584" s="141"/>
      <c r="UUE584" s="141"/>
      <c r="UUF584" s="141"/>
      <c r="UUG584" s="141"/>
      <c r="UUH584" s="141"/>
      <c r="UUI584" s="141"/>
      <c r="UUJ584" s="141"/>
      <c r="UUK584" s="141"/>
      <c r="UUL584" s="141"/>
      <c r="UUM584" s="141"/>
      <c r="UUN584" s="141"/>
      <c r="UUO584" s="141"/>
      <c r="UUP584" s="141"/>
      <c r="UUQ584" s="141"/>
      <c r="UUR584" s="141"/>
      <c r="UUS584" s="141"/>
      <c r="UUT584" s="141"/>
      <c r="UUU584" s="141"/>
      <c r="UUV584" s="141"/>
      <c r="UUW584" s="141"/>
      <c r="UUX584" s="141"/>
      <c r="UUY584" s="141"/>
      <c r="UUZ584" s="141"/>
      <c r="UVA584" s="141"/>
      <c r="UVB584" s="141"/>
      <c r="UVC584" s="141"/>
      <c r="UVD584" s="141"/>
      <c r="UVE584" s="141"/>
      <c r="UVF584" s="141"/>
      <c r="UVG584" s="141"/>
      <c r="UVH584" s="141"/>
      <c r="UVI584" s="141"/>
      <c r="UVJ584" s="141"/>
      <c r="UVK584" s="141"/>
      <c r="UVL584" s="141"/>
      <c r="UVM584" s="141"/>
      <c r="UVN584" s="141"/>
      <c r="UVO584" s="141"/>
      <c r="UVP584" s="141"/>
      <c r="UVQ584" s="141"/>
      <c r="UVR584" s="141"/>
      <c r="UVS584" s="141"/>
      <c r="UVT584" s="141"/>
      <c r="UVU584" s="141"/>
      <c r="UVV584" s="141"/>
      <c r="UVW584" s="141"/>
      <c r="UVX584" s="141"/>
      <c r="UVY584" s="141"/>
      <c r="UVZ584" s="141"/>
      <c r="UWA584" s="141"/>
      <c r="UWB584" s="141"/>
      <c r="UWC584" s="141"/>
      <c r="UWD584" s="141"/>
      <c r="UWE584" s="141"/>
      <c r="UWF584" s="141"/>
      <c r="UWG584" s="141"/>
      <c r="UWH584" s="141"/>
      <c r="UWI584" s="141"/>
      <c r="UWJ584" s="141"/>
      <c r="UWK584" s="141"/>
      <c r="UWL584" s="141"/>
      <c r="UWM584" s="141"/>
      <c r="UWN584" s="141"/>
      <c r="UWO584" s="141"/>
      <c r="UWP584" s="141"/>
      <c r="UWQ584" s="141"/>
      <c r="UWR584" s="141"/>
      <c r="UWS584" s="141"/>
      <c r="UWT584" s="141"/>
      <c r="UWU584" s="141"/>
      <c r="UWV584" s="141"/>
      <c r="UWW584" s="141"/>
      <c r="UWX584" s="141"/>
      <c r="UWY584" s="141"/>
      <c r="UWZ584" s="141"/>
      <c r="UXA584" s="141"/>
      <c r="UXB584" s="141"/>
      <c r="UXC584" s="141"/>
      <c r="UXD584" s="141"/>
      <c r="UXE584" s="141"/>
      <c r="UXF584" s="141"/>
      <c r="UXG584" s="141"/>
      <c r="UXH584" s="141"/>
      <c r="UXI584" s="141"/>
      <c r="UXJ584" s="141"/>
      <c r="UXK584" s="141"/>
      <c r="UXL584" s="141"/>
      <c r="UXM584" s="141"/>
      <c r="UXN584" s="141"/>
      <c r="UXO584" s="141"/>
      <c r="UXP584" s="141"/>
      <c r="UXQ584" s="141"/>
      <c r="UXR584" s="141"/>
      <c r="UXS584" s="141"/>
      <c r="UXT584" s="141"/>
      <c r="UXU584" s="141"/>
      <c r="UXV584" s="141"/>
      <c r="UXW584" s="141"/>
      <c r="UXX584" s="141"/>
      <c r="UXY584" s="141"/>
      <c r="UXZ584" s="141"/>
      <c r="UYA584" s="141"/>
      <c r="UYB584" s="141"/>
      <c r="UYC584" s="141"/>
      <c r="UYD584" s="141"/>
      <c r="UYE584" s="141"/>
      <c r="UYF584" s="141"/>
      <c r="UYG584" s="141"/>
      <c r="UYH584" s="141"/>
      <c r="UYI584" s="141"/>
      <c r="UYJ584" s="141"/>
      <c r="UYK584" s="141"/>
      <c r="UYL584" s="141"/>
      <c r="UYM584" s="141"/>
      <c r="UYN584" s="141"/>
      <c r="UYO584" s="141"/>
      <c r="UYP584" s="141"/>
      <c r="UYQ584" s="141"/>
      <c r="UYR584" s="141"/>
      <c r="UYS584" s="141"/>
      <c r="UYT584" s="141"/>
      <c r="UYU584" s="141"/>
      <c r="UYV584" s="141"/>
      <c r="UYW584" s="141"/>
      <c r="UYX584" s="141"/>
      <c r="UYY584" s="141"/>
      <c r="UYZ584" s="141"/>
      <c r="UZA584" s="141"/>
      <c r="UZB584" s="141"/>
      <c r="UZC584" s="141"/>
      <c r="UZD584" s="141"/>
      <c r="UZE584" s="141"/>
      <c r="UZF584" s="141"/>
      <c r="UZG584" s="141"/>
      <c r="UZH584" s="141"/>
      <c r="UZI584" s="141"/>
      <c r="UZJ584" s="141"/>
      <c r="UZK584" s="141"/>
      <c r="UZL584" s="141"/>
      <c r="UZM584" s="141"/>
      <c r="UZN584" s="141"/>
      <c r="UZO584" s="141"/>
      <c r="UZP584" s="141"/>
      <c r="UZQ584" s="141"/>
      <c r="UZR584" s="141"/>
      <c r="UZS584" s="141"/>
      <c r="UZT584" s="141"/>
      <c r="UZU584" s="141"/>
      <c r="UZV584" s="141"/>
      <c r="UZW584" s="141"/>
      <c r="UZX584" s="141"/>
      <c r="UZY584" s="141"/>
      <c r="UZZ584" s="141"/>
      <c r="VAA584" s="141"/>
      <c r="VAB584" s="141"/>
      <c r="VAC584" s="141"/>
      <c r="VAD584" s="141"/>
      <c r="VAE584" s="141"/>
      <c r="VAF584" s="141"/>
      <c r="VAG584" s="141"/>
      <c r="VAH584" s="141"/>
      <c r="VAI584" s="141"/>
      <c r="VAJ584" s="141"/>
      <c r="VAK584" s="141"/>
      <c r="VAL584" s="141"/>
      <c r="VAM584" s="141"/>
      <c r="VAN584" s="141"/>
      <c r="VAO584" s="141"/>
      <c r="VAP584" s="141"/>
      <c r="VAQ584" s="141"/>
      <c r="VAR584" s="141"/>
      <c r="VAS584" s="141"/>
      <c r="VAT584" s="141"/>
      <c r="VAU584" s="141"/>
      <c r="VAV584" s="141"/>
      <c r="VAW584" s="141"/>
      <c r="VAX584" s="141"/>
      <c r="VAY584" s="141"/>
      <c r="VAZ584" s="141"/>
      <c r="VBA584" s="141"/>
      <c r="VBB584" s="141"/>
      <c r="VBC584" s="141"/>
      <c r="VBD584" s="141"/>
      <c r="VBE584" s="141"/>
      <c r="VBF584" s="141"/>
      <c r="VBG584" s="141"/>
      <c r="VBH584" s="141"/>
      <c r="VBI584" s="141"/>
      <c r="VBJ584" s="141"/>
      <c r="VBK584" s="141"/>
      <c r="VBL584" s="141"/>
      <c r="VBM584" s="141"/>
      <c r="VBN584" s="141"/>
      <c r="VBO584" s="141"/>
      <c r="VBP584" s="141"/>
      <c r="VBQ584" s="141"/>
      <c r="VBR584" s="141"/>
      <c r="VBS584" s="141"/>
      <c r="VBT584" s="141"/>
      <c r="VBU584" s="141"/>
      <c r="VBV584" s="141"/>
      <c r="VBW584" s="141"/>
      <c r="VBX584" s="141"/>
      <c r="VBY584" s="141"/>
      <c r="VBZ584" s="141"/>
      <c r="VCA584" s="141"/>
      <c r="VCB584" s="141"/>
      <c r="VCC584" s="141"/>
      <c r="VCD584" s="141"/>
      <c r="VCE584" s="141"/>
      <c r="VCF584" s="141"/>
      <c r="VCG584" s="141"/>
      <c r="VCH584" s="141"/>
      <c r="VCI584" s="141"/>
      <c r="VCJ584" s="141"/>
      <c r="VCK584" s="141"/>
      <c r="VCL584" s="141"/>
      <c r="VCM584" s="141"/>
      <c r="VCN584" s="141"/>
      <c r="VCO584" s="141"/>
      <c r="VCP584" s="141"/>
      <c r="VCQ584" s="141"/>
      <c r="VCR584" s="141"/>
      <c r="VCS584" s="141"/>
      <c r="VCT584" s="141"/>
      <c r="VCU584" s="141"/>
      <c r="VCV584" s="141"/>
      <c r="VCW584" s="141"/>
      <c r="VCX584" s="141"/>
      <c r="VCY584" s="141"/>
      <c r="VCZ584" s="141"/>
      <c r="VDA584" s="141"/>
      <c r="VDB584" s="141"/>
      <c r="VDC584" s="141"/>
      <c r="VDD584" s="141"/>
      <c r="VDE584" s="141"/>
      <c r="VDF584" s="141"/>
      <c r="VDG584" s="141"/>
      <c r="VDH584" s="141"/>
      <c r="VDI584" s="141"/>
      <c r="VDJ584" s="141"/>
      <c r="VDK584" s="141"/>
      <c r="VDL584" s="141"/>
      <c r="VDM584" s="141"/>
      <c r="VDN584" s="141"/>
      <c r="VDO584" s="141"/>
      <c r="VDP584" s="141"/>
      <c r="VDQ584" s="141"/>
      <c r="VDR584" s="141"/>
      <c r="VDS584" s="141"/>
      <c r="VDT584" s="141"/>
      <c r="VDU584" s="141"/>
      <c r="VDV584" s="141"/>
      <c r="VDW584" s="141"/>
      <c r="VDX584" s="141"/>
      <c r="VDY584" s="141"/>
      <c r="VDZ584" s="141"/>
      <c r="VEA584" s="141"/>
      <c r="VEB584" s="141"/>
      <c r="VEC584" s="141"/>
      <c r="VED584" s="141"/>
      <c r="VEE584" s="141"/>
      <c r="VEF584" s="141"/>
      <c r="VEG584" s="141"/>
      <c r="VEH584" s="141"/>
      <c r="VEI584" s="141"/>
      <c r="VEJ584" s="141"/>
      <c r="VEK584" s="141"/>
      <c r="VEL584" s="141"/>
      <c r="VEM584" s="141"/>
      <c r="VEN584" s="141"/>
      <c r="VEO584" s="141"/>
      <c r="VEP584" s="141"/>
      <c r="VEQ584" s="141"/>
      <c r="VER584" s="141"/>
      <c r="VES584" s="141"/>
      <c r="VET584" s="141"/>
      <c r="VEU584" s="141"/>
      <c r="VEV584" s="141"/>
      <c r="VEW584" s="141"/>
      <c r="VEX584" s="141"/>
      <c r="VEY584" s="141"/>
      <c r="VEZ584" s="141"/>
      <c r="VFA584" s="141"/>
      <c r="VFB584" s="141"/>
      <c r="VFC584" s="141"/>
      <c r="VFD584" s="141"/>
      <c r="VFE584" s="141"/>
      <c r="VFF584" s="141"/>
      <c r="VFG584" s="141"/>
      <c r="VFH584" s="141"/>
      <c r="VFI584" s="141"/>
      <c r="VFJ584" s="141"/>
      <c r="VFK584" s="141"/>
      <c r="VFL584" s="141"/>
      <c r="VFM584" s="141"/>
      <c r="VFN584" s="141"/>
      <c r="VFO584" s="141"/>
      <c r="VFP584" s="141"/>
      <c r="VFQ584" s="141"/>
      <c r="VFR584" s="141"/>
      <c r="VFS584" s="141"/>
      <c r="VFT584" s="141"/>
      <c r="VFU584" s="141"/>
      <c r="VFV584" s="141"/>
      <c r="VFW584" s="141"/>
      <c r="VFX584" s="141"/>
      <c r="VFY584" s="141"/>
      <c r="VFZ584" s="141"/>
      <c r="VGA584" s="141"/>
      <c r="VGB584" s="141"/>
      <c r="VGC584" s="141"/>
      <c r="VGD584" s="141"/>
      <c r="VGE584" s="141"/>
      <c r="VGF584" s="141"/>
      <c r="VGG584" s="141"/>
      <c r="VGH584" s="141"/>
      <c r="VGI584" s="141"/>
      <c r="VGJ584" s="141"/>
      <c r="VGK584" s="141"/>
      <c r="VGL584" s="141"/>
      <c r="VGM584" s="141"/>
      <c r="VGN584" s="141"/>
      <c r="VGO584" s="141"/>
      <c r="VGP584" s="141"/>
      <c r="VGQ584" s="141"/>
      <c r="VGR584" s="141"/>
      <c r="VGS584" s="141"/>
      <c r="VGT584" s="141"/>
      <c r="VGU584" s="141"/>
      <c r="VGV584" s="141"/>
      <c r="VGW584" s="141"/>
      <c r="VGX584" s="141"/>
      <c r="VGY584" s="141"/>
      <c r="VGZ584" s="141"/>
      <c r="VHA584" s="141"/>
      <c r="VHB584" s="141"/>
      <c r="VHC584" s="141"/>
      <c r="VHD584" s="141"/>
      <c r="VHE584" s="141"/>
      <c r="VHF584" s="141"/>
      <c r="VHG584" s="141"/>
      <c r="VHH584" s="141"/>
      <c r="VHI584" s="141"/>
      <c r="VHJ584" s="141"/>
      <c r="VHK584" s="141"/>
      <c r="VHL584" s="141"/>
      <c r="VHM584" s="141"/>
      <c r="VHN584" s="141"/>
      <c r="VHO584" s="141"/>
      <c r="VHP584" s="141"/>
      <c r="VHQ584" s="141"/>
      <c r="VHR584" s="141"/>
      <c r="VHS584" s="141"/>
      <c r="VHT584" s="141"/>
      <c r="VHU584" s="141"/>
      <c r="VHV584" s="141"/>
      <c r="VHW584" s="141"/>
      <c r="VHX584" s="141"/>
      <c r="VHY584" s="141"/>
      <c r="VHZ584" s="141"/>
      <c r="VIA584" s="141"/>
      <c r="VIB584" s="141"/>
      <c r="VIC584" s="141"/>
      <c r="VID584" s="141"/>
      <c r="VIE584" s="141"/>
      <c r="VIF584" s="141"/>
      <c r="VIG584" s="141"/>
      <c r="VIH584" s="141"/>
      <c r="VII584" s="141"/>
      <c r="VIJ584" s="141"/>
      <c r="VIK584" s="141"/>
      <c r="VIL584" s="141"/>
      <c r="VIM584" s="141"/>
      <c r="VIN584" s="141"/>
      <c r="VIO584" s="141"/>
      <c r="VIP584" s="141"/>
      <c r="VIQ584" s="141"/>
      <c r="VIR584" s="141"/>
      <c r="VIS584" s="141"/>
      <c r="VIT584" s="141"/>
      <c r="VIU584" s="141"/>
      <c r="VIV584" s="141"/>
      <c r="VIW584" s="141"/>
      <c r="VIX584" s="141"/>
      <c r="VIY584" s="141"/>
      <c r="VIZ584" s="141"/>
      <c r="VJA584" s="141"/>
      <c r="VJB584" s="141"/>
      <c r="VJC584" s="141"/>
      <c r="VJD584" s="141"/>
      <c r="VJE584" s="141"/>
      <c r="VJF584" s="141"/>
      <c r="VJG584" s="141"/>
      <c r="VJH584" s="141"/>
      <c r="VJI584" s="141"/>
      <c r="VJJ584" s="141"/>
      <c r="VJK584" s="141"/>
      <c r="VJL584" s="141"/>
      <c r="VJM584" s="141"/>
      <c r="VJN584" s="141"/>
      <c r="VJO584" s="141"/>
      <c r="VJP584" s="141"/>
      <c r="VJQ584" s="141"/>
      <c r="VJR584" s="141"/>
      <c r="VJS584" s="141"/>
      <c r="VJT584" s="141"/>
      <c r="VJU584" s="141"/>
      <c r="VJV584" s="141"/>
      <c r="VJW584" s="141"/>
      <c r="VJX584" s="141"/>
      <c r="VJY584" s="141"/>
      <c r="VJZ584" s="141"/>
      <c r="VKA584" s="141"/>
      <c r="VKB584" s="141"/>
      <c r="VKC584" s="141"/>
      <c r="VKD584" s="141"/>
      <c r="VKE584" s="141"/>
      <c r="VKF584" s="141"/>
      <c r="VKG584" s="141"/>
      <c r="VKH584" s="141"/>
      <c r="VKI584" s="141"/>
      <c r="VKJ584" s="141"/>
      <c r="VKK584" s="141"/>
      <c r="VKL584" s="141"/>
      <c r="VKM584" s="141"/>
      <c r="VKN584" s="141"/>
      <c r="VKO584" s="141"/>
      <c r="VKP584" s="141"/>
      <c r="VKQ584" s="141"/>
      <c r="VKR584" s="141"/>
      <c r="VKS584" s="141"/>
      <c r="VKT584" s="141"/>
      <c r="VKU584" s="141"/>
      <c r="VKV584" s="141"/>
      <c r="VKW584" s="141"/>
      <c r="VKX584" s="141"/>
      <c r="VKY584" s="141"/>
      <c r="VKZ584" s="141"/>
      <c r="VLA584" s="141"/>
      <c r="VLB584" s="141"/>
      <c r="VLC584" s="141"/>
      <c r="VLD584" s="141"/>
      <c r="VLE584" s="141"/>
      <c r="VLF584" s="141"/>
      <c r="VLG584" s="141"/>
      <c r="VLH584" s="141"/>
      <c r="VLI584" s="141"/>
      <c r="VLJ584" s="141"/>
      <c r="VLK584" s="141"/>
      <c r="VLL584" s="141"/>
      <c r="VLM584" s="141"/>
      <c r="VLN584" s="141"/>
      <c r="VLO584" s="141"/>
      <c r="VLP584" s="141"/>
      <c r="VLQ584" s="141"/>
      <c r="VLR584" s="141"/>
      <c r="VLS584" s="141"/>
      <c r="VLT584" s="141"/>
      <c r="VLU584" s="141"/>
      <c r="VLV584" s="141"/>
      <c r="VLW584" s="141"/>
      <c r="VLX584" s="141"/>
      <c r="VLY584" s="141"/>
      <c r="VLZ584" s="141"/>
      <c r="VMA584" s="141"/>
      <c r="VMB584" s="141"/>
      <c r="VMC584" s="141"/>
      <c r="VMD584" s="141"/>
      <c r="VME584" s="141"/>
      <c r="VMF584" s="141"/>
      <c r="VMG584" s="141"/>
      <c r="VMH584" s="141"/>
      <c r="VMI584" s="141"/>
      <c r="VMJ584" s="141"/>
      <c r="VMK584" s="141"/>
      <c r="VML584" s="141"/>
      <c r="VMM584" s="141"/>
      <c r="VMN584" s="141"/>
      <c r="VMO584" s="141"/>
      <c r="VMP584" s="141"/>
      <c r="VMQ584" s="141"/>
      <c r="VMR584" s="141"/>
      <c r="VMS584" s="141"/>
      <c r="VMT584" s="141"/>
      <c r="VMU584" s="141"/>
      <c r="VMV584" s="141"/>
      <c r="VMW584" s="141"/>
      <c r="VMX584" s="141"/>
      <c r="VMY584" s="141"/>
      <c r="VMZ584" s="141"/>
      <c r="VNA584" s="141"/>
      <c r="VNB584" s="141"/>
      <c r="VNC584" s="141"/>
      <c r="VND584" s="141"/>
      <c r="VNE584" s="141"/>
      <c r="VNF584" s="141"/>
      <c r="VNG584" s="141"/>
      <c r="VNH584" s="141"/>
      <c r="VNI584" s="141"/>
      <c r="VNJ584" s="141"/>
      <c r="VNK584" s="141"/>
      <c r="VNL584" s="141"/>
      <c r="VNM584" s="141"/>
      <c r="VNN584" s="141"/>
      <c r="VNO584" s="141"/>
      <c r="VNP584" s="141"/>
      <c r="VNQ584" s="141"/>
      <c r="VNR584" s="141"/>
      <c r="VNS584" s="141"/>
      <c r="VNT584" s="141"/>
      <c r="VNU584" s="141"/>
      <c r="VNV584" s="141"/>
      <c r="VNW584" s="141"/>
      <c r="VNX584" s="141"/>
      <c r="VNY584" s="141"/>
      <c r="VNZ584" s="141"/>
      <c r="VOA584" s="141"/>
      <c r="VOB584" s="141"/>
      <c r="VOC584" s="141"/>
      <c r="VOD584" s="141"/>
      <c r="VOE584" s="141"/>
      <c r="VOF584" s="141"/>
      <c r="VOG584" s="141"/>
      <c r="VOH584" s="141"/>
      <c r="VOI584" s="141"/>
      <c r="VOJ584" s="141"/>
      <c r="VOK584" s="141"/>
      <c r="VOL584" s="141"/>
      <c r="VOM584" s="141"/>
      <c r="VON584" s="141"/>
      <c r="VOO584" s="141"/>
      <c r="VOP584" s="141"/>
      <c r="VOQ584" s="141"/>
      <c r="VOR584" s="141"/>
      <c r="VOS584" s="141"/>
      <c r="VOT584" s="141"/>
      <c r="VOU584" s="141"/>
      <c r="VOV584" s="141"/>
      <c r="VOW584" s="141"/>
      <c r="VOX584" s="141"/>
      <c r="VOY584" s="141"/>
      <c r="VOZ584" s="141"/>
      <c r="VPA584" s="141"/>
      <c r="VPB584" s="141"/>
      <c r="VPC584" s="141"/>
      <c r="VPD584" s="141"/>
      <c r="VPE584" s="141"/>
      <c r="VPF584" s="141"/>
      <c r="VPG584" s="141"/>
      <c r="VPH584" s="141"/>
      <c r="VPI584" s="141"/>
      <c r="VPJ584" s="141"/>
      <c r="VPK584" s="141"/>
      <c r="VPL584" s="141"/>
      <c r="VPM584" s="141"/>
      <c r="VPN584" s="141"/>
      <c r="VPO584" s="141"/>
      <c r="VPP584" s="141"/>
      <c r="VPQ584" s="141"/>
      <c r="VPR584" s="141"/>
      <c r="VPS584" s="141"/>
      <c r="VPT584" s="141"/>
      <c r="VPU584" s="141"/>
      <c r="VPV584" s="141"/>
      <c r="VPW584" s="141"/>
      <c r="VPX584" s="141"/>
      <c r="VPY584" s="141"/>
      <c r="VPZ584" s="141"/>
      <c r="VQA584" s="141"/>
      <c r="VQB584" s="141"/>
      <c r="VQC584" s="141"/>
      <c r="VQD584" s="141"/>
      <c r="VQE584" s="141"/>
      <c r="VQF584" s="141"/>
      <c r="VQG584" s="141"/>
      <c r="VQH584" s="141"/>
      <c r="VQI584" s="141"/>
      <c r="VQJ584" s="141"/>
      <c r="VQK584" s="141"/>
      <c r="VQL584" s="141"/>
      <c r="VQM584" s="141"/>
      <c r="VQN584" s="141"/>
      <c r="VQO584" s="141"/>
      <c r="VQP584" s="141"/>
      <c r="VQQ584" s="141"/>
      <c r="VQR584" s="141"/>
      <c r="VQS584" s="141"/>
      <c r="VQT584" s="141"/>
      <c r="VQU584" s="141"/>
      <c r="VQV584" s="141"/>
      <c r="VQW584" s="141"/>
      <c r="VQX584" s="141"/>
      <c r="VQY584" s="141"/>
      <c r="VQZ584" s="141"/>
      <c r="VRA584" s="141"/>
      <c r="VRB584" s="141"/>
      <c r="VRC584" s="141"/>
      <c r="VRD584" s="141"/>
      <c r="VRE584" s="141"/>
      <c r="VRF584" s="141"/>
      <c r="VRG584" s="141"/>
      <c r="VRH584" s="141"/>
      <c r="VRI584" s="141"/>
      <c r="VRJ584" s="141"/>
      <c r="VRK584" s="141"/>
      <c r="VRL584" s="141"/>
      <c r="VRM584" s="141"/>
      <c r="VRN584" s="141"/>
      <c r="VRO584" s="141"/>
      <c r="VRP584" s="141"/>
      <c r="VRQ584" s="141"/>
      <c r="VRR584" s="141"/>
      <c r="VRS584" s="141"/>
      <c r="VRT584" s="141"/>
      <c r="VRU584" s="141"/>
      <c r="VRV584" s="141"/>
      <c r="VRW584" s="141"/>
      <c r="VRX584" s="141"/>
      <c r="VRY584" s="141"/>
      <c r="VRZ584" s="141"/>
      <c r="VSA584" s="141"/>
      <c r="VSB584" s="141"/>
      <c r="VSC584" s="141"/>
      <c r="VSD584" s="141"/>
      <c r="VSE584" s="141"/>
      <c r="VSF584" s="141"/>
      <c r="VSG584" s="141"/>
      <c r="VSH584" s="141"/>
      <c r="VSI584" s="141"/>
      <c r="VSJ584" s="141"/>
      <c r="VSK584" s="141"/>
      <c r="VSL584" s="141"/>
      <c r="VSM584" s="141"/>
      <c r="VSN584" s="141"/>
      <c r="VSO584" s="141"/>
      <c r="VSP584" s="141"/>
      <c r="VSQ584" s="141"/>
      <c r="VSR584" s="141"/>
      <c r="VSS584" s="141"/>
      <c r="VST584" s="141"/>
      <c r="VSU584" s="141"/>
      <c r="VSV584" s="141"/>
      <c r="VSW584" s="141"/>
      <c r="VSX584" s="141"/>
      <c r="VSY584" s="141"/>
      <c r="VSZ584" s="141"/>
      <c r="VTA584" s="141"/>
      <c r="VTB584" s="141"/>
      <c r="VTC584" s="141"/>
      <c r="VTD584" s="141"/>
      <c r="VTE584" s="141"/>
      <c r="VTF584" s="141"/>
      <c r="VTG584" s="141"/>
      <c r="VTH584" s="141"/>
      <c r="VTI584" s="141"/>
      <c r="VTJ584" s="141"/>
      <c r="VTK584" s="141"/>
      <c r="VTL584" s="141"/>
      <c r="VTM584" s="141"/>
      <c r="VTN584" s="141"/>
      <c r="VTO584" s="141"/>
      <c r="VTP584" s="141"/>
      <c r="VTQ584" s="141"/>
      <c r="VTR584" s="141"/>
      <c r="VTS584" s="141"/>
      <c r="VTT584" s="141"/>
      <c r="VTU584" s="141"/>
      <c r="VTV584" s="141"/>
      <c r="VTW584" s="141"/>
      <c r="VTX584" s="141"/>
      <c r="VTY584" s="141"/>
      <c r="VTZ584" s="141"/>
      <c r="VUA584" s="141"/>
      <c r="VUB584" s="141"/>
      <c r="VUC584" s="141"/>
      <c r="VUD584" s="141"/>
      <c r="VUE584" s="141"/>
      <c r="VUF584" s="141"/>
      <c r="VUG584" s="141"/>
      <c r="VUH584" s="141"/>
      <c r="VUI584" s="141"/>
      <c r="VUJ584" s="141"/>
      <c r="VUK584" s="141"/>
      <c r="VUL584" s="141"/>
      <c r="VUM584" s="141"/>
      <c r="VUN584" s="141"/>
      <c r="VUO584" s="141"/>
      <c r="VUP584" s="141"/>
      <c r="VUQ584" s="141"/>
      <c r="VUR584" s="141"/>
      <c r="VUS584" s="141"/>
      <c r="VUT584" s="141"/>
      <c r="VUU584" s="141"/>
      <c r="VUV584" s="141"/>
      <c r="VUW584" s="141"/>
      <c r="VUX584" s="141"/>
      <c r="VUY584" s="141"/>
      <c r="VUZ584" s="141"/>
      <c r="VVA584" s="141"/>
      <c r="VVB584" s="141"/>
      <c r="VVC584" s="141"/>
      <c r="VVD584" s="141"/>
      <c r="VVE584" s="141"/>
      <c r="VVF584" s="141"/>
      <c r="VVG584" s="141"/>
      <c r="VVH584" s="141"/>
      <c r="VVI584" s="141"/>
      <c r="VVJ584" s="141"/>
      <c r="VVK584" s="141"/>
      <c r="VVL584" s="141"/>
      <c r="VVM584" s="141"/>
      <c r="VVN584" s="141"/>
      <c r="VVO584" s="141"/>
      <c r="VVP584" s="141"/>
      <c r="VVQ584" s="141"/>
      <c r="VVR584" s="141"/>
      <c r="VVS584" s="141"/>
      <c r="VVT584" s="141"/>
      <c r="VVU584" s="141"/>
      <c r="VVV584" s="141"/>
      <c r="VVW584" s="141"/>
      <c r="VVX584" s="141"/>
      <c r="VVY584" s="141"/>
      <c r="VVZ584" s="141"/>
      <c r="VWA584" s="141"/>
      <c r="VWB584" s="141"/>
      <c r="VWC584" s="141"/>
      <c r="VWD584" s="141"/>
      <c r="VWE584" s="141"/>
      <c r="VWF584" s="141"/>
      <c r="VWG584" s="141"/>
      <c r="VWH584" s="141"/>
      <c r="VWI584" s="141"/>
      <c r="VWJ584" s="141"/>
      <c r="VWK584" s="141"/>
      <c r="VWL584" s="141"/>
      <c r="VWM584" s="141"/>
      <c r="VWN584" s="141"/>
      <c r="VWO584" s="141"/>
      <c r="VWP584" s="141"/>
      <c r="VWQ584" s="141"/>
      <c r="VWR584" s="141"/>
      <c r="VWS584" s="141"/>
      <c r="VWT584" s="141"/>
      <c r="VWU584" s="141"/>
      <c r="VWV584" s="141"/>
      <c r="VWW584" s="141"/>
      <c r="VWX584" s="141"/>
      <c r="VWY584" s="141"/>
      <c r="VWZ584" s="141"/>
      <c r="VXA584" s="141"/>
      <c r="VXB584" s="141"/>
      <c r="VXC584" s="141"/>
      <c r="VXD584" s="141"/>
      <c r="VXE584" s="141"/>
      <c r="VXF584" s="141"/>
      <c r="VXG584" s="141"/>
      <c r="VXH584" s="141"/>
      <c r="VXI584" s="141"/>
      <c r="VXJ584" s="141"/>
      <c r="VXK584" s="141"/>
      <c r="VXL584" s="141"/>
      <c r="VXM584" s="141"/>
      <c r="VXN584" s="141"/>
      <c r="VXO584" s="141"/>
      <c r="VXP584" s="141"/>
      <c r="VXQ584" s="141"/>
      <c r="VXR584" s="141"/>
      <c r="VXS584" s="141"/>
      <c r="VXT584" s="141"/>
      <c r="VXU584" s="141"/>
      <c r="VXV584" s="141"/>
      <c r="VXW584" s="141"/>
      <c r="VXX584" s="141"/>
      <c r="VXY584" s="141"/>
      <c r="VXZ584" s="141"/>
      <c r="VYA584" s="141"/>
      <c r="VYB584" s="141"/>
      <c r="VYC584" s="141"/>
      <c r="VYD584" s="141"/>
      <c r="VYE584" s="141"/>
      <c r="VYF584" s="141"/>
      <c r="VYG584" s="141"/>
      <c r="VYH584" s="141"/>
      <c r="VYI584" s="141"/>
      <c r="VYJ584" s="141"/>
      <c r="VYK584" s="141"/>
      <c r="VYL584" s="141"/>
      <c r="VYM584" s="141"/>
      <c r="VYN584" s="141"/>
      <c r="VYO584" s="141"/>
      <c r="VYP584" s="141"/>
      <c r="VYQ584" s="141"/>
      <c r="VYR584" s="141"/>
      <c r="VYS584" s="141"/>
      <c r="VYT584" s="141"/>
      <c r="VYU584" s="141"/>
      <c r="VYV584" s="141"/>
      <c r="VYW584" s="141"/>
      <c r="VYX584" s="141"/>
      <c r="VYY584" s="141"/>
      <c r="VYZ584" s="141"/>
      <c r="VZA584" s="141"/>
      <c r="VZB584" s="141"/>
      <c r="VZC584" s="141"/>
      <c r="VZD584" s="141"/>
      <c r="VZE584" s="141"/>
      <c r="VZF584" s="141"/>
      <c r="VZG584" s="141"/>
      <c r="VZH584" s="141"/>
      <c r="VZI584" s="141"/>
      <c r="VZJ584" s="141"/>
      <c r="VZK584" s="141"/>
      <c r="VZL584" s="141"/>
      <c r="VZM584" s="141"/>
      <c r="VZN584" s="141"/>
      <c r="VZO584" s="141"/>
      <c r="VZP584" s="141"/>
      <c r="VZQ584" s="141"/>
      <c r="VZR584" s="141"/>
      <c r="VZS584" s="141"/>
      <c r="VZT584" s="141"/>
      <c r="VZU584" s="141"/>
      <c r="VZV584" s="141"/>
      <c r="VZW584" s="141"/>
      <c r="VZX584" s="141"/>
      <c r="VZY584" s="141"/>
      <c r="VZZ584" s="141"/>
      <c r="WAA584" s="141"/>
      <c r="WAB584" s="141"/>
      <c r="WAC584" s="141"/>
      <c r="WAD584" s="141"/>
      <c r="WAE584" s="141"/>
      <c r="WAF584" s="141"/>
      <c r="WAG584" s="141"/>
      <c r="WAH584" s="141"/>
      <c r="WAI584" s="141"/>
      <c r="WAJ584" s="141"/>
      <c r="WAK584" s="141"/>
      <c r="WAL584" s="141"/>
      <c r="WAM584" s="141"/>
      <c r="WAN584" s="141"/>
      <c r="WAO584" s="141"/>
      <c r="WAP584" s="141"/>
      <c r="WAQ584" s="141"/>
      <c r="WAR584" s="141"/>
      <c r="WAS584" s="141"/>
      <c r="WAT584" s="141"/>
      <c r="WAU584" s="141"/>
      <c r="WAV584" s="141"/>
      <c r="WAW584" s="141"/>
      <c r="WAX584" s="141"/>
      <c r="WAY584" s="141"/>
      <c r="WAZ584" s="141"/>
      <c r="WBA584" s="141"/>
      <c r="WBB584" s="141"/>
      <c r="WBC584" s="141"/>
      <c r="WBD584" s="141"/>
      <c r="WBE584" s="141"/>
      <c r="WBF584" s="141"/>
      <c r="WBG584" s="141"/>
      <c r="WBH584" s="141"/>
      <c r="WBI584" s="141"/>
      <c r="WBJ584" s="141"/>
      <c r="WBK584" s="141"/>
      <c r="WBL584" s="141"/>
      <c r="WBM584" s="141"/>
      <c r="WBN584" s="141"/>
      <c r="WBO584" s="141"/>
      <c r="WBP584" s="141"/>
      <c r="WBQ584" s="141"/>
      <c r="WBR584" s="141"/>
      <c r="WBS584" s="141"/>
      <c r="WBT584" s="141"/>
      <c r="WBU584" s="141"/>
      <c r="WBV584" s="141"/>
      <c r="WBW584" s="141"/>
      <c r="WBX584" s="141"/>
      <c r="WBY584" s="141"/>
      <c r="WBZ584" s="141"/>
      <c r="WCA584" s="141"/>
      <c r="WCB584" s="141"/>
      <c r="WCC584" s="141"/>
      <c r="WCD584" s="141"/>
      <c r="WCE584" s="141"/>
      <c r="WCF584" s="141"/>
      <c r="WCG584" s="141"/>
      <c r="WCH584" s="141"/>
      <c r="WCI584" s="141"/>
      <c r="WCJ584" s="141"/>
      <c r="WCK584" s="141"/>
      <c r="WCL584" s="141"/>
      <c r="WCM584" s="141"/>
      <c r="WCN584" s="141"/>
      <c r="WCO584" s="141"/>
      <c r="WCP584" s="141"/>
      <c r="WCQ584" s="141"/>
      <c r="WCR584" s="141"/>
      <c r="WCS584" s="141"/>
      <c r="WCT584" s="141"/>
      <c r="WCU584" s="141"/>
      <c r="WCV584" s="141"/>
      <c r="WCW584" s="141"/>
      <c r="WCX584" s="141"/>
      <c r="WCY584" s="141"/>
      <c r="WCZ584" s="141"/>
      <c r="WDA584" s="141"/>
      <c r="WDB584" s="141"/>
      <c r="WDC584" s="141"/>
      <c r="WDD584" s="141"/>
      <c r="WDE584" s="141"/>
      <c r="WDF584" s="141"/>
      <c r="WDG584" s="141"/>
      <c r="WDH584" s="141"/>
      <c r="WDI584" s="141"/>
      <c r="WDJ584" s="141"/>
      <c r="WDK584" s="141"/>
      <c r="WDL584" s="141"/>
      <c r="WDM584" s="141"/>
      <c r="WDN584" s="141"/>
      <c r="WDO584" s="141"/>
      <c r="WDP584" s="141"/>
      <c r="WDQ584" s="141"/>
      <c r="WDR584" s="141"/>
      <c r="WDS584" s="141"/>
      <c r="WDT584" s="141"/>
      <c r="WDU584" s="141"/>
      <c r="WDV584" s="141"/>
      <c r="WDW584" s="141"/>
      <c r="WDX584" s="141"/>
      <c r="WDY584" s="141"/>
      <c r="WDZ584" s="141"/>
      <c r="WEA584" s="141"/>
      <c r="WEB584" s="141"/>
      <c r="WEC584" s="141"/>
      <c r="WED584" s="141"/>
      <c r="WEE584" s="141"/>
      <c r="WEF584" s="141"/>
      <c r="WEG584" s="141"/>
      <c r="WEH584" s="141"/>
      <c r="WEI584" s="141"/>
      <c r="WEJ584" s="141"/>
      <c r="WEK584" s="141"/>
      <c r="WEL584" s="141"/>
      <c r="WEM584" s="141"/>
      <c r="WEN584" s="141"/>
      <c r="WEO584" s="141"/>
      <c r="WEP584" s="141"/>
      <c r="WEQ584" s="141"/>
      <c r="WER584" s="141"/>
      <c r="WES584" s="141"/>
      <c r="WET584" s="141"/>
      <c r="WEU584" s="141"/>
      <c r="WEV584" s="141"/>
      <c r="WEW584" s="141"/>
      <c r="WEX584" s="141"/>
      <c r="WEY584" s="141"/>
      <c r="WEZ584" s="141"/>
      <c r="WFA584" s="141"/>
      <c r="WFB584" s="141"/>
      <c r="WFC584" s="141"/>
      <c r="WFD584" s="141"/>
      <c r="WFE584" s="141"/>
      <c r="WFF584" s="141"/>
      <c r="WFG584" s="141"/>
      <c r="WFH584" s="141"/>
      <c r="WFI584" s="141"/>
      <c r="WFJ584" s="141"/>
      <c r="WFK584" s="141"/>
      <c r="WFL584" s="141"/>
      <c r="WFM584" s="141"/>
      <c r="WFN584" s="141"/>
      <c r="WFO584" s="141"/>
      <c r="WFP584" s="141"/>
      <c r="WFQ584" s="141"/>
      <c r="WFR584" s="141"/>
      <c r="WFS584" s="141"/>
      <c r="WFT584" s="141"/>
      <c r="WFU584" s="141"/>
      <c r="WFV584" s="141"/>
      <c r="WFW584" s="141"/>
      <c r="WFX584" s="141"/>
      <c r="WFY584" s="141"/>
      <c r="WFZ584" s="141"/>
      <c r="WGA584" s="141"/>
      <c r="WGB584" s="141"/>
      <c r="WGC584" s="141"/>
      <c r="WGD584" s="141"/>
      <c r="WGE584" s="141"/>
      <c r="WGF584" s="141"/>
      <c r="WGG584" s="141"/>
      <c r="WGH584" s="141"/>
      <c r="WGI584" s="141"/>
      <c r="WGJ584" s="141"/>
      <c r="WGK584" s="141"/>
      <c r="WGL584" s="141"/>
      <c r="WGM584" s="141"/>
      <c r="WGN584" s="141"/>
      <c r="WGO584" s="141"/>
      <c r="WGP584" s="141"/>
      <c r="WGQ584" s="141"/>
      <c r="WGR584" s="141"/>
      <c r="WGS584" s="141"/>
      <c r="WGT584" s="141"/>
      <c r="WGU584" s="141"/>
      <c r="WGV584" s="141"/>
      <c r="WGW584" s="141"/>
      <c r="WGX584" s="141"/>
      <c r="WGY584" s="141"/>
      <c r="WGZ584" s="141"/>
      <c r="WHA584" s="141"/>
      <c r="WHB584" s="141"/>
      <c r="WHC584" s="141"/>
      <c r="WHD584" s="141"/>
      <c r="WHE584" s="141"/>
      <c r="WHF584" s="141"/>
      <c r="WHG584" s="141"/>
      <c r="WHH584" s="141"/>
      <c r="WHI584" s="141"/>
      <c r="WHJ584" s="141"/>
      <c r="WHK584" s="141"/>
      <c r="WHL584" s="141"/>
      <c r="WHM584" s="141"/>
      <c r="WHN584" s="141"/>
      <c r="WHO584" s="141"/>
      <c r="WHP584" s="141"/>
      <c r="WHQ584" s="141"/>
      <c r="WHR584" s="141"/>
      <c r="WHS584" s="141"/>
      <c r="WHT584" s="141"/>
      <c r="WHU584" s="141"/>
      <c r="WHV584" s="141"/>
      <c r="WHW584" s="141"/>
      <c r="WHX584" s="141"/>
      <c r="WHY584" s="141"/>
      <c r="WHZ584" s="141"/>
      <c r="WIA584" s="141"/>
      <c r="WIB584" s="141"/>
      <c r="WIC584" s="141"/>
      <c r="WID584" s="141"/>
      <c r="WIE584" s="141"/>
      <c r="WIF584" s="141"/>
      <c r="WIG584" s="141"/>
      <c r="WIH584" s="141"/>
      <c r="WII584" s="141"/>
      <c r="WIJ584" s="141"/>
      <c r="WIK584" s="141"/>
      <c r="WIL584" s="141"/>
      <c r="WIM584" s="141"/>
      <c r="WIN584" s="141"/>
      <c r="WIO584" s="141"/>
      <c r="WIP584" s="141"/>
      <c r="WIQ584" s="141"/>
      <c r="WIR584" s="141"/>
      <c r="WIS584" s="141"/>
      <c r="WIT584" s="141"/>
      <c r="WIU584" s="141"/>
      <c r="WIV584" s="141"/>
      <c r="WIW584" s="141"/>
      <c r="WIX584" s="141"/>
      <c r="WIY584" s="141"/>
      <c r="WIZ584" s="141"/>
      <c r="WJA584" s="141"/>
      <c r="WJB584" s="141"/>
      <c r="WJC584" s="141"/>
      <c r="WJD584" s="141"/>
      <c r="WJE584" s="141"/>
      <c r="WJF584" s="141"/>
      <c r="WJG584" s="141"/>
      <c r="WJH584" s="141"/>
      <c r="WJI584" s="141"/>
      <c r="WJJ584" s="141"/>
      <c r="WJK584" s="141"/>
      <c r="WJL584" s="141"/>
      <c r="WJM584" s="141"/>
      <c r="WJN584" s="141"/>
      <c r="WJO584" s="141"/>
      <c r="WJP584" s="141"/>
      <c r="WJQ584" s="141"/>
      <c r="WJR584" s="141"/>
      <c r="WJS584" s="141"/>
      <c r="WJT584" s="141"/>
      <c r="WJU584" s="141"/>
      <c r="WJV584" s="141"/>
      <c r="WJW584" s="141"/>
      <c r="WJX584" s="141"/>
      <c r="WJY584" s="141"/>
      <c r="WJZ584" s="141"/>
      <c r="WKA584" s="141"/>
      <c r="WKB584" s="141"/>
      <c r="WKC584" s="141"/>
      <c r="WKD584" s="141"/>
      <c r="WKE584" s="141"/>
      <c r="WKF584" s="141"/>
      <c r="WKG584" s="141"/>
      <c r="WKH584" s="141"/>
      <c r="WKI584" s="141"/>
      <c r="WKJ584" s="141"/>
      <c r="WKK584" s="141"/>
      <c r="WKL584" s="141"/>
      <c r="WKM584" s="141"/>
      <c r="WKN584" s="141"/>
      <c r="WKO584" s="141"/>
      <c r="WKP584" s="141"/>
      <c r="WKQ584" s="141"/>
      <c r="WKR584" s="141"/>
      <c r="WKS584" s="141"/>
      <c r="WKT584" s="141"/>
      <c r="WKU584" s="141"/>
      <c r="WKV584" s="141"/>
      <c r="WKW584" s="141"/>
      <c r="WKX584" s="141"/>
      <c r="WKY584" s="141"/>
      <c r="WKZ584" s="141"/>
      <c r="WLA584" s="141"/>
      <c r="WLB584" s="141"/>
      <c r="WLC584" s="141"/>
      <c r="WLD584" s="141"/>
      <c r="WLE584" s="141"/>
      <c r="WLF584" s="141"/>
      <c r="WLG584" s="141"/>
      <c r="WLH584" s="141"/>
      <c r="WLI584" s="141"/>
      <c r="WLJ584" s="141"/>
      <c r="WLK584" s="141"/>
      <c r="WLL584" s="141"/>
      <c r="WLM584" s="141"/>
      <c r="WLN584" s="141"/>
      <c r="WLO584" s="141"/>
      <c r="WLP584" s="141"/>
      <c r="WLQ584" s="141"/>
      <c r="WLR584" s="141"/>
      <c r="WLS584" s="141"/>
      <c r="WLT584" s="141"/>
      <c r="WLU584" s="141"/>
      <c r="WLV584" s="141"/>
      <c r="WLW584" s="141"/>
      <c r="WLX584" s="141"/>
      <c r="WLY584" s="141"/>
      <c r="WLZ584" s="141"/>
      <c r="WMA584" s="141"/>
      <c r="WMB584" s="141"/>
      <c r="WMC584" s="141"/>
      <c r="WMD584" s="141"/>
      <c r="WME584" s="141"/>
      <c r="WMF584" s="141"/>
      <c r="WMG584" s="141"/>
      <c r="WMH584" s="141"/>
      <c r="WMI584" s="141"/>
      <c r="WMJ584" s="141"/>
      <c r="WMK584" s="141"/>
      <c r="WML584" s="141"/>
      <c r="WMM584" s="141"/>
      <c r="WMN584" s="141"/>
      <c r="WMO584" s="141"/>
      <c r="WMP584" s="141"/>
      <c r="WMQ584" s="141"/>
      <c r="WMR584" s="141"/>
      <c r="WMS584" s="141"/>
      <c r="WMT584" s="141"/>
      <c r="WMU584" s="141"/>
      <c r="WMV584" s="141"/>
      <c r="WMW584" s="141"/>
      <c r="WMX584" s="141"/>
      <c r="WMY584" s="141"/>
      <c r="WMZ584" s="141"/>
      <c r="WNA584" s="141"/>
      <c r="WNB584" s="141"/>
      <c r="WNC584" s="141"/>
      <c r="WND584" s="141"/>
      <c r="WNE584" s="141"/>
      <c r="WNF584" s="141"/>
      <c r="WNG584" s="141"/>
      <c r="WNH584" s="141"/>
      <c r="WNI584" s="141"/>
      <c r="WNJ584" s="141"/>
      <c r="WNK584" s="141"/>
      <c r="WNL584" s="141"/>
      <c r="WNM584" s="141"/>
      <c r="WNN584" s="141"/>
      <c r="WNO584" s="141"/>
      <c r="WNP584" s="141"/>
      <c r="WNQ584" s="141"/>
      <c r="WNR584" s="141"/>
      <c r="WNS584" s="141"/>
      <c r="WNT584" s="141"/>
      <c r="WNU584" s="141"/>
      <c r="WNV584" s="141"/>
      <c r="WNW584" s="141"/>
      <c r="WNX584" s="141"/>
      <c r="WNY584" s="141"/>
      <c r="WNZ584" s="141"/>
      <c r="WOA584" s="141"/>
      <c r="WOB584" s="141"/>
      <c r="WOC584" s="141"/>
      <c r="WOD584" s="141"/>
      <c r="WOE584" s="141"/>
      <c r="WOF584" s="141"/>
      <c r="WOG584" s="141"/>
      <c r="WOH584" s="141"/>
      <c r="WOI584" s="141"/>
      <c r="WOJ584" s="141"/>
      <c r="WOK584" s="141"/>
      <c r="WOL584" s="141"/>
      <c r="WOM584" s="141"/>
      <c r="WON584" s="141"/>
      <c r="WOO584" s="141"/>
      <c r="WOP584" s="141"/>
      <c r="WOQ584" s="141"/>
      <c r="WOR584" s="141"/>
      <c r="WOS584" s="141"/>
      <c r="WOT584" s="141"/>
      <c r="WOU584" s="141"/>
      <c r="WOV584" s="141"/>
      <c r="WOW584" s="141"/>
      <c r="WOX584" s="141"/>
      <c r="WOY584" s="141"/>
      <c r="WOZ584" s="141"/>
      <c r="WPA584" s="141"/>
      <c r="WPB584" s="141"/>
      <c r="WPC584" s="141"/>
      <c r="WPD584" s="141"/>
      <c r="WPE584" s="141"/>
      <c r="WPF584" s="141"/>
      <c r="WPG584" s="141"/>
      <c r="WPH584" s="141"/>
      <c r="WPI584" s="141"/>
      <c r="WPJ584" s="141"/>
      <c r="WPK584" s="141"/>
      <c r="WPL584" s="141"/>
      <c r="WPM584" s="141"/>
      <c r="WPN584" s="141"/>
      <c r="WPO584" s="141"/>
      <c r="WPP584" s="141"/>
      <c r="WPQ584" s="141"/>
      <c r="WPR584" s="141"/>
      <c r="WPS584" s="141"/>
      <c r="WPT584" s="141"/>
      <c r="WPU584" s="141"/>
      <c r="WPV584" s="141"/>
      <c r="WPW584" s="141"/>
      <c r="WPX584" s="141"/>
      <c r="WPY584" s="141"/>
      <c r="WPZ584" s="141"/>
      <c r="WQA584" s="141"/>
      <c r="WQB584" s="141"/>
      <c r="WQC584" s="141"/>
      <c r="WQD584" s="141"/>
      <c r="WQE584" s="141"/>
      <c r="WQF584" s="141"/>
      <c r="WQG584" s="141"/>
      <c r="WQH584" s="141"/>
      <c r="WQI584" s="141"/>
      <c r="WQJ584" s="141"/>
      <c r="WQK584" s="141"/>
      <c r="WQL584" s="141"/>
      <c r="WQM584" s="141"/>
      <c r="WQN584" s="141"/>
      <c r="WQO584" s="141"/>
      <c r="WQP584" s="141"/>
      <c r="WQQ584" s="141"/>
      <c r="WQR584" s="141"/>
      <c r="WQS584" s="141"/>
      <c r="WQT584" s="141"/>
      <c r="WQU584" s="141"/>
      <c r="WQV584" s="141"/>
      <c r="WQW584" s="141"/>
      <c r="WQX584" s="141"/>
      <c r="WQY584" s="141"/>
      <c r="WQZ584" s="141"/>
      <c r="WRA584" s="141"/>
      <c r="WRB584" s="141"/>
      <c r="WRC584" s="141"/>
      <c r="WRD584" s="141"/>
      <c r="WRE584" s="141"/>
      <c r="WRF584" s="141"/>
      <c r="WRG584" s="141"/>
      <c r="WRH584" s="141"/>
      <c r="WRI584" s="141"/>
      <c r="WRJ584" s="141"/>
      <c r="WRK584" s="141"/>
      <c r="WRL584" s="141"/>
      <c r="WRM584" s="141"/>
      <c r="WRN584" s="141"/>
      <c r="WRO584" s="141"/>
      <c r="WRP584" s="141"/>
      <c r="WRQ584" s="141"/>
      <c r="WRR584" s="141"/>
      <c r="WRS584" s="141"/>
      <c r="WRT584" s="141"/>
      <c r="WRU584" s="141"/>
      <c r="WRV584" s="141"/>
      <c r="WRW584" s="141"/>
      <c r="WRX584" s="141"/>
      <c r="WRY584" s="141"/>
      <c r="WRZ584" s="141"/>
      <c r="WSA584" s="141"/>
      <c r="WSB584" s="141"/>
      <c r="WSC584" s="141"/>
      <c r="WSD584" s="141"/>
      <c r="WSE584" s="141"/>
      <c r="WSF584" s="141"/>
      <c r="WSG584" s="141"/>
      <c r="WSH584" s="141"/>
      <c r="WSI584" s="141"/>
      <c r="WSJ584" s="141"/>
      <c r="WSK584" s="141"/>
      <c r="WSL584" s="141"/>
      <c r="WSM584" s="141"/>
      <c r="WSN584" s="141"/>
      <c r="WSO584" s="141"/>
      <c r="WSP584" s="141"/>
      <c r="WSQ584" s="141"/>
      <c r="WSR584" s="141"/>
      <c r="WSS584" s="141"/>
      <c r="WST584" s="141"/>
      <c r="WSU584" s="141"/>
      <c r="WSV584" s="141"/>
      <c r="WSW584" s="141"/>
      <c r="WSX584" s="141"/>
      <c r="WSY584" s="141"/>
      <c r="WSZ584" s="141"/>
      <c r="WTA584" s="141"/>
      <c r="WTB584" s="141"/>
      <c r="WTC584" s="141"/>
      <c r="WTD584" s="141"/>
      <c r="WTE584" s="141"/>
      <c r="WTF584" s="141"/>
      <c r="WTG584" s="141"/>
      <c r="WTH584" s="141"/>
      <c r="WTI584" s="141"/>
      <c r="WTJ584" s="141"/>
      <c r="WTK584" s="141"/>
      <c r="WTL584" s="141"/>
      <c r="WTM584" s="141"/>
      <c r="WTN584" s="141"/>
      <c r="WTO584" s="141"/>
      <c r="WTP584" s="141"/>
      <c r="WTQ584" s="141"/>
      <c r="WTR584" s="141"/>
      <c r="WTS584" s="141"/>
      <c r="WTT584" s="141"/>
      <c r="WTU584" s="141"/>
      <c r="WTV584" s="141"/>
      <c r="WTW584" s="141"/>
      <c r="WTX584" s="141"/>
      <c r="WTY584" s="141"/>
      <c r="WTZ584" s="141"/>
      <c r="WUA584" s="141"/>
      <c r="WUB584" s="141"/>
      <c r="WUC584" s="141"/>
      <c r="WUD584" s="141"/>
      <c r="WUE584" s="141"/>
      <c r="WUF584" s="141"/>
      <c r="WUG584" s="141"/>
      <c r="WUH584" s="141"/>
      <c r="WUI584" s="141"/>
      <c r="WUJ584" s="141"/>
      <c r="WUK584" s="141"/>
      <c r="WUL584" s="141"/>
      <c r="WUM584" s="141"/>
      <c r="WUN584" s="141"/>
      <c r="WUO584" s="141"/>
      <c r="WUP584" s="141"/>
      <c r="WUQ584" s="141"/>
      <c r="WUR584" s="141"/>
      <c r="WUS584" s="141"/>
      <c r="WUT584" s="141"/>
      <c r="WUU584" s="141"/>
      <c r="WUV584" s="141"/>
      <c r="WUW584" s="141"/>
      <c r="WUX584" s="141"/>
      <c r="WUY584" s="141"/>
      <c r="WUZ584" s="141"/>
      <c r="WVA584" s="141"/>
      <c r="WVB584" s="141"/>
      <c r="WVC584" s="141"/>
      <c r="WVD584" s="141"/>
      <c r="WVE584" s="141"/>
      <c r="WVF584" s="141"/>
      <c r="WVG584" s="141"/>
      <c r="WVH584" s="141"/>
      <c r="WVI584" s="141"/>
      <c r="WVJ584" s="141"/>
      <c r="WVK584" s="141"/>
      <c r="WVL584" s="141"/>
      <c r="WVM584" s="141"/>
      <c r="WVN584" s="141"/>
      <c r="WVO584" s="141"/>
      <c r="WVP584" s="141"/>
      <c r="WVQ584" s="141"/>
      <c r="WVR584" s="141"/>
      <c r="WVS584" s="141"/>
      <c r="WVT584" s="141"/>
      <c r="WVU584" s="141"/>
      <c r="WVV584" s="141"/>
      <c r="WVW584" s="141"/>
      <c r="WVX584" s="141"/>
      <c r="WVY584" s="141"/>
      <c r="WVZ584" s="141"/>
      <c r="WWA584" s="141"/>
      <c r="WWB584" s="141"/>
      <c r="WWC584" s="141"/>
      <c r="WWD584" s="141"/>
      <c r="WWE584" s="141"/>
      <c r="WWF584" s="141"/>
      <c r="WWG584" s="141"/>
      <c r="WWH584" s="141"/>
      <c r="WWI584" s="141"/>
      <c r="WWJ584" s="141"/>
      <c r="WWK584" s="141"/>
      <c r="WWL584" s="141"/>
      <c r="WWM584" s="141"/>
      <c r="WWN584" s="141"/>
      <c r="WWO584" s="141"/>
      <c r="WWP584" s="141"/>
      <c r="WWQ584" s="141"/>
      <c r="WWR584" s="141"/>
      <c r="WWS584" s="141"/>
      <c r="WWT584" s="141"/>
      <c r="WWU584" s="141"/>
      <c r="WWV584" s="141"/>
      <c r="WWW584" s="141"/>
      <c r="WWX584" s="141"/>
      <c r="WWY584" s="141"/>
      <c r="WWZ584" s="141"/>
      <c r="WXA584" s="141"/>
      <c r="WXB584" s="141"/>
      <c r="WXC584" s="141"/>
      <c r="WXD584" s="141"/>
      <c r="WXE584" s="141"/>
      <c r="WXF584" s="141"/>
      <c r="WXG584" s="141"/>
      <c r="WXH584" s="141"/>
      <c r="WXI584" s="141"/>
      <c r="WXJ584" s="141"/>
      <c r="WXK584" s="141"/>
      <c r="WXL584" s="141"/>
      <c r="WXM584" s="141"/>
      <c r="WXN584" s="141"/>
      <c r="WXO584" s="141"/>
      <c r="WXP584" s="141"/>
      <c r="WXQ584" s="141"/>
      <c r="WXR584" s="141"/>
      <c r="WXS584" s="141"/>
      <c r="WXT584" s="141"/>
      <c r="WXU584" s="141"/>
      <c r="WXV584" s="141"/>
      <c r="WXW584" s="141"/>
      <c r="WXX584" s="141"/>
      <c r="WXY584" s="141"/>
      <c r="WXZ584" s="141"/>
      <c r="WYA584" s="141"/>
      <c r="WYB584" s="141"/>
      <c r="WYC584" s="141"/>
      <c r="WYD584" s="141"/>
      <c r="WYE584" s="141"/>
      <c r="WYF584" s="141"/>
      <c r="WYG584" s="141"/>
      <c r="WYH584" s="141"/>
      <c r="WYI584" s="141"/>
      <c r="WYJ584" s="141"/>
      <c r="WYK584" s="141"/>
      <c r="WYL584" s="141"/>
      <c r="WYM584" s="141"/>
      <c r="WYN584" s="141"/>
      <c r="WYO584" s="141"/>
      <c r="WYP584" s="141"/>
      <c r="WYQ584" s="141"/>
      <c r="WYR584" s="141"/>
      <c r="WYS584" s="141"/>
      <c r="WYT584" s="141"/>
      <c r="WYU584" s="141"/>
      <c r="WYV584" s="141"/>
      <c r="WYW584" s="141"/>
      <c r="WYX584" s="141"/>
      <c r="WYY584" s="141"/>
      <c r="WYZ584" s="141"/>
      <c r="WZA584" s="141"/>
      <c r="WZB584" s="141"/>
      <c r="WZC584" s="141"/>
      <c r="WZD584" s="141"/>
      <c r="WZE584" s="141"/>
      <c r="WZF584" s="141"/>
      <c r="WZG584" s="141"/>
      <c r="WZH584" s="141"/>
      <c r="WZI584" s="141"/>
      <c r="WZJ584" s="141"/>
      <c r="WZK584" s="141"/>
      <c r="WZL584" s="141"/>
      <c r="WZM584" s="141"/>
      <c r="WZN584" s="141"/>
      <c r="WZO584" s="141"/>
      <c r="WZP584" s="141"/>
      <c r="WZQ584" s="141"/>
      <c r="WZR584" s="141"/>
      <c r="WZS584" s="141"/>
      <c r="WZT584" s="141"/>
      <c r="WZU584" s="141"/>
      <c r="WZV584" s="141"/>
      <c r="WZW584" s="141"/>
      <c r="WZX584" s="141"/>
      <c r="WZY584" s="141"/>
      <c r="WZZ584" s="141"/>
      <c r="XAA584" s="141"/>
      <c r="XAB584" s="141"/>
      <c r="XAC584" s="141"/>
      <c r="XAD584" s="141"/>
      <c r="XAE584" s="141"/>
      <c r="XAF584" s="141"/>
      <c r="XAG584" s="141"/>
      <c r="XAH584" s="141"/>
      <c r="XAI584" s="141"/>
      <c r="XAJ584" s="141"/>
      <c r="XAK584" s="141"/>
      <c r="XAL584" s="141"/>
      <c r="XAM584" s="141"/>
      <c r="XAN584" s="141"/>
      <c r="XAO584" s="141"/>
      <c r="XAP584" s="141"/>
      <c r="XAQ584" s="141"/>
      <c r="XAR584" s="141"/>
      <c r="XAS584" s="141"/>
      <c r="XAT584" s="141"/>
      <c r="XAU584" s="141"/>
      <c r="XAV584" s="141"/>
      <c r="XAW584" s="141"/>
      <c r="XAX584" s="141"/>
      <c r="XAY584" s="141"/>
      <c r="XAZ584" s="141"/>
      <c r="XBA584" s="141"/>
      <c r="XBB584" s="141"/>
      <c r="XBC584" s="141"/>
      <c r="XBD584" s="141"/>
      <c r="XBE584" s="141"/>
      <c r="XBF584" s="141"/>
      <c r="XBG584" s="141"/>
      <c r="XBH584" s="141"/>
      <c r="XBI584" s="141"/>
      <c r="XBJ584" s="141"/>
      <c r="XBK584" s="141"/>
      <c r="XBL584" s="141"/>
      <c r="XBM584" s="141"/>
      <c r="XBN584" s="141"/>
      <c r="XBO584" s="141"/>
      <c r="XBP584" s="141"/>
      <c r="XBQ584" s="141"/>
      <c r="XBR584" s="141"/>
      <c r="XBS584" s="141"/>
      <c r="XBT584" s="141"/>
      <c r="XBU584" s="141"/>
      <c r="XBV584" s="141"/>
      <c r="XBW584" s="141"/>
      <c r="XBX584" s="141"/>
      <c r="XBY584" s="141"/>
      <c r="XBZ584" s="141"/>
      <c r="XCA584" s="141"/>
      <c r="XCB584" s="141"/>
      <c r="XCC584" s="141"/>
      <c r="XCD584" s="141"/>
      <c r="XCE584" s="141"/>
      <c r="XCF584" s="141"/>
      <c r="XCG584" s="141"/>
      <c r="XCH584" s="141"/>
      <c r="XCI584" s="141"/>
      <c r="XCJ584" s="141"/>
      <c r="XCK584" s="141"/>
      <c r="XCL584" s="141"/>
      <c r="XCM584" s="141"/>
      <c r="XCN584" s="141"/>
      <c r="XCO584" s="141"/>
      <c r="XCP584" s="141"/>
      <c r="XCQ584" s="141"/>
      <c r="XCR584" s="141"/>
      <c r="XCS584" s="141"/>
      <c r="XCT584" s="141"/>
      <c r="XCU584" s="141"/>
      <c r="XCV584" s="141"/>
      <c r="XCW584" s="141"/>
      <c r="XCX584" s="141"/>
      <c r="XCY584" s="141"/>
      <c r="XCZ584" s="141"/>
      <c r="XDA584" s="141"/>
      <c r="XDB584" s="141"/>
      <c r="XDC584" s="141"/>
      <c r="XDD584" s="141"/>
      <c r="XDE584" s="141"/>
      <c r="XDF584" s="141"/>
      <c r="XDG584" s="141"/>
      <c r="XDH584" s="141"/>
      <c r="XDI584" s="141"/>
      <c r="XDJ584" s="141"/>
      <c r="XDK584" s="141"/>
      <c r="XDL584" s="141"/>
      <c r="XDM584" s="141"/>
      <c r="XDN584" s="141"/>
      <c r="XDO584" s="141"/>
      <c r="XDP584" s="141"/>
      <c r="XDQ584" s="141"/>
      <c r="XDR584" s="141"/>
      <c r="XDS584" s="141"/>
      <c r="XDT584" s="141"/>
      <c r="XDU584" s="141"/>
      <c r="XDV584" s="141"/>
      <c r="XDW584" s="141"/>
      <c r="XDX584" s="141"/>
      <c r="XDY584" s="141"/>
      <c r="XDZ584" s="141"/>
      <c r="XEA584" s="141"/>
      <c r="XEB584" s="141"/>
      <c r="XEC584" s="141"/>
      <c r="XED584" s="141"/>
      <c r="XEE584" s="141"/>
      <c r="XEF584" s="141"/>
      <c r="XEG584" s="141"/>
      <c r="XEH584" s="141"/>
      <c r="XEI584" s="141"/>
      <c r="XEJ584" s="141"/>
      <c r="XEK584" s="141"/>
      <c r="XEL584" s="141"/>
      <c r="XEM584" s="141"/>
      <c r="XEN584" s="141"/>
      <c r="XEO584" s="141"/>
      <c r="XEP584" s="141"/>
      <c r="XEQ584" s="141"/>
      <c r="XER584" s="141"/>
      <c r="XES584" s="141"/>
      <c r="XET584" s="141"/>
    </row>
    <row r="585" spans="1:16374" s="161" customFormat="1" ht="15" customHeight="1">
      <c r="A585" s="139">
        <v>589</v>
      </c>
      <c r="B585" s="143"/>
      <c r="C585" s="139"/>
      <c r="D585" s="133"/>
      <c r="E585" s="145"/>
      <c r="F585" s="141"/>
      <c r="G585" s="141"/>
      <c r="H585" s="139"/>
      <c r="I585" s="143"/>
      <c r="J585" s="133"/>
      <c r="K585" s="133"/>
      <c r="L585" s="139"/>
      <c r="M585" s="141"/>
      <c r="N585" s="141"/>
      <c r="O585" s="139"/>
      <c r="P585" s="139"/>
      <c r="S585" s="133"/>
      <c r="T585" s="133"/>
      <c r="U585" s="139"/>
      <c r="V585" s="139"/>
      <c r="W585" s="224"/>
    </row>
    <row r="586" spans="1:16374" s="161" customFormat="1" ht="15" customHeight="1">
      <c r="A586" s="139">
        <v>590</v>
      </c>
      <c r="B586" s="143"/>
      <c r="C586" s="139"/>
      <c r="D586" s="133"/>
      <c r="E586" s="145"/>
      <c r="F586" s="141"/>
      <c r="G586" s="141"/>
      <c r="H586" s="139"/>
      <c r="I586" s="143"/>
      <c r="J586" s="133"/>
      <c r="K586" s="133"/>
      <c r="L586" s="139"/>
      <c r="M586" s="141"/>
      <c r="N586" s="141"/>
      <c r="O586" s="139"/>
      <c r="P586" s="139"/>
      <c r="S586" s="133"/>
      <c r="T586" s="133"/>
      <c r="U586" s="139"/>
      <c r="V586" s="139"/>
      <c r="W586" s="224"/>
    </row>
    <row r="587" spans="1:16374" s="161" customFormat="1" ht="15" customHeight="1">
      <c r="A587" s="139">
        <v>591</v>
      </c>
      <c r="B587" s="143"/>
      <c r="C587" s="139"/>
      <c r="D587" s="133"/>
      <c r="E587" s="145"/>
      <c r="F587" s="141"/>
      <c r="G587" s="141"/>
      <c r="H587" s="139"/>
      <c r="I587" s="143"/>
      <c r="J587" s="133"/>
      <c r="K587" s="133"/>
      <c r="L587" s="139"/>
      <c r="M587" s="141"/>
      <c r="N587" s="141"/>
      <c r="O587" s="139"/>
      <c r="P587" s="139"/>
      <c r="S587" s="133"/>
      <c r="T587" s="133"/>
      <c r="U587" s="139"/>
      <c r="V587" s="139"/>
      <c r="W587" s="224"/>
    </row>
    <row r="588" spans="1:16374" ht="15" customHeight="1">
      <c r="A588" s="139">
        <v>592</v>
      </c>
    </row>
    <row r="589" spans="1:16374" ht="15" customHeight="1">
      <c r="A589" s="139">
        <v>593</v>
      </c>
    </row>
    <row r="590" spans="1:16374" ht="15" customHeight="1">
      <c r="A590" s="139">
        <v>594</v>
      </c>
    </row>
    <row r="591" spans="1:16374" ht="15" customHeight="1">
      <c r="A591" s="139">
        <v>595</v>
      </c>
    </row>
    <row r="592" spans="1:16374" ht="15" customHeight="1">
      <c r="A592" s="139">
        <v>596</v>
      </c>
    </row>
    <row r="593" spans="1:1" ht="15" customHeight="1">
      <c r="A593" s="139">
        <v>597</v>
      </c>
    </row>
    <row r="594" spans="1:1" ht="15" customHeight="1">
      <c r="A594" s="139">
        <v>600</v>
      </c>
    </row>
    <row r="595" spans="1:1" ht="15" customHeight="1">
      <c r="A595" s="133">
        <v>601</v>
      </c>
    </row>
    <row r="596" spans="1:1" ht="15" customHeight="1">
      <c r="A596" s="139">
        <v>602</v>
      </c>
    </row>
    <row r="597" spans="1:1" ht="15" customHeight="1">
      <c r="A597" s="133">
        <v>603</v>
      </c>
    </row>
    <row r="598" spans="1:1" ht="15" customHeight="1">
      <c r="A598" s="139">
        <v>604</v>
      </c>
    </row>
    <row r="599" spans="1:1" ht="15" customHeight="1">
      <c r="A599" s="133">
        <v>605</v>
      </c>
    </row>
    <row r="600" spans="1:1" ht="15" customHeight="1">
      <c r="A600" s="139">
        <v>606</v>
      </c>
    </row>
    <row r="601" spans="1:1" ht="15" customHeight="1">
      <c r="A601" s="133">
        <v>607</v>
      </c>
    </row>
    <row r="602" spans="1:1" ht="15" customHeight="1">
      <c r="A602" s="139">
        <v>608</v>
      </c>
    </row>
    <row r="603" spans="1:1" ht="15" customHeight="1">
      <c r="A603" s="133">
        <v>609</v>
      </c>
    </row>
    <row r="604" spans="1:1" ht="15" customHeight="1">
      <c r="A604" s="139">
        <v>610</v>
      </c>
    </row>
    <row r="605" spans="1:1" ht="15" customHeight="1">
      <c r="A605" s="133">
        <v>611</v>
      </c>
    </row>
    <row r="606" spans="1:1" ht="15" customHeight="1">
      <c r="A606" s="139">
        <v>612</v>
      </c>
    </row>
    <row r="607" spans="1:1" ht="15" customHeight="1">
      <c r="A607" s="133">
        <v>613</v>
      </c>
    </row>
    <row r="608" spans="1:1" ht="15" customHeight="1">
      <c r="A608" s="139">
        <v>614</v>
      </c>
    </row>
    <row r="609" spans="1:1" ht="15" customHeight="1">
      <c r="A609" s="133">
        <v>615</v>
      </c>
    </row>
    <row r="610" spans="1:1" ht="15" customHeight="1">
      <c r="A610" s="139">
        <v>616</v>
      </c>
    </row>
    <row r="611" spans="1:1" ht="15" customHeight="1">
      <c r="A611" s="133">
        <v>617</v>
      </c>
    </row>
    <row r="612" spans="1:1" ht="15" customHeight="1">
      <c r="A612" s="139">
        <v>618</v>
      </c>
    </row>
    <row r="613" spans="1:1" ht="15" customHeight="1">
      <c r="A613" s="133">
        <v>619</v>
      </c>
    </row>
    <row r="614" spans="1:1" ht="15" customHeight="1">
      <c r="A614" s="163">
        <v>620</v>
      </c>
    </row>
    <row r="615" spans="1:1" ht="15" customHeight="1">
      <c r="A615" s="139">
        <v>621</v>
      </c>
    </row>
    <row r="616" spans="1:1" ht="15" customHeight="1">
      <c r="A616" s="163">
        <v>622</v>
      </c>
    </row>
    <row r="617" spans="1:1" ht="15" customHeight="1">
      <c r="A617" s="139">
        <v>623</v>
      </c>
    </row>
    <row r="618" spans="1:1" ht="15" customHeight="1">
      <c r="A618" s="163">
        <v>624</v>
      </c>
    </row>
    <row r="619" spans="1:1" ht="15" customHeight="1">
      <c r="A619" s="139">
        <v>625</v>
      </c>
    </row>
    <row r="620" spans="1:1" ht="15" customHeight="1">
      <c r="A620" s="163">
        <v>626</v>
      </c>
    </row>
    <row r="621" spans="1:1" ht="15" customHeight="1">
      <c r="A621" s="139">
        <v>627</v>
      </c>
    </row>
    <row r="622" spans="1:1" ht="15" customHeight="1">
      <c r="A622" s="163">
        <v>628</v>
      </c>
    </row>
    <row r="623" spans="1:1" ht="15" customHeight="1">
      <c r="A623" s="139">
        <v>629</v>
      </c>
    </row>
    <row r="624" spans="1:1" ht="15" customHeight="1">
      <c r="A624" s="163">
        <v>630</v>
      </c>
    </row>
    <row r="625" spans="1:1" ht="15" customHeight="1">
      <c r="A625" s="139">
        <v>631</v>
      </c>
    </row>
    <row r="626" spans="1:1" ht="15" customHeight="1">
      <c r="A626" s="163">
        <v>632</v>
      </c>
    </row>
    <row r="627" spans="1:1" ht="15" customHeight="1">
      <c r="A627" s="139">
        <v>633</v>
      </c>
    </row>
    <row r="628" spans="1:1" ht="15" customHeight="1">
      <c r="A628" s="163">
        <v>634</v>
      </c>
    </row>
    <row r="629" spans="1:1" ht="15" customHeight="1">
      <c r="A629" s="139">
        <v>635</v>
      </c>
    </row>
    <row r="630" spans="1:1" ht="15" customHeight="1">
      <c r="A630" s="163">
        <v>636</v>
      </c>
    </row>
    <row r="631" spans="1:1" ht="15" customHeight="1">
      <c r="A631" s="139">
        <v>637</v>
      </c>
    </row>
    <row r="632" spans="1:1" ht="15" customHeight="1">
      <c r="A632" s="163">
        <v>638</v>
      </c>
    </row>
    <row r="633" spans="1:1" ht="15" customHeight="1">
      <c r="A633" s="139">
        <v>639</v>
      </c>
    </row>
    <row r="634" spans="1:1" ht="15" customHeight="1">
      <c r="A634" s="163">
        <v>640</v>
      </c>
    </row>
    <row r="635" spans="1:1" ht="15" customHeight="1">
      <c r="A635" s="139">
        <v>641</v>
      </c>
    </row>
    <row r="636" spans="1:1" ht="15" customHeight="1">
      <c r="A636" s="163">
        <v>642</v>
      </c>
    </row>
    <row r="663" spans="1:24" ht="45.75">
      <c r="A663" s="139">
        <v>19</v>
      </c>
      <c r="B663" s="139" t="s">
        <v>227</v>
      </c>
      <c r="C663" s="133" t="s">
        <v>2688</v>
      </c>
      <c r="D663" s="133"/>
      <c r="E663" s="145" t="s">
        <v>2689</v>
      </c>
      <c r="F663" s="141" t="s">
        <v>2690</v>
      </c>
      <c r="G663" s="141"/>
      <c r="H663" s="133" t="s">
        <v>268</v>
      </c>
      <c r="I663" s="139" t="s">
        <v>276</v>
      </c>
      <c r="J663" s="133" t="s">
        <v>277</v>
      </c>
      <c r="K663" s="133"/>
      <c r="L663" s="180"/>
      <c r="M663" s="146">
        <v>45637</v>
      </c>
      <c r="N663" s="146">
        <v>45971</v>
      </c>
      <c r="O663" s="139">
        <v>11</v>
      </c>
      <c r="P663" s="139"/>
      <c r="Q663" s="133" t="s">
        <v>176</v>
      </c>
      <c r="R663" s="139" t="s">
        <v>177</v>
      </c>
      <c r="S663" s="162" t="s">
        <v>2691</v>
      </c>
      <c r="T663" s="162"/>
      <c r="U663" s="133">
        <v>100</v>
      </c>
      <c r="V663" s="139"/>
      <c r="W663" s="216"/>
      <c r="X663" s="34"/>
    </row>
  </sheetData>
  <autoFilter ref="A1:AD636" xr:uid="{3C436167-343D-4890-8714-32D3626CD527}">
    <filterColumn colId="12">
      <filters>
        <filter val="07-08-2025"/>
        <filter val="08-07-2026"/>
        <filter val="08-08-2025"/>
        <filter val="09-08-2025"/>
        <filter val="11-08-2025"/>
        <filter val="13-02-2026"/>
        <filter val="13-04-2026"/>
        <filter val="13-05-2026"/>
        <filter val="13-08-2025"/>
        <filter val="13-09-2026"/>
        <filter val="13-12-2025"/>
        <filter val="13-12-2026"/>
        <filter val="14-05-2026"/>
        <filter val="15-01-2026"/>
        <filter val="15-02-2026"/>
        <filter val="15-03-2026"/>
        <filter val="15-04-2026"/>
        <filter val="15-06-2026"/>
        <filter val="15-07-2025"/>
        <filter val="15-08-2026"/>
        <filter val="16-03-2026"/>
        <filter val="16-04-2026"/>
        <filter val="16-05-2026"/>
        <filter val="16-06-2026"/>
        <filter val="16-07-2026"/>
        <filter val="16-09-2026"/>
        <filter val="16-12-2025"/>
        <filter val="17-01-2026"/>
        <filter val="17-02-2026"/>
        <filter val="17-05-2026"/>
        <filter val="17-09-2026"/>
        <filter val="17-12-2025"/>
        <filter val="18-02-2026"/>
        <filter val="18-03-2026"/>
        <filter val="18-12-2025"/>
        <filter val="19-02-2026"/>
        <filter val="19-06-2026"/>
        <filter val="19-12-2025"/>
        <filter val="20-02-2026"/>
        <filter val="20-03-2026"/>
        <filter val="20-07-2026"/>
        <filter val="20-08-2025"/>
        <filter val="21-02-2026"/>
        <filter val="21-03-2026"/>
        <filter val="21-04-2026"/>
        <filter val="22-04-2026"/>
        <filter val="23-03-2026"/>
        <filter val="23-07-2026"/>
        <filter val="23-08-2026"/>
        <filter val="23-09-2026"/>
        <filter val="24-01-2026"/>
        <filter val="24-02-2026"/>
        <filter val="24-05-2026"/>
        <filter val="24-12-2025"/>
        <filter val="25-01-2026"/>
        <filter val="25-02-2026"/>
        <filter val="25-03-2026"/>
        <filter val="25-05-2026"/>
        <filter val="25-06-2026"/>
        <filter val="25-07-2026"/>
        <filter val="25-09-2026"/>
        <filter val="26-02-2026"/>
        <filter val="26-03-2026"/>
        <filter val="26-07-2026"/>
        <filter val="27-01-2026"/>
        <filter val="27-02-2026"/>
        <filter val="27-04-2026"/>
        <filter val="27-05-2026"/>
        <filter val="28-03-2026"/>
        <filter val="28-04-2026"/>
        <filter val="28-07-2026"/>
        <filter val="28-12-2025"/>
        <filter val="28-12-25"/>
        <filter val="29-01-2026"/>
        <filter val="29-04-2027"/>
        <filter val="29-06-2026"/>
        <filter val="29-09-2026"/>
        <filter val="30-01-2026"/>
        <filter val="30-04-2026"/>
        <filter val="30-05-2026"/>
        <filter val="30-06-2026"/>
        <filter val="30-12-2025"/>
        <filter val="31-01-2026"/>
        <filter val="31-03-2026"/>
        <dateGroupItem year="2025" month="9" dateTimeGrouping="month"/>
      </filters>
    </filterColumn>
  </autoFilter>
  <sortState xmlns:xlrd2="http://schemas.microsoft.com/office/spreadsheetml/2017/richdata2" ref="A2:S493">
    <sortCondition ref="A2:A493"/>
  </sortState>
  <dataValidations count="3">
    <dataValidation type="list" allowBlank="1" showInputMessage="1" showErrorMessage="1" sqref="Q1:Q61 Q497:Q544 Q418:Q495 Q416 Q414 Q408:Q409 Q373:Q391 Q356:Q371 Q74:Q353 Q663 Q63:Q72 Q546:Q583" xr:uid="{B2968A1B-20C6-489C-815E-3F4BD61B763D}">
      <formula1>$AD$2:$AD$9</formula1>
    </dataValidation>
    <dataValidation type="list" allowBlank="1" showInputMessage="1" showErrorMessage="1" sqref="Q545" xr:uid="{5F290F76-8ED1-417C-A10F-BA11A927A8BB}">
      <formula1>#REF!</formula1>
    </dataValidation>
    <dataValidation type="list" allowBlank="1" showInputMessage="1" showErrorMessage="1" sqref="Q584" xr:uid="{B0C4BFF4-F873-4DAC-928D-9613746A913D}">
      <formula1>$AC$2:$AC$10</formula1>
    </dataValidation>
  </dataValidations>
  <hyperlinks>
    <hyperlink ref="L41" r:id="rId1" display="tel:+919319775809" xr:uid="{CD730A81-E313-47F6-AC2C-6B268D81C800}"/>
    <hyperlink ref="L64" r:id="rId2" display="tel:+917217720851" xr:uid="{F541FB7C-3145-4B60-9CC6-ED2688BBA16E}"/>
    <hyperlink ref="L409" r:id="rId3" display="tel:+917217720851" xr:uid="{DD689F30-305B-46E7-822B-71AD50F916A4}"/>
  </hyperlinks>
  <pageMargins left="0.7" right="0.7" top="0.75" bottom="0.75" header="0.3" footer="0.3"/>
  <pageSetup paperSize="11" orientation="portrait" horizontalDpi="4294967293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8B65-C6D0-44F7-ABD0-9929D4DE9950}">
  <sheetPr filterMode="1"/>
  <dimension ref="A1:W268"/>
  <sheetViews>
    <sheetView workbookViewId="0">
      <pane xSplit="1" ySplit="1" topLeftCell="B251" activePane="bottomRight" state="frozen"/>
      <selection pane="bottomRight" activeCell="D260" sqref="D260"/>
      <selection pane="bottomLeft" activeCell="D5" sqref="D5"/>
      <selection pane="topRight" activeCell="M1" sqref="M1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style="34" customWidth="1"/>
    <col min="4" max="4" width="31.7109375" style="57" customWidth="1"/>
    <col min="5" max="5" width="32" style="29" customWidth="1"/>
    <col min="6" max="6" width="14.28515625" style="6" customWidth="1"/>
    <col min="7" max="7" width="14.85546875" style="6" customWidth="1"/>
    <col min="8" max="8" width="14.28515625" style="6" customWidth="1"/>
    <col min="9" max="10" width="11.42578125" bestFit="1" customWidth="1"/>
    <col min="11" max="12" width="10.28515625" customWidth="1"/>
    <col min="13" max="14" width="14.28515625" customWidth="1"/>
    <col min="15" max="15" width="24.85546875" customWidth="1"/>
    <col min="16" max="16" width="25.85546875" customWidth="1"/>
    <col min="17" max="17" width="24.7109375" style="143" bestFit="1" customWidth="1"/>
    <col min="18" max="18" width="22.7109375" style="147" customWidth="1"/>
    <col min="19" max="19" width="32.42578125" style="161" customWidth="1"/>
    <col min="21" max="21" width="20.140625" customWidth="1"/>
    <col min="22" max="22" width="41.7109375" bestFit="1" customWidth="1"/>
    <col min="23" max="23" width="11.42578125" bestFit="1" customWidth="1"/>
  </cols>
  <sheetData>
    <row r="1" spans="1:22" s="29" customFormat="1" ht="30.75">
      <c r="A1" s="18" t="s">
        <v>147</v>
      </c>
      <c r="B1" s="18" t="s">
        <v>148</v>
      </c>
      <c r="C1" s="18" t="s">
        <v>149</v>
      </c>
      <c r="D1" s="121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18" t="s">
        <v>159</v>
      </c>
      <c r="J1" s="18" t="s">
        <v>160</v>
      </c>
      <c r="K1" s="18" t="s">
        <v>161</v>
      </c>
      <c r="L1" s="18"/>
      <c r="M1" s="18" t="s">
        <v>162</v>
      </c>
      <c r="N1" s="18"/>
      <c r="O1" s="18" t="s">
        <v>2692</v>
      </c>
      <c r="P1" s="276" t="s">
        <v>164</v>
      </c>
      <c r="Q1" s="131" t="s">
        <v>2693</v>
      </c>
      <c r="R1" s="145"/>
      <c r="S1" s="141"/>
    </row>
    <row r="2" spans="1:22" s="29" customFormat="1" ht="45.75">
      <c r="A2" s="7">
        <v>1</v>
      </c>
      <c r="B2" s="7" t="s">
        <v>2694</v>
      </c>
      <c r="C2" s="118" t="s">
        <v>2695</v>
      </c>
      <c r="D2" s="124" t="s">
        <v>2696</v>
      </c>
      <c r="E2" s="83" t="s">
        <v>2697</v>
      </c>
      <c r="F2" s="109">
        <v>7737177826</v>
      </c>
      <c r="G2" s="49" t="s">
        <v>2698</v>
      </c>
      <c r="H2" s="7" t="s">
        <v>241</v>
      </c>
      <c r="I2" s="8">
        <v>45693</v>
      </c>
      <c r="J2" s="8"/>
      <c r="K2" s="7">
        <v>11</v>
      </c>
      <c r="L2" s="7"/>
      <c r="M2" s="7" t="s">
        <v>176</v>
      </c>
      <c r="N2" s="7"/>
      <c r="O2" s="7"/>
      <c r="P2" s="290" t="s">
        <v>2699</v>
      </c>
      <c r="Q2" s="139" t="s">
        <v>2700</v>
      </c>
      <c r="R2" s="145" t="s">
        <v>2701</v>
      </c>
      <c r="S2" s="198" t="s">
        <v>2702</v>
      </c>
      <c r="T2" s="29">
        <v>100</v>
      </c>
      <c r="U2" s="239" t="s">
        <v>2702</v>
      </c>
    </row>
    <row r="3" spans="1:22" s="29" customFormat="1" ht="45.75" hidden="1">
      <c r="A3" s="7">
        <v>2</v>
      </c>
      <c r="B3" s="7" t="s">
        <v>227</v>
      </c>
      <c r="C3" s="7" t="s">
        <v>2703</v>
      </c>
      <c r="D3" s="15" t="s">
        <v>2704</v>
      </c>
      <c r="E3" s="25" t="s">
        <v>2705</v>
      </c>
      <c r="F3" s="21">
        <v>9818910924</v>
      </c>
      <c r="G3" s="21" t="s">
        <v>2706</v>
      </c>
      <c r="H3" s="7" t="s">
        <v>1124</v>
      </c>
      <c r="I3" s="8">
        <v>45695</v>
      </c>
      <c r="J3" s="8">
        <v>46028</v>
      </c>
      <c r="K3" s="7">
        <v>11</v>
      </c>
      <c r="L3" s="7"/>
      <c r="M3" s="7" t="s">
        <v>195</v>
      </c>
      <c r="N3" s="7"/>
      <c r="O3" s="7"/>
      <c r="P3" s="290" t="s">
        <v>2707</v>
      </c>
      <c r="Q3" s="139" t="s">
        <v>2708</v>
      </c>
      <c r="R3" s="145" t="s">
        <v>2701</v>
      </c>
      <c r="S3" s="141"/>
      <c r="T3" s="29">
        <v>100</v>
      </c>
    </row>
    <row r="4" spans="1:22" s="29" customFormat="1" ht="45.75" hidden="1">
      <c r="A4" s="22">
        <v>3</v>
      </c>
      <c r="B4" s="22" t="s">
        <v>227</v>
      </c>
      <c r="C4" s="7" t="s">
        <v>2709</v>
      </c>
      <c r="D4" s="15" t="s">
        <v>2710</v>
      </c>
      <c r="E4" s="25" t="s">
        <v>2711</v>
      </c>
      <c r="F4" s="22">
        <v>9845678110</v>
      </c>
      <c r="G4" s="21" t="s">
        <v>2712</v>
      </c>
      <c r="H4" s="7" t="s">
        <v>492</v>
      </c>
      <c r="I4" s="27">
        <v>45705</v>
      </c>
      <c r="J4" s="27">
        <v>46038</v>
      </c>
      <c r="K4" s="22">
        <v>11</v>
      </c>
      <c r="L4" s="22"/>
      <c r="M4" s="7" t="s">
        <v>176</v>
      </c>
      <c r="N4" s="7"/>
      <c r="O4" s="22"/>
      <c r="P4" s="291"/>
      <c r="Q4" s="133" t="s">
        <v>2713</v>
      </c>
      <c r="R4" s="145" t="s">
        <v>2701</v>
      </c>
      <c r="S4" s="141" t="s">
        <v>2714</v>
      </c>
      <c r="T4" s="29">
        <v>100</v>
      </c>
    </row>
    <row r="5" spans="1:22" s="29" customFormat="1" ht="45.75">
      <c r="A5" s="22">
        <v>4</v>
      </c>
      <c r="B5" s="22" t="s">
        <v>227</v>
      </c>
      <c r="C5" s="22" t="s">
        <v>2715</v>
      </c>
      <c r="D5" s="121" t="s">
        <v>2716</v>
      </c>
      <c r="E5" s="25" t="s">
        <v>2717</v>
      </c>
      <c r="F5" s="22"/>
      <c r="G5" s="22" t="s">
        <v>2718</v>
      </c>
      <c r="H5" s="7" t="s">
        <v>492</v>
      </c>
      <c r="I5" s="27">
        <v>45705</v>
      </c>
      <c r="J5" s="27"/>
      <c r="K5" s="22">
        <v>11</v>
      </c>
      <c r="L5" s="22"/>
      <c r="M5" s="7" t="s">
        <v>195</v>
      </c>
      <c r="N5" s="7"/>
      <c r="O5" s="22"/>
      <c r="P5" s="291"/>
      <c r="Q5" s="133" t="s">
        <v>2719</v>
      </c>
      <c r="R5" s="145" t="s">
        <v>2701</v>
      </c>
      <c r="S5" s="198" t="s">
        <v>2702</v>
      </c>
      <c r="T5" s="29">
        <v>100</v>
      </c>
      <c r="U5" s="239" t="s">
        <v>2702</v>
      </c>
    </row>
    <row r="6" spans="1:22" s="29" customFormat="1" ht="45.75" hidden="1">
      <c r="A6" s="22">
        <v>5</v>
      </c>
      <c r="B6" s="22" t="s">
        <v>227</v>
      </c>
      <c r="C6" s="22" t="s">
        <v>2720</v>
      </c>
      <c r="D6" s="15" t="s">
        <v>2721</v>
      </c>
      <c r="E6" s="25" t="s">
        <v>2722</v>
      </c>
      <c r="F6" s="22">
        <v>9611606000</v>
      </c>
      <c r="G6" s="22"/>
      <c r="H6" s="7" t="s">
        <v>492</v>
      </c>
      <c r="I6" s="27">
        <v>45719</v>
      </c>
      <c r="J6" s="27"/>
      <c r="K6" s="22">
        <v>11</v>
      </c>
      <c r="L6" s="22"/>
      <c r="M6" s="7" t="s">
        <v>176</v>
      </c>
      <c r="N6" s="7"/>
      <c r="O6" s="22"/>
      <c r="P6" s="276" t="s">
        <v>513</v>
      </c>
      <c r="Q6" s="139" t="s">
        <v>2723</v>
      </c>
      <c r="R6" s="145" t="s">
        <v>2701</v>
      </c>
      <c r="S6" s="141"/>
      <c r="T6" s="29">
        <v>100</v>
      </c>
    </row>
    <row r="7" spans="1:22" ht="45.75" hidden="1">
      <c r="A7" s="104">
        <v>6</v>
      </c>
      <c r="B7" s="22" t="s">
        <v>227</v>
      </c>
      <c r="C7" s="105" t="s">
        <v>2724</v>
      </c>
      <c r="D7" s="125" t="s">
        <v>2725</v>
      </c>
      <c r="E7" s="106" t="s">
        <v>2726</v>
      </c>
      <c r="F7" s="110">
        <v>9611029251</v>
      </c>
      <c r="G7" s="108"/>
      <c r="H7" s="7" t="s">
        <v>492</v>
      </c>
      <c r="I7" s="107">
        <v>45729</v>
      </c>
      <c r="J7" s="107"/>
      <c r="K7" s="105">
        <v>11</v>
      </c>
      <c r="L7" s="105"/>
      <c r="M7" s="7" t="s">
        <v>195</v>
      </c>
      <c r="N7" s="92"/>
      <c r="O7" s="105"/>
      <c r="P7" s="292"/>
      <c r="Q7" s="139" t="s">
        <v>2727</v>
      </c>
      <c r="R7" s="145" t="s">
        <v>2701</v>
      </c>
      <c r="T7" s="29">
        <v>100</v>
      </c>
      <c r="V7" s="16"/>
    </row>
    <row r="8" spans="1:22" ht="76.5" hidden="1">
      <c r="A8" s="22">
        <v>7</v>
      </c>
      <c r="B8" s="22" t="s">
        <v>227</v>
      </c>
      <c r="C8" s="22" t="s">
        <v>2728</v>
      </c>
      <c r="D8" s="15" t="s">
        <v>2729</v>
      </c>
      <c r="E8" s="31" t="s">
        <v>2730</v>
      </c>
      <c r="F8" s="22">
        <v>8943166977</v>
      </c>
      <c r="G8" s="22" t="s">
        <v>2731</v>
      </c>
      <c r="H8" s="22" t="s">
        <v>202</v>
      </c>
      <c r="I8" s="27">
        <v>45734</v>
      </c>
      <c r="J8" s="27"/>
      <c r="K8" s="22">
        <v>11</v>
      </c>
      <c r="L8" s="22"/>
      <c r="M8" s="7" t="s">
        <v>176</v>
      </c>
      <c r="N8" s="7"/>
      <c r="O8" s="22"/>
      <c r="P8" s="98"/>
      <c r="Q8" s="139" t="s">
        <v>2732</v>
      </c>
      <c r="R8" s="145" t="s">
        <v>2701</v>
      </c>
      <c r="T8" s="29">
        <v>100</v>
      </c>
    </row>
    <row r="9" spans="1:22" ht="45.75" hidden="1">
      <c r="A9" s="22">
        <v>8</v>
      </c>
      <c r="B9" s="22" t="s">
        <v>227</v>
      </c>
      <c r="C9" s="7" t="s">
        <v>2733</v>
      </c>
      <c r="D9" s="15" t="s">
        <v>2734</v>
      </c>
      <c r="E9" s="31" t="s">
        <v>2735</v>
      </c>
      <c r="F9" s="22">
        <v>7009449578</v>
      </c>
      <c r="G9" s="22" t="s">
        <v>2736</v>
      </c>
      <c r="H9" s="22" t="s">
        <v>684</v>
      </c>
      <c r="I9" s="27">
        <v>45741</v>
      </c>
      <c r="J9" s="27"/>
      <c r="K9" s="22">
        <v>11</v>
      </c>
      <c r="L9" s="22"/>
      <c r="M9" s="7" t="s">
        <v>176</v>
      </c>
      <c r="N9" s="7"/>
      <c r="O9" s="22"/>
      <c r="P9" s="97"/>
      <c r="Q9" s="139" t="s">
        <v>2737</v>
      </c>
      <c r="R9" s="145" t="s">
        <v>2701</v>
      </c>
      <c r="T9" s="29">
        <v>100</v>
      </c>
      <c r="U9" s="174" t="s">
        <v>2738</v>
      </c>
    </row>
    <row r="10" spans="1:22" ht="45.75" hidden="1">
      <c r="A10" s="22">
        <v>9</v>
      </c>
      <c r="B10" s="22" t="s">
        <v>227</v>
      </c>
      <c r="C10" s="7" t="s">
        <v>2739</v>
      </c>
      <c r="D10" s="15" t="s">
        <v>2740</v>
      </c>
      <c r="E10" s="31" t="s">
        <v>2741</v>
      </c>
      <c r="F10" s="110">
        <v>8123713273</v>
      </c>
      <c r="G10" s="7"/>
      <c r="H10" s="7" t="s">
        <v>416</v>
      </c>
      <c r="I10" s="27">
        <v>45747</v>
      </c>
      <c r="J10" s="27"/>
      <c r="K10" s="22">
        <v>11</v>
      </c>
      <c r="L10" s="22"/>
      <c r="M10" s="7" t="s">
        <v>195</v>
      </c>
      <c r="N10" s="7"/>
      <c r="O10" s="22"/>
      <c r="P10" s="205"/>
      <c r="Q10" s="139" t="s">
        <v>2742</v>
      </c>
      <c r="R10" s="145" t="s">
        <v>2701</v>
      </c>
      <c r="S10" s="161" t="s">
        <v>2743</v>
      </c>
      <c r="T10" s="29">
        <v>100</v>
      </c>
    </row>
    <row r="11" spans="1:22" s="174" customFormat="1" ht="60.75">
      <c r="A11" s="369">
        <v>10</v>
      </c>
      <c r="B11" s="218"/>
      <c r="C11" s="218" t="s">
        <v>2744</v>
      </c>
      <c r="D11" s="121" t="s">
        <v>2745</v>
      </c>
      <c r="E11" s="88" t="s">
        <v>2746</v>
      </c>
      <c r="F11" s="338">
        <v>8007311939</v>
      </c>
      <c r="G11" s="18"/>
      <c r="H11" s="18" t="s">
        <v>416</v>
      </c>
      <c r="I11" s="275">
        <v>45750</v>
      </c>
      <c r="J11" s="275"/>
      <c r="K11" s="218">
        <v>11</v>
      </c>
      <c r="L11" s="218"/>
      <c r="M11" s="18" t="s">
        <v>195</v>
      </c>
      <c r="N11" s="18"/>
      <c r="O11" s="218"/>
      <c r="P11" s="370" t="s">
        <v>513</v>
      </c>
      <c r="Q11" s="179" t="s">
        <v>2747</v>
      </c>
      <c r="R11" s="370" t="s">
        <v>513</v>
      </c>
      <c r="S11" s="370" t="s">
        <v>513</v>
      </c>
    </row>
    <row r="12" spans="1:22" s="239" customFormat="1" ht="45.75">
      <c r="A12" s="218">
        <v>11</v>
      </c>
      <c r="B12" s="283"/>
      <c r="C12" s="18" t="s">
        <v>2748</v>
      </c>
      <c r="D12" s="121" t="s">
        <v>2748</v>
      </c>
      <c r="E12" s="88" t="s">
        <v>2749</v>
      </c>
      <c r="F12" s="338">
        <v>9538114067</v>
      </c>
      <c r="G12" s="218"/>
      <c r="H12" s="218" t="s">
        <v>416</v>
      </c>
      <c r="I12" s="275">
        <v>45761</v>
      </c>
      <c r="J12" s="275"/>
      <c r="K12" s="218">
        <v>11</v>
      </c>
      <c r="L12" s="218"/>
      <c r="M12" s="18" t="s">
        <v>195</v>
      </c>
      <c r="N12" s="18"/>
      <c r="O12" s="218"/>
      <c r="P12" s="276" t="s">
        <v>513</v>
      </c>
      <c r="Q12" s="179" t="s">
        <v>2750</v>
      </c>
      <c r="R12" s="132" t="s">
        <v>513</v>
      </c>
      <c r="S12" s="370" t="s">
        <v>513</v>
      </c>
    </row>
    <row r="13" spans="1:22" s="29" customFormat="1" ht="45.75" hidden="1">
      <c r="A13" s="22">
        <v>12</v>
      </c>
      <c r="B13" s="24"/>
      <c r="C13" s="22"/>
      <c r="D13" s="15" t="s">
        <v>2751</v>
      </c>
      <c r="E13" s="31"/>
      <c r="F13" s="22"/>
      <c r="G13" s="22"/>
      <c r="H13" s="22"/>
      <c r="I13" s="27"/>
      <c r="J13" s="27"/>
      <c r="K13" s="22">
        <v>11</v>
      </c>
      <c r="L13" s="22"/>
      <c r="M13" s="7" t="s">
        <v>176</v>
      </c>
      <c r="N13" s="7"/>
      <c r="O13" s="22"/>
      <c r="P13" s="97"/>
      <c r="Q13" s="139"/>
      <c r="R13" s="145"/>
      <c r="S13" s="141"/>
    </row>
    <row r="14" spans="1:22" s="29" customFormat="1" ht="60.75" hidden="1">
      <c r="A14" s="22">
        <v>13</v>
      </c>
      <c r="B14" s="24"/>
      <c r="C14" s="22" t="s">
        <v>2752</v>
      </c>
      <c r="D14" s="15" t="s">
        <v>2753</v>
      </c>
      <c r="E14" s="31" t="s">
        <v>2754</v>
      </c>
      <c r="F14" s="22">
        <v>9742144224</v>
      </c>
      <c r="G14" s="22"/>
      <c r="H14" s="22" t="s">
        <v>416</v>
      </c>
      <c r="I14" s="27">
        <v>45758</v>
      </c>
      <c r="J14" s="27"/>
      <c r="K14" s="22">
        <v>11</v>
      </c>
      <c r="L14" s="22"/>
      <c r="M14" s="7" t="s">
        <v>176</v>
      </c>
      <c r="N14" s="7"/>
      <c r="O14" s="22"/>
      <c r="P14" s="97"/>
      <c r="Q14" s="139" t="s">
        <v>2755</v>
      </c>
      <c r="R14" s="145"/>
      <c r="S14" s="141"/>
    </row>
    <row r="15" spans="1:22" s="29" customFormat="1" ht="45.75" hidden="1">
      <c r="A15" s="104">
        <v>14</v>
      </c>
      <c r="B15" s="24"/>
      <c r="C15" s="22" t="s">
        <v>2756</v>
      </c>
      <c r="D15" s="15" t="s">
        <v>2757</v>
      </c>
      <c r="E15" s="31" t="s">
        <v>2758</v>
      </c>
      <c r="F15" s="22">
        <v>7838959928</v>
      </c>
      <c r="G15" s="22"/>
      <c r="H15" s="22"/>
      <c r="I15" s="27"/>
      <c r="J15" s="27"/>
      <c r="K15" s="22">
        <v>11</v>
      </c>
      <c r="L15" s="22"/>
      <c r="M15" s="7" t="s">
        <v>195</v>
      </c>
      <c r="N15" s="7"/>
      <c r="O15" s="22"/>
      <c r="P15" s="97"/>
      <c r="Q15" s="139" t="s">
        <v>2759</v>
      </c>
      <c r="R15" s="145"/>
      <c r="S15" s="141"/>
    </row>
    <row r="16" spans="1:22" s="239" customFormat="1" ht="45.75">
      <c r="A16" s="218">
        <v>15</v>
      </c>
      <c r="B16" s="283"/>
      <c r="C16" s="218" t="s">
        <v>2760</v>
      </c>
      <c r="D16" s="121" t="s">
        <v>2761</v>
      </c>
      <c r="E16" s="121" t="s">
        <v>2762</v>
      </c>
      <c r="F16" s="218"/>
      <c r="G16" s="218"/>
      <c r="H16" s="218" t="s">
        <v>2763</v>
      </c>
      <c r="I16" s="285"/>
      <c r="J16" s="285"/>
      <c r="K16" s="218">
        <v>11</v>
      </c>
      <c r="L16" s="218"/>
      <c r="M16" s="18" t="s">
        <v>195</v>
      </c>
      <c r="N16" s="18"/>
      <c r="O16" s="218"/>
      <c r="P16" s="399"/>
      <c r="Q16" s="179" t="s">
        <v>2764</v>
      </c>
      <c r="R16" s="132" t="s">
        <v>513</v>
      </c>
      <c r="S16" s="198" t="s">
        <v>513</v>
      </c>
    </row>
    <row r="17" spans="1:20" ht="45.75" hidden="1">
      <c r="A17" s="22">
        <v>16</v>
      </c>
      <c r="B17" s="24"/>
      <c r="C17" s="43" t="s">
        <v>2765</v>
      </c>
      <c r="D17" s="46" t="s">
        <v>2765</v>
      </c>
      <c r="E17" s="46" t="s">
        <v>2766</v>
      </c>
      <c r="F17" s="43"/>
      <c r="G17" s="43"/>
      <c r="H17" s="44" t="s">
        <v>2767</v>
      </c>
      <c r="I17" s="42"/>
      <c r="J17" s="42"/>
      <c r="K17" s="43">
        <v>11</v>
      </c>
      <c r="L17" s="43"/>
      <c r="M17" s="7" t="s">
        <v>195</v>
      </c>
      <c r="N17" s="7"/>
      <c r="O17" s="22"/>
      <c r="P17" s="97"/>
      <c r="Q17" s="139" t="s">
        <v>2768</v>
      </c>
    </row>
    <row r="18" spans="1:20" ht="76.5">
      <c r="A18" s="22">
        <v>17</v>
      </c>
      <c r="B18" s="52"/>
      <c r="C18" s="44" t="s">
        <v>2769</v>
      </c>
      <c r="D18" s="46" t="s">
        <v>2769</v>
      </c>
      <c r="E18" s="46" t="s">
        <v>2770</v>
      </c>
      <c r="F18" s="110">
        <v>8089966684</v>
      </c>
      <c r="G18" s="43"/>
      <c r="H18" s="44" t="s">
        <v>2767</v>
      </c>
      <c r="I18" s="42">
        <v>45765</v>
      </c>
      <c r="J18" s="42"/>
      <c r="K18" s="43">
        <v>11</v>
      </c>
      <c r="L18" s="43"/>
      <c r="M18" s="7" t="s">
        <v>195</v>
      </c>
      <c r="N18" s="7"/>
      <c r="O18" s="22"/>
      <c r="P18" s="276" t="s">
        <v>513</v>
      </c>
      <c r="Q18" s="286" t="s">
        <v>2771</v>
      </c>
      <c r="R18" s="131" t="s">
        <v>513</v>
      </c>
      <c r="S18" s="131" t="s">
        <v>513</v>
      </c>
    </row>
    <row r="19" spans="1:20" s="174" customFormat="1" ht="60.75">
      <c r="A19" s="369">
        <v>18</v>
      </c>
      <c r="B19" s="218"/>
      <c r="C19" s="218" t="s">
        <v>2772</v>
      </c>
      <c r="D19" s="121" t="s">
        <v>2773</v>
      </c>
      <c r="E19" s="253" t="s">
        <v>2774</v>
      </c>
      <c r="F19" s="192">
        <v>9594436158</v>
      </c>
      <c r="G19" s="192"/>
      <c r="H19" s="177" t="s">
        <v>2767</v>
      </c>
      <c r="I19" s="257"/>
      <c r="J19" s="257"/>
      <c r="K19" s="192">
        <v>11</v>
      </c>
      <c r="L19" s="192"/>
      <c r="M19" s="18" t="s">
        <v>176</v>
      </c>
      <c r="N19" s="18"/>
      <c r="O19" s="218"/>
      <c r="P19" s="276"/>
      <c r="Q19" s="383" t="s">
        <v>2775</v>
      </c>
      <c r="R19" s="196" t="s">
        <v>513</v>
      </c>
      <c r="S19" s="219" t="s">
        <v>513</v>
      </c>
    </row>
    <row r="20" spans="1:20" ht="45.75" hidden="1">
      <c r="A20" s="22">
        <v>19</v>
      </c>
      <c r="B20" s="22"/>
      <c r="C20" s="119" t="s">
        <v>2776</v>
      </c>
      <c r="D20" s="15" t="s">
        <v>2777</v>
      </c>
      <c r="E20" s="46" t="s">
        <v>2778</v>
      </c>
      <c r="F20" s="43">
        <v>8217038301</v>
      </c>
      <c r="G20" s="43"/>
      <c r="H20" s="44" t="s">
        <v>2767</v>
      </c>
      <c r="I20" s="42"/>
      <c r="J20" s="42"/>
      <c r="K20" s="43">
        <v>11</v>
      </c>
      <c r="L20" s="43"/>
      <c r="M20" s="7" t="s">
        <v>195</v>
      </c>
      <c r="N20" s="7"/>
      <c r="O20" s="22"/>
      <c r="P20" s="98"/>
      <c r="Q20" s="139" t="s">
        <v>2779</v>
      </c>
    </row>
    <row r="21" spans="1:20" ht="45.75" hidden="1">
      <c r="A21" s="22">
        <v>20</v>
      </c>
      <c r="B21" s="22"/>
      <c r="C21" s="119" t="s">
        <v>2780</v>
      </c>
      <c r="D21" s="15" t="s">
        <v>2781</v>
      </c>
      <c r="E21" s="46" t="s">
        <v>2782</v>
      </c>
      <c r="F21" s="43"/>
      <c r="G21" s="45"/>
      <c r="H21" s="43" t="s">
        <v>2783</v>
      </c>
      <c r="I21" s="42">
        <v>45768</v>
      </c>
      <c r="J21" s="42"/>
      <c r="K21" s="43">
        <v>11</v>
      </c>
      <c r="L21" s="43"/>
      <c r="M21" s="7" t="s">
        <v>195</v>
      </c>
      <c r="N21" s="7"/>
      <c r="O21" s="22"/>
      <c r="P21" s="186"/>
      <c r="Q21" s="139" t="s">
        <v>2784</v>
      </c>
    </row>
    <row r="22" spans="1:20" ht="45.75" hidden="1">
      <c r="A22" s="22">
        <v>21</v>
      </c>
      <c r="B22" s="52"/>
      <c r="C22" s="43" t="s">
        <v>2785</v>
      </c>
      <c r="D22" s="41" t="s">
        <v>2786</v>
      </c>
      <c r="E22" s="46" t="s">
        <v>2787</v>
      </c>
      <c r="F22" s="43"/>
      <c r="G22" s="50"/>
      <c r="H22" s="43" t="s">
        <v>2767</v>
      </c>
      <c r="I22" s="42"/>
      <c r="J22" s="42"/>
      <c r="K22" s="43">
        <v>11</v>
      </c>
      <c r="L22" s="43"/>
      <c r="M22" s="7" t="s">
        <v>176</v>
      </c>
      <c r="N22" s="7"/>
      <c r="O22" s="22"/>
      <c r="P22" s="186"/>
      <c r="Q22" s="139" t="s">
        <v>2788</v>
      </c>
    </row>
    <row r="23" spans="1:20" ht="45.75" hidden="1">
      <c r="A23" s="104">
        <v>22</v>
      </c>
      <c r="B23" s="43"/>
      <c r="C23" s="43" t="s">
        <v>2789</v>
      </c>
      <c r="D23" s="46" t="s">
        <v>2790</v>
      </c>
      <c r="E23" s="43" t="s">
        <v>2791</v>
      </c>
      <c r="F23" s="43"/>
      <c r="G23" s="43"/>
      <c r="H23" s="43" t="s">
        <v>2767</v>
      </c>
      <c r="I23" s="43"/>
      <c r="J23" s="43"/>
      <c r="K23" s="43">
        <v>11</v>
      </c>
      <c r="L23" s="43"/>
      <c r="M23" s="7" t="s">
        <v>195</v>
      </c>
      <c r="N23" s="7"/>
      <c r="O23" s="68"/>
      <c r="P23" s="293"/>
      <c r="Q23" s="148" t="s">
        <v>2792</v>
      </c>
    </row>
    <row r="24" spans="1:20" ht="76.5" hidden="1">
      <c r="A24" s="22">
        <v>23</v>
      </c>
      <c r="B24" s="52"/>
      <c r="C24" s="44" t="s">
        <v>2793</v>
      </c>
      <c r="D24" s="46" t="s">
        <v>2794</v>
      </c>
      <c r="E24" s="46" t="s">
        <v>2795</v>
      </c>
      <c r="F24" s="43"/>
      <c r="G24" s="50"/>
      <c r="H24" s="43" t="s">
        <v>241</v>
      </c>
      <c r="I24" s="42">
        <v>45770</v>
      </c>
      <c r="J24" s="42"/>
      <c r="K24" s="43">
        <v>11</v>
      </c>
      <c r="L24" s="43"/>
      <c r="M24" s="7" t="s">
        <v>195</v>
      </c>
      <c r="N24" s="7"/>
      <c r="O24" s="22"/>
      <c r="P24" s="186"/>
      <c r="Q24" s="139" t="s">
        <v>2796</v>
      </c>
    </row>
    <row r="25" spans="1:20" s="174" customFormat="1" ht="60.75">
      <c r="A25" s="218">
        <v>24</v>
      </c>
      <c r="B25" s="299"/>
      <c r="C25" s="177" t="s">
        <v>2797</v>
      </c>
      <c r="D25" s="253" t="s">
        <v>2797</v>
      </c>
      <c r="E25" s="253" t="s">
        <v>2798</v>
      </c>
      <c r="F25" s="338">
        <v>9886017569</v>
      </c>
      <c r="G25" s="255"/>
      <c r="H25" s="192" t="s">
        <v>268</v>
      </c>
      <c r="I25" s="257">
        <v>45779</v>
      </c>
      <c r="J25" s="257"/>
      <c r="K25" s="192">
        <v>11</v>
      </c>
      <c r="L25" s="192"/>
      <c r="M25" s="18" t="s">
        <v>195</v>
      </c>
      <c r="N25" s="18"/>
      <c r="O25" s="218"/>
      <c r="P25" s="196" t="s">
        <v>513</v>
      </c>
      <c r="Q25" s="179" t="s">
        <v>2799</v>
      </c>
      <c r="R25" s="219" t="s">
        <v>513</v>
      </c>
      <c r="S25" s="219" t="s">
        <v>513</v>
      </c>
      <c r="T25" s="219" t="s">
        <v>513</v>
      </c>
    </row>
    <row r="26" spans="1:20" s="174" customFormat="1" ht="60.75">
      <c r="A26" s="218">
        <v>25</v>
      </c>
      <c r="B26" s="299"/>
      <c r="C26" s="192" t="s">
        <v>2800</v>
      </c>
      <c r="D26" s="253" t="s">
        <v>2801</v>
      </c>
      <c r="E26" s="253" t="s">
        <v>2802</v>
      </c>
      <c r="F26" s="192">
        <v>9591829480</v>
      </c>
      <c r="G26" s="255"/>
      <c r="H26" s="192" t="s">
        <v>268</v>
      </c>
      <c r="I26" s="257">
        <v>45779</v>
      </c>
      <c r="J26" s="257"/>
      <c r="K26" s="192">
        <v>11</v>
      </c>
      <c r="L26" s="192"/>
      <c r="M26" s="18" t="s">
        <v>176</v>
      </c>
      <c r="N26" s="18"/>
      <c r="O26" s="218"/>
      <c r="P26" s="196" t="s">
        <v>513</v>
      </c>
      <c r="Q26" s="179" t="s">
        <v>2803</v>
      </c>
      <c r="R26" s="196" t="s">
        <v>513</v>
      </c>
      <c r="S26" s="196" t="s">
        <v>513</v>
      </c>
    </row>
    <row r="27" spans="1:20" ht="45.75" hidden="1">
      <c r="A27" s="104">
        <v>26</v>
      </c>
      <c r="B27" s="52"/>
      <c r="C27" s="43" t="s">
        <v>2804</v>
      </c>
      <c r="D27" s="46" t="s">
        <v>2805</v>
      </c>
      <c r="E27" s="46" t="s">
        <v>2806</v>
      </c>
      <c r="F27" s="43">
        <v>9153535569</v>
      </c>
      <c r="G27" s="50"/>
      <c r="H27" s="43" t="s">
        <v>1434</v>
      </c>
      <c r="I27" s="42">
        <v>45778</v>
      </c>
      <c r="J27" s="42"/>
      <c r="K27" s="43">
        <v>11</v>
      </c>
      <c r="L27" s="43"/>
      <c r="M27" s="7" t="s">
        <v>195</v>
      </c>
      <c r="N27" s="7"/>
      <c r="O27" s="22"/>
      <c r="P27" s="186"/>
      <c r="Q27" s="139" t="s">
        <v>2807</v>
      </c>
    </row>
    <row r="28" spans="1:20" ht="45.75" hidden="1">
      <c r="A28" s="22">
        <v>27</v>
      </c>
      <c r="B28" s="52"/>
      <c r="C28" s="110" t="s">
        <v>2808</v>
      </c>
      <c r="D28" s="46" t="s">
        <v>2809</v>
      </c>
      <c r="E28" s="46" t="s">
        <v>2810</v>
      </c>
      <c r="F28" s="43">
        <v>9901990288</v>
      </c>
      <c r="G28" s="43"/>
      <c r="H28" s="43" t="s">
        <v>268</v>
      </c>
      <c r="I28" s="42"/>
      <c r="J28" s="42"/>
      <c r="K28" s="43">
        <v>11</v>
      </c>
      <c r="L28" s="43"/>
      <c r="M28" s="7" t="s">
        <v>195</v>
      </c>
      <c r="N28" s="7"/>
      <c r="O28" s="22"/>
      <c r="P28" s="186"/>
      <c r="Q28" s="139" t="s">
        <v>2811</v>
      </c>
    </row>
    <row r="29" spans="1:20" ht="45.75" hidden="1">
      <c r="A29" s="22">
        <v>28</v>
      </c>
      <c r="B29" s="52"/>
      <c r="C29" s="43" t="s">
        <v>2812</v>
      </c>
      <c r="D29" s="46" t="s">
        <v>2813</v>
      </c>
      <c r="E29" s="46" t="s">
        <v>2814</v>
      </c>
      <c r="F29" s="43">
        <v>9819861233</v>
      </c>
      <c r="G29" s="43"/>
      <c r="H29" s="43" t="s">
        <v>696</v>
      </c>
      <c r="I29" s="42"/>
      <c r="J29" s="42"/>
      <c r="K29" s="43">
        <v>11</v>
      </c>
      <c r="L29" s="43"/>
      <c r="M29" s="7" t="s">
        <v>195</v>
      </c>
      <c r="N29" s="7"/>
      <c r="O29" s="22"/>
      <c r="P29" s="186"/>
      <c r="Q29" s="139" t="s">
        <v>2815</v>
      </c>
    </row>
    <row r="30" spans="1:20" ht="45.75" hidden="1">
      <c r="A30" s="22">
        <v>29</v>
      </c>
      <c r="B30" s="52"/>
      <c r="C30" s="43"/>
      <c r="D30" s="46" t="s">
        <v>2816</v>
      </c>
      <c r="E30" s="46" t="s">
        <v>2817</v>
      </c>
      <c r="F30" s="43">
        <v>7011553366</v>
      </c>
      <c r="G30" s="43"/>
      <c r="H30" s="43" t="s">
        <v>261</v>
      </c>
      <c r="I30" s="42">
        <v>45782</v>
      </c>
      <c r="J30" s="42"/>
      <c r="K30" s="43">
        <v>11</v>
      </c>
      <c r="L30" s="43"/>
      <c r="M30" s="7" t="s">
        <v>195</v>
      </c>
      <c r="N30" s="7"/>
      <c r="O30" s="22"/>
      <c r="P30" s="186"/>
      <c r="Q30" s="139" t="s">
        <v>2818</v>
      </c>
    </row>
    <row r="31" spans="1:20" ht="45.75" hidden="1">
      <c r="A31" s="104">
        <v>30</v>
      </c>
      <c r="B31" s="52"/>
      <c r="C31" s="44" t="s">
        <v>2819</v>
      </c>
      <c r="D31" s="46" t="s">
        <v>2820</v>
      </c>
      <c r="E31" s="46" t="s">
        <v>2821</v>
      </c>
      <c r="F31" s="43">
        <v>9741293000</v>
      </c>
      <c r="G31" s="43"/>
      <c r="H31" s="43" t="s">
        <v>268</v>
      </c>
      <c r="I31" s="42">
        <v>45787</v>
      </c>
      <c r="J31" s="42"/>
      <c r="K31" s="43">
        <v>11</v>
      </c>
      <c r="L31" s="43"/>
      <c r="M31" s="7" t="s">
        <v>176</v>
      </c>
      <c r="N31" s="7"/>
      <c r="O31" s="22"/>
      <c r="P31" s="186"/>
      <c r="Q31" s="287" t="s">
        <v>2822</v>
      </c>
    </row>
    <row r="32" spans="1:20" ht="45.75" hidden="1">
      <c r="A32" s="22">
        <v>31</v>
      </c>
      <c r="B32" s="52"/>
      <c r="C32" s="43" t="s">
        <v>2823</v>
      </c>
      <c r="D32" s="46" t="s">
        <v>2824</v>
      </c>
      <c r="E32" s="46" t="s">
        <v>2825</v>
      </c>
      <c r="F32" s="43">
        <v>8310217205</v>
      </c>
      <c r="G32" s="43"/>
      <c r="H32" s="43" t="s">
        <v>268</v>
      </c>
      <c r="I32" s="42">
        <v>45787</v>
      </c>
      <c r="J32" s="42"/>
      <c r="K32" s="43">
        <v>11</v>
      </c>
      <c r="L32" s="43"/>
      <c r="M32" s="7" t="s">
        <v>176</v>
      </c>
      <c r="N32" s="7"/>
      <c r="O32" s="22"/>
      <c r="P32" s="186"/>
      <c r="Q32" s="139" t="s">
        <v>2826</v>
      </c>
    </row>
    <row r="33" spans="1:19" ht="45.75" hidden="1">
      <c r="A33" s="22">
        <v>32</v>
      </c>
      <c r="B33" s="52"/>
      <c r="C33" s="44" t="s">
        <v>2827</v>
      </c>
      <c r="D33" s="46" t="s">
        <v>2828</v>
      </c>
      <c r="E33" s="46" t="s">
        <v>2829</v>
      </c>
      <c r="F33" s="43">
        <v>8618575475</v>
      </c>
      <c r="G33" s="43"/>
      <c r="H33" s="43" t="s">
        <v>268</v>
      </c>
      <c r="I33" s="42">
        <v>45789</v>
      </c>
      <c r="J33" s="42"/>
      <c r="K33" s="43">
        <v>11</v>
      </c>
      <c r="L33" s="43"/>
      <c r="M33" s="7" t="s">
        <v>195</v>
      </c>
      <c r="N33" s="7"/>
      <c r="O33" s="22"/>
      <c r="P33" s="186"/>
      <c r="Q33" s="139" t="s">
        <v>2830</v>
      </c>
    </row>
    <row r="34" spans="1:19" s="174" customFormat="1" ht="60.75" hidden="1">
      <c r="A34" s="218">
        <v>33</v>
      </c>
      <c r="B34" s="299"/>
      <c r="C34" s="177" t="s">
        <v>2831</v>
      </c>
      <c r="D34" s="253" t="s">
        <v>2832</v>
      </c>
      <c r="E34" s="253" t="s">
        <v>2833</v>
      </c>
      <c r="F34" s="192">
        <v>9620855526</v>
      </c>
      <c r="G34" s="192"/>
      <c r="H34" s="192" t="s">
        <v>268</v>
      </c>
      <c r="I34" s="257">
        <v>45791</v>
      </c>
      <c r="J34" s="257"/>
      <c r="K34" s="192">
        <v>11</v>
      </c>
      <c r="L34" s="192"/>
      <c r="M34" s="18" t="s">
        <v>195</v>
      </c>
      <c r="N34" s="18"/>
      <c r="O34" s="218"/>
      <c r="P34" s="258" t="s">
        <v>243</v>
      </c>
      <c r="Q34" s="179" t="s">
        <v>2834</v>
      </c>
      <c r="R34" s="258" t="s">
        <v>243</v>
      </c>
      <c r="S34" s="219"/>
    </row>
    <row r="35" spans="1:19" ht="45.75" hidden="1">
      <c r="A35" s="104">
        <v>34</v>
      </c>
      <c r="B35" s="52"/>
      <c r="C35" s="43" t="s">
        <v>2835</v>
      </c>
      <c r="D35" s="46" t="s">
        <v>2836</v>
      </c>
      <c r="E35" s="46" t="s">
        <v>2837</v>
      </c>
      <c r="F35" s="43">
        <v>8129994379</v>
      </c>
      <c r="G35" s="43"/>
      <c r="H35" s="43" t="s">
        <v>268</v>
      </c>
      <c r="I35" s="42">
        <v>45786</v>
      </c>
      <c r="J35" s="42"/>
      <c r="K35" s="43">
        <v>11</v>
      </c>
      <c r="L35" s="43"/>
      <c r="M35" s="7" t="s">
        <v>176</v>
      </c>
      <c r="N35" s="7"/>
      <c r="O35" s="22"/>
      <c r="P35" s="186"/>
      <c r="Q35" s="139" t="s">
        <v>2838</v>
      </c>
    </row>
    <row r="36" spans="1:19" ht="45.75" hidden="1">
      <c r="A36" s="22">
        <v>35</v>
      </c>
      <c r="B36" s="52"/>
      <c r="C36" s="43" t="s">
        <v>2839</v>
      </c>
      <c r="D36" s="46" t="s">
        <v>2840</v>
      </c>
      <c r="E36" s="46" t="s">
        <v>2841</v>
      </c>
      <c r="F36" s="43">
        <v>9900135367</v>
      </c>
      <c r="G36" s="43"/>
      <c r="H36" s="43" t="s">
        <v>268</v>
      </c>
      <c r="I36" s="42">
        <v>45798</v>
      </c>
      <c r="J36" s="42"/>
      <c r="K36" s="43">
        <v>11</v>
      </c>
      <c r="L36" s="43"/>
      <c r="M36" s="7" t="s">
        <v>195</v>
      </c>
      <c r="N36" s="7"/>
      <c r="O36" s="22"/>
      <c r="P36" s="186"/>
      <c r="Q36" s="139" t="s">
        <v>2842</v>
      </c>
    </row>
    <row r="37" spans="1:19" ht="60.75" hidden="1">
      <c r="A37" s="22">
        <v>36</v>
      </c>
      <c r="B37" s="52"/>
      <c r="C37" s="43" t="s">
        <v>2843</v>
      </c>
      <c r="D37" s="46" t="s">
        <v>2844</v>
      </c>
      <c r="E37" s="46" t="s">
        <v>2845</v>
      </c>
      <c r="F37" s="43">
        <v>7411728291</v>
      </c>
      <c r="G37" s="43"/>
      <c r="H37" s="43" t="s">
        <v>268</v>
      </c>
      <c r="I37" s="42">
        <v>45797</v>
      </c>
      <c r="J37" s="42"/>
      <c r="K37" s="43">
        <v>11</v>
      </c>
      <c r="L37" s="43"/>
      <c r="M37" s="7" t="s">
        <v>176</v>
      </c>
      <c r="N37" s="7"/>
      <c r="O37" s="22"/>
      <c r="P37" s="186"/>
      <c r="Q37" s="139" t="s">
        <v>2846</v>
      </c>
    </row>
    <row r="38" spans="1:19" s="174" customFormat="1" ht="45.75" hidden="1">
      <c r="A38" s="218">
        <v>37</v>
      </c>
      <c r="B38" s="299"/>
      <c r="C38" s="218" t="s">
        <v>2847</v>
      </c>
      <c r="D38" s="253" t="s">
        <v>2848</v>
      </c>
      <c r="E38" s="253" t="s">
        <v>2849</v>
      </c>
      <c r="F38" s="192">
        <v>8147115179</v>
      </c>
      <c r="G38" s="192"/>
      <c r="H38" s="192" t="s">
        <v>268</v>
      </c>
      <c r="I38" s="257">
        <v>45798</v>
      </c>
      <c r="J38" s="257"/>
      <c r="K38" s="192">
        <v>11</v>
      </c>
      <c r="L38" s="192"/>
      <c r="M38" s="18" t="s">
        <v>195</v>
      </c>
      <c r="N38" s="18"/>
      <c r="O38" s="218"/>
      <c r="P38" s="258" t="s">
        <v>243</v>
      </c>
      <c r="Q38" s="179" t="s">
        <v>2850</v>
      </c>
      <c r="R38" s="196" t="s">
        <v>243</v>
      </c>
      <c r="S38" s="219"/>
    </row>
    <row r="39" spans="1:19" ht="45.75" hidden="1">
      <c r="A39" s="104">
        <v>38</v>
      </c>
      <c r="B39" s="52"/>
      <c r="C39" s="22" t="s">
        <v>2851</v>
      </c>
      <c r="D39" s="126" t="s">
        <v>2852</v>
      </c>
      <c r="E39" s="46" t="s">
        <v>2851</v>
      </c>
      <c r="F39" s="43">
        <v>9000236955</v>
      </c>
      <c r="G39" s="43"/>
      <c r="H39" s="43" t="s">
        <v>268</v>
      </c>
      <c r="I39" s="42">
        <v>45798</v>
      </c>
      <c r="J39" s="42"/>
      <c r="K39" s="43">
        <v>11</v>
      </c>
      <c r="L39" s="43"/>
      <c r="M39" s="7" t="s">
        <v>176</v>
      </c>
      <c r="N39" s="7"/>
      <c r="O39" s="22"/>
      <c r="P39" s="186"/>
      <c r="Q39" s="139" t="s">
        <v>2853</v>
      </c>
    </row>
    <row r="40" spans="1:19" s="174" customFormat="1" ht="45.75" hidden="1">
      <c r="A40" s="218">
        <v>39</v>
      </c>
      <c r="B40" s="299"/>
      <c r="C40" s="218" t="s">
        <v>2854</v>
      </c>
      <c r="D40" s="379" t="s">
        <v>2855</v>
      </c>
      <c r="E40" s="253" t="s">
        <v>2856</v>
      </c>
      <c r="F40" s="192">
        <v>8451863065</v>
      </c>
      <c r="G40" s="192"/>
      <c r="H40" s="192" t="s">
        <v>268</v>
      </c>
      <c r="I40" s="257">
        <v>45799</v>
      </c>
      <c r="J40" s="257"/>
      <c r="K40" s="192">
        <v>11</v>
      </c>
      <c r="L40" s="192"/>
      <c r="M40" s="18" t="s">
        <v>195</v>
      </c>
      <c r="N40" s="18"/>
      <c r="O40" s="218"/>
      <c r="P40" s="258" t="s">
        <v>243</v>
      </c>
      <c r="Q40" s="179" t="s">
        <v>2857</v>
      </c>
      <c r="R40" s="196" t="s">
        <v>1714</v>
      </c>
      <c r="S40" s="219"/>
    </row>
    <row r="41" spans="1:19" ht="60.75" hidden="1">
      <c r="A41" s="22">
        <v>40</v>
      </c>
      <c r="B41" s="52"/>
      <c r="C41" s="44" t="s">
        <v>2858</v>
      </c>
      <c r="D41" s="46" t="s">
        <v>2859</v>
      </c>
      <c r="E41" s="46" t="s">
        <v>2860</v>
      </c>
      <c r="F41" s="43">
        <v>9845570066</v>
      </c>
      <c r="G41" s="43"/>
      <c r="H41" s="43" t="s">
        <v>268</v>
      </c>
      <c r="I41" s="42">
        <v>45799</v>
      </c>
      <c r="J41" s="42"/>
      <c r="K41" s="43">
        <v>11</v>
      </c>
      <c r="L41" s="43"/>
      <c r="M41" s="7" t="s">
        <v>176</v>
      </c>
      <c r="N41" s="7"/>
      <c r="O41" s="22"/>
      <c r="P41" s="186"/>
      <c r="Q41" s="139" t="s">
        <v>2861</v>
      </c>
    </row>
    <row r="42" spans="1:19" ht="45.75" hidden="1">
      <c r="A42" s="22">
        <v>41</v>
      </c>
      <c r="B42" s="52"/>
      <c r="C42" s="43" t="s">
        <v>2862</v>
      </c>
      <c r="D42" s="46" t="s">
        <v>2863</v>
      </c>
      <c r="E42" s="46" t="s">
        <v>2864</v>
      </c>
      <c r="F42" s="43">
        <v>8050852683</v>
      </c>
      <c r="G42" s="43"/>
      <c r="H42" s="43" t="s">
        <v>268</v>
      </c>
      <c r="I42" s="42">
        <v>45801</v>
      </c>
      <c r="J42" s="42"/>
      <c r="K42" s="43">
        <v>11</v>
      </c>
      <c r="L42" s="43"/>
      <c r="M42" s="7" t="s">
        <v>176</v>
      </c>
      <c r="N42" s="7"/>
      <c r="O42" s="22"/>
      <c r="P42" s="186"/>
      <c r="Q42" s="139" t="s">
        <v>2865</v>
      </c>
    </row>
    <row r="43" spans="1:19" ht="45.75" hidden="1">
      <c r="A43" s="104">
        <v>42</v>
      </c>
      <c r="B43" s="52"/>
      <c r="C43" s="43" t="s">
        <v>2866</v>
      </c>
      <c r="D43" s="46" t="s">
        <v>2867</v>
      </c>
      <c r="E43" s="46" t="s">
        <v>2868</v>
      </c>
      <c r="F43" s="43">
        <v>9566246323</v>
      </c>
      <c r="G43" s="43"/>
      <c r="H43" s="43" t="s">
        <v>202</v>
      </c>
      <c r="I43" s="42">
        <v>45804</v>
      </c>
      <c r="J43" s="42"/>
      <c r="K43" s="43">
        <v>11</v>
      </c>
      <c r="L43" s="43"/>
      <c r="M43" s="7" t="s">
        <v>176</v>
      </c>
      <c r="N43" s="7"/>
      <c r="O43" s="22"/>
      <c r="P43" s="186"/>
      <c r="Q43" s="139" t="s">
        <v>2869</v>
      </c>
    </row>
    <row r="44" spans="1:19" s="174" customFormat="1" ht="45.75">
      <c r="A44" s="218">
        <v>43</v>
      </c>
      <c r="B44" s="299"/>
      <c r="C44" s="192" t="s">
        <v>2870</v>
      </c>
      <c r="D44" s="253" t="s">
        <v>2871</v>
      </c>
      <c r="E44" s="253" t="s">
        <v>2872</v>
      </c>
      <c r="F44" s="192">
        <v>9519072226</v>
      </c>
      <c r="G44" s="192"/>
      <c r="H44" s="192" t="s">
        <v>241</v>
      </c>
      <c r="I44" s="257">
        <v>45804</v>
      </c>
      <c r="J44" s="257"/>
      <c r="K44" s="192">
        <v>11</v>
      </c>
      <c r="L44" s="192"/>
      <c r="M44" s="18" t="s">
        <v>176</v>
      </c>
      <c r="N44" s="18"/>
      <c r="O44" s="218"/>
      <c r="P44" s="258"/>
      <c r="Q44" s="179" t="s">
        <v>2873</v>
      </c>
      <c r="R44" s="196"/>
      <c r="S44" s="219" t="s">
        <v>513</v>
      </c>
    </row>
    <row r="45" spans="1:19" ht="45.75" hidden="1">
      <c r="A45" s="22">
        <v>44</v>
      </c>
      <c r="B45" s="52"/>
      <c r="C45" s="43" t="s">
        <v>2874</v>
      </c>
      <c r="D45" s="46" t="s">
        <v>2875</v>
      </c>
      <c r="E45" s="46" t="s">
        <v>2876</v>
      </c>
      <c r="F45" s="43">
        <v>8754043313</v>
      </c>
      <c r="G45" s="43"/>
      <c r="H45" s="43" t="s">
        <v>2877</v>
      </c>
      <c r="I45" s="42">
        <v>45805</v>
      </c>
      <c r="J45" s="42"/>
      <c r="K45" s="43">
        <v>11</v>
      </c>
      <c r="L45" s="43"/>
      <c r="M45" s="7" t="s">
        <v>176</v>
      </c>
      <c r="N45" s="7"/>
      <c r="O45" s="22"/>
      <c r="P45" s="186"/>
      <c r="Q45" s="139" t="s">
        <v>2878</v>
      </c>
    </row>
    <row r="46" spans="1:19" ht="45.75" hidden="1">
      <c r="A46" s="22">
        <v>45</v>
      </c>
      <c r="B46" s="52"/>
      <c r="C46" s="44" t="s">
        <v>2879</v>
      </c>
      <c r="D46" s="46" t="s">
        <v>2880</v>
      </c>
      <c r="E46" s="46" t="s">
        <v>2881</v>
      </c>
      <c r="F46" s="43">
        <v>9591013856</v>
      </c>
      <c r="G46" s="43"/>
      <c r="H46" s="43" t="s">
        <v>268</v>
      </c>
      <c r="I46" s="42">
        <v>45806</v>
      </c>
      <c r="J46" s="42"/>
      <c r="K46" s="43">
        <v>11</v>
      </c>
      <c r="L46" s="43"/>
      <c r="M46" s="7" t="s">
        <v>176</v>
      </c>
      <c r="N46" s="44"/>
      <c r="O46" s="43"/>
      <c r="P46" s="186"/>
      <c r="Q46" s="139" t="s">
        <v>2882</v>
      </c>
    </row>
    <row r="47" spans="1:19" ht="45.75" hidden="1">
      <c r="A47" s="104">
        <v>46</v>
      </c>
      <c r="B47" s="52"/>
      <c r="C47" s="44" t="s">
        <v>2883</v>
      </c>
      <c r="D47" s="46" t="s">
        <v>2884</v>
      </c>
      <c r="E47" s="46" t="s">
        <v>2885</v>
      </c>
      <c r="F47" s="43">
        <v>7990047943</v>
      </c>
      <c r="G47" s="43"/>
      <c r="H47" s="43" t="s">
        <v>1525</v>
      </c>
      <c r="I47" s="42">
        <v>45806</v>
      </c>
      <c r="J47" s="42"/>
      <c r="K47" s="43">
        <v>11</v>
      </c>
      <c r="L47" s="43"/>
      <c r="M47" s="7" t="s">
        <v>176</v>
      </c>
      <c r="N47" s="44"/>
      <c r="O47" s="43"/>
      <c r="P47" s="186"/>
      <c r="Q47" s="139" t="s">
        <v>2886</v>
      </c>
    </row>
    <row r="48" spans="1:19" s="174" customFormat="1" ht="45.75">
      <c r="A48" s="218">
        <v>47</v>
      </c>
      <c r="B48" s="299"/>
      <c r="C48" s="192" t="s">
        <v>2887</v>
      </c>
      <c r="D48" s="253" t="s">
        <v>2888</v>
      </c>
      <c r="E48" s="253" t="s">
        <v>2889</v>
      </c>
      <c r="F48" s="192">
        <v>8088453972</v>
      </c>
      <c r="G48" s="192"/>
      <c r="H48" s="192"/>
      <c r="I48" s="257">
        <v>45807</v>
      </c>
      <c r="J48" s="257"/>
      <c r="K48" s="192">
        <v>11</v>
      </c>
      <c r="L48" s="192"/>
      <c r="M48" s="18" t="s">
        <v>195</v>
      </c>
      <c r="N48" s="177"/>
      <c r="O48" s="192"/>
      <c r="P48" s="258"/>
      <c r="Q48" s="179" t="s">
        <v>2890</v>
      </c>
      <c r="R48" s="196"/>
      <c r="S48" s="219" t="s">
        <v>2891</v>
      </c>
    </row>
    <row r="49" spans="1:19" ht="60.75" hidden="1">
      <c r="A49" s="22">
        <v>48</v>
      </c>
      <c r="B49" s="52"/>
      <c r="C49" s="43" t="s">
        <v>2892</v>
      </c>
      <c r="D49" s="46" t="s">
        <v>2893</v>
      </c>
      <c r="E49" s="46" t="s">
        <v>2894</v>
      </c>
      <c r="F49" s="43">
        <v>9935876613</v>
      </c>
      <c r="G49" s="43"/>
      <c r="H49" s="43" t="s">
        <v>241</v>
      </c>
      <c r="I49" s="42">
        <v>45808</v>
      </c>
      <c r="J49" s="42"/>
      <c r="K49" s="43">
        <v>11</v>
      </c>
      <c r="L49" s="99"/>
      <c r="M49" s="54" t="s">
        <v>2895</v>
      </c>
      <c r="N49" s="186"/>
      <c r="O49" s="43"/>
      <c r="P49" s="186" t="s">
        <v>2895</v>
      </c>
      <c r="Q49" s="139" t="s">
        <v>2896</v>
      </c>
    </row>
    <row r="50" spans="1:19" s="174" customFormat="1" ht="45.75">
      <c r="A50" s="218">
        <v>49</v>
      </c>
      <c r="B50" s="299"/>
      <c r="C50" s="192" t="s">
        <v>2897</v>
      </c>
      <c r="D50" s="253" t="s">
        <v>2898</v>
      </c>
      <c r="E50" s="253" t="s">
        <v>2899</v>
      </c>
      <c r="F50" s="192">
        <v>9987088071</v>
      </c>
      <c r="G50" s="192"/>
      <c r="H50" s="192" t="s">
        <v>354</v>
      </c>
      <c r="I50" s="257">
        <v>45811</v>
      </c>
      <c r="J50" s="257"/>
      <c r="K50" s="192">
        <v>11</v>
      </c>
      <c r="L50" s="192"/>
      <c r="M50" s="18" t="s">
        <v>195</v>
      </c>
      <c r="N50" s="177"/>
      <c r="O50" s="192"/>
      <c r="P50" s="258"/>
      <c r="Q50" s="179" t="s">
        <v>2900</v>
      </c>
      <c r="R50" s="196"/>
      <c r="S50" s="219" t="s">
        <v>513</v>
      </c>
    </row>
    <row r="51" spans="1:19" ht="45.75" hidden="1">
      <c r="A51" s="104">
        <v>50</v>
      </c>
      <c r="B51" s="52"/>
      <c r="C51" s="43" t="s">
        <v>2901</v>
      </c>
      <c r="D51" s="46" t="s">
        <v>2902</v>
      </c>
      <c r="E51" s="46" t="s">
        <v>2903</v>
      </c>
      <c r="F51" s="43">
        <v>7418614446</v>
      </c>
      <c r="G51" s="43"/>
      <c r="H51" s="43" t="s">
        <v>275</v>
      </c>
      <c r="I51" s="42">
        <v>45812</v>
      </c>
      <c r="J51" s="42"/>
      <c r="K51" s="43">
        <v>11</v>
      </c>
      <c r="L51" s="43"/>
      <c r="M51" s="7" t="s">
        <v>195</v>
      </c>
      <c r="N51" s="44"/>
      <c r="O51" s="43"/>
      <c r="P51" s="186"/>
      <c r="Q51" s="139" t="s">
        <v>2904</v>
      </c>
    </row>
    <row r="52" spans="1:19" ht="106.5" hidden="1">
      <c r="A52" s="22">
        <v>51</v>
      </c>
      <c r="B52" s="52"/>
      <c r="C52" s="43" t="s">
        <v>2905</v>
      </c>
      <c r="D52" s="46" t="s">
        <v>2906</v>
      </c>
      <c r="E52" s="46" t="s">
        <v>2907</v>
      </c>
      <c r="F52" s="43">
        <v>9880470101</v>
      </c>
      <c r="G52" s="43"/>
      <c r="H52" s="43" t="s">
        <v>416</v>
      </c>
      <c r="I52" s="42">
        <v>45813</v>
      </c>
      <c r="J52" s="42"/>
      <c r="K52" s="43">
        <v>11</v>
      </c>
      <c r="L52" s="43"/>
      <c r="M52" s="7" t="s">
        <v>176</v>
      </c>
      <c r="N52" s="44"/>
      <c r="O52" s="43"/>
      <c r="P52" s="186"/>
      <c r="Q52" s="139" t="s">
        <v>2908</v>
      </c>
    </row>
    <row r="53" spans="1:19" ht="76.5" hidden="1">
      <c r="A53" s="22">
        <v>52</v>
      </c>
      <c r="B53" s="52"/>
      <c r="C53" s="43" t="s">
        <v>2909</v>
      </c>
      <c r="D53" s="46" t="s">
        <v>2910</v>
      </c>
      <c r="E53" s="46" t="s">
        <v>2911</v>
      </c>
      <c r="F53" s="43">
        <v>9901051378</v>
      </c>
      <c r="G53" s="43"/>
      <c r="H53" s="43" t="s">
        <v>416</v>
      </c>
      <c r="I53" s="42">
        <v>45813</v>
      </c>
      <c r="J53" s="42"/>
      <c r="K53" s="43">
        <v>11</v>
      </c>
      <c r="L53" s="43"/>
      <c r="M53" s="7" t="s">
        <v>176</v>
      </c>
      <c r="N53" s="44"/>
      <c r="O53" s="43"/>
      <c r="P53" s="186"/>
      <c r="Q53" s="139" t="s">
        <v>2912</v>
      </c>
    </row>
    <row r="54" spans="1:19" s="174" customFormat="1" ht="45.75">
      <c r="A54" s="218">
        <v>53</v>
      </c>
      <c r="B54" s="299"/>
      <c r="C54" s="192" t="s">
        <v>2913</v>
      </c>
      <c r="D54" s="253" t="s">
        <v>2914</v>
      </c>
      <c r="E54" s="253" t="s">
        <v>2915</v>
      </c>
      <c r="F54" s="192">
        <v>9851590880</v>
      </c>
      <c r="G54" s="192"/>
      <c r="H54" s="192"/>
      <c r="I54" s="257">
        <v>45814</v>
      </c>
      <c r="J54" s="257"/>
      <c r="K54" s="192">
        <v>11</v>
      </c>
      <c r="L54" s="192"/>
      <c r="M54" s="18" t="s">
        <v>176</v>
      </c>
      <c r="N54" s="177"/>
      <c r="O54" s="192"/>
      <c r="P54" s="258"/>
      <c r="Q54" s="179" t="s">
        <v>2916</v>
      </c>
      <c r="R54" s="219" t="s">
        <v>513</v>
      </c>
      <c r="S54" s="219" t="s">
        <v>513</v>
      </c>
    </row>
    <row r="55" spans="1:19" ht="45.75" hidden="1">
      <c r="A55" s="104">
        <v>54</v>
      </c>
      <c r="B55" s="52"/>
      <c r="C55" s="7" t="s">
        <v>2917</v>
      </c>
      <c r="D55" s="46" t="s">
        <v>2918</v>
      </c>
      <c r="E55" s="46" t="s">
        <v>2919</v>
      </c>
      <c r="F55" s="43">
        <v>9000011888</v>
      </c>
      <c r="G55" s="43"/>
      <c r="H55" s="43"/>
      <c r="I55" s="42">
        <v>45815</v>
      </c>
      <c r="J55" s="42"/>
      <c r="K55" s="43">
        <v>11</v>
      </c>
      <c r="L55" s="43"/>
      <c r="M55" s="7" t="s">
        <v>195</v>
      </c>
      <c r="N55" s="44"/>
      <c r="O55" s="43"/>
      <c r="P55" s="186"/>
      <c r="Q55" s="139" t="s">
        <v>2920</v>
      </c>
    </row>
    <row r="56" spans="1:19" ht="45.75" hidden="1">
      <c r="A56" s="22">
        <v>55</v>
      </c>
      <c r="B56" s="52"/>
      <c r="C56" s="44" t="s">
        <v>2921</v>
      </c>
      <c r="D56" s="46" t="s">
        <v>2922</v>
      </c>
      <c r="E56" s="46" t="s">
        <v>2923</v>
      </c>
      <c r="F56" s="43">
        <v>9953048710</v>
      </c>
      <c r="G56" s="43"/>
      <c r="H56" s="43"/>
      <c r="I56" s="42">
        <v>45824</v>
      </c>
      <c r="J56" s="42"/>
      <c r="K56" s="43">
        <v>11</v>
      </c>
      <c r="L56" s="43"/>
      <c r="M56" s="7" t="s">
        <v>195</v>
      </c>
      <c r="N56" s="44"/>
      <c r="O56" s="43"/>
      <c r="P56" s="186"/>
      <c r="Q56" s="139" t="s">
        <v>2924</v>
      </c>
    </row>
    <row r="57" spans="1:19" ht="45.75" hidden="1">
      <c r="A57" s="22">
        <v>56</v>
      </c>
      <c r="B57" s="52"/>
      <c r="C57" s="44" t="s">
        <v>2925</v>
      </c>
      <c r="D57" s="46" t="s">
        <v>2926</v>
      </c>
      <c r="E57" s="46" t="s">
        <v>2927</v>
      </c>
      <c r="F57" s="43">
        <v>7411153221</v>
      </c>
      <c r="G57" s="43"/>
      <c r="H57" s="43"/>
      <c r="I57" s="42">
        <v>45824</v>
      </c>
      <c r="J57" s="42"/>
      <c r="K57" s="43">
        <v>11</v>
      </c>
      <c r="L57" s="43"/>
      <c r="M57" s="7" t="s">
        <v>176</v>
      </c>
      <c r="N57" s="44"/>
      <c r="O57" s="43"/>
      <c r="P57" s="186"/>
      <c r="Q57" s="139" t="s">
        <v>2928</v>
      </c>
    </row>
    <row r="58" spans="1:19" ht="60.75" hidden="1">
      <c r="A58" s="22">
        <v>57</v>
      </c>
      <c r="B58" s="52"/>
      <c r="C58" s="7" t="s">
        <v>2929</v>
      </c>
      <c r="D58" s="46" t="s">
        <v>2930</v>
      </c>
      <c r="E58" s="46" t="s">
        <v>2931</v>
      </c>
      <c r="F58" s="43">
        <v>7996411687</v>
      </c>
      <c r="G58" s="43"/>
      <c r="H58" s="43"/>
      <c r="I58" s="42">
        <v>45825</v>
      </c>
      <c r="J58" s="42"/>
      <c r="K58" s="43">
        <v>11</v>
      </c>
      <c r="L58" s="43"/>
      <c r="M58" s="7" t="s">
        <v>176</v>
      </c>
      <c r="N58" s="44"/>
      <c r="O58" s="43"/>
      <c r="P58" s="186"/>
      <c r="Q58" s="139" t="s">
        <v>2932</v>
      </c>
    </row>
    <row r="59" spans="1:19" ht="45.75" hidden="1">
      <c r="A59" s="104">
        <v>58</v>
      </c>
      <c r="B59" s="52"/>
      <c r="C59" s="43" t="s">
        <v>2933</v>
      </c>
      <c r="D59" s="46" t="s">
        <v>2934</v>
      </c>
      <c r="E59" s="46" t="s">
        <v>2935</v>
      </c>
      <c r="F59" s="43">
        <v>9844919793</v>
      </c>
      <c r="G59" s="43"/>
      <c r="H59" s="43"/>
      <c r="I59" s="42">
        <v>45827</v>
      </c>
      <c r="J59" s="42"/>
      <c r="K59" s="43">
        <v>11</v>
      </c>
      <c r="L59" s="43"/>
      <c r="M59" s="7" t="s">
        <v>195</v>
      </c>
      <c r="N59" s="44"/>
      <c r="O59" s="43"/>
      <c r="P59" s="186"/>
      <c r="Q59" s="139" t="s">
        <v>2936</v>
      </c>
    </row>
    <row r="60" spans="1:19" ht="76.5" hidden="1">
      <c r="A60" s="22">
        <v>59</v>
      </c>
      <c r="B60" s="52"/>
      <c r="C60" s="43"/>
      <c r="D60" s="46" t="s">
        <v>2937</v>
      </c>
      <c r="E60" s="46" t="s">
        <v>2938</v>
      </c>
      <c r="F60" s="43">
        <v>8847867323</v>
      </c>
      <c r="G60" s="43"/>
      <c r="H60" s="43"/>
      <c r="I60" s="42">
        <v>45827</v>
      </c>
      <c r="J60" s="42"/>
      <c r="K60" s="43">
        <v>11</v>
      </c>
      <c r="L60" s="43"/>
      <c r="M60" s="7" t="s">
        <v>176</v>
      </c>
      <c r="N60" s="44"/>
      <c r="O60" s="43"/>
      <c r="P60" s="186"/>
      <c r="Q60" s="139" t="s">
        <v>2939</v>
      </c>
    </row>
    <row r="61" spans="1:19" ht="45.75" hidden="1">
      <c r="A61" s="22">
        <v>60</v>
      </c>
      <c r="B61" s="52"/>
      <c r="C61" s="43"/>
      <c r="D61" s="46" t="s">
        <v>2940</v>
      </c>
      <c r="E61" s="46" t="s">
        <v>2941</v>
      </c>
      <c r="F61" s="43">
        <v>7054443998</v>
      </c>
      <c r="G61" s="43"/>
      <c r="H61" s="43"/>
      <c r="I61" s="42">
        <v>45829</v>
      </c>
      <c r="J61" s="42"/>
      <c r="K61" s="43">
        <v>11</v>
      </c>
      <c r="L61" s="43"/>
      <c r="M61" s="7" t="s">
        <v>195</v>
      </c>
      <c r="N61" s="44"/>
      <c r="O61" s="43"/>
      <c r="P61" s="186"/>
      <c r="Q61" s="139" t="s">
        <v>2942</v>
      </c>
    </row>
    <row r="62" spans="1:19" ht="45.75" hidden="1">
      <c r="A62" s="22">
        <v>61</v>
      </c>
      <c r="B62" s="52"/>
      <c r="C62" s="43" t="s">
        <v>2943</v>
      </c>
      <c r="D62" s="46" t="s">
        <v>2944</v>
      </c>
      <c r="E62" s="46" t="s">
        <v>2945</v>
      </c>
      <c r="F62" s="43">
        <v>8826932422</v>
      </c>
      <c r="G62" s="43"/>
      <c r="H62" s="43"/>
      <c r="I62" s="42">
        <v>45831</v>
      </c>
      <c r="J62" s="42"/>
      <c r="K62" s="43">
        <v>11</v>
      </c>
      <c r="L62" s="43"/>
      <c r="M62" s="7" t="s">
        <v>176</v>
      </c>
      <c r="N62" s="44"/>
      <c r="O62" s="43"/>
      <c r="P62" s="186"/>
      <c r="Q62" s="139" t="s">
        <v>2946</v>
      </c>
    </row>
    <row r="63" spans="1:19" s="174" customFormat="1" ht="45.75">
      <c r="A63" s="369">
        <v>62</v>
      </c>
      <c r="B63" s="299"/>
      <c r="C63" s="192" t="s">
        <v>2947</v>
      </c>
      <c r="D63" s="253" t="s">
        <v>2948</v>
      </c>
      <c r="E63" s="253" t="s">
        <v>2949</v>
      </c>
      <c r="F63" s="192">
        <v>9008957226</v>
      </c>
      <c r="G63" s="192"/>
      <c r="H63" s="192"/>
      <c r="I63" s="257">
        <v>45833</v>
      </c>
      <c r="J63" s="257"/>
      <c r="K63" s="192">
        <v>11</v>
      </c>
      <c r="L63" s="192"/>
      <c r="M63" s="18" t="s">
        <v>195</v>
      </c>
      <c r="N63" s="177"/>
      <c r="O63" s="192"/>
      <c r="P63" s="258"/>
      <c r="Q63" s="179" t="s">
        <v>2950</v>
      </c>
      <c r="R63" s="219" t="s">
        <v>513</v>
      </c>
      <c r="S63" s="219" t="s">
        <v>513</v>
      </c>
    </row>
    <row r="64" spans="1:19" ht="45.75" hidden="1">
      <c r="A64" s="22">
        <v>63</v>
      </c>
      <c r="B64" s="52"/>
      <c r="C64" s="43" t="s">
        <v>2951</v>
      </c>
      <c r="D64" s="46" t="s">
        <v>2952</v>
      </c>
      <c r="E64" s="46" t="s">
        <v>2953</v>
      </c>
      <c r="F64" s="43">
        <v>7987592680</v>
      </c>
      <c r="G64" s="43"/>
      <c r="H64" s="43"/>
      <c r="I64" s="42">
        <v>45835</v>
      </c>
      <c r="J64" s="42"/>
      <c r="K64" s="43">
        <v>11</v>
      </c>
      <c r="L64" s="43"/>
      <c r="M64" s="7" t="s">
        <v>176</v>
      </c>
      <c r="N64" s="44"/>
      <c r="O64" s="43"/>
      <c r="P64" s="186"/>
      <c r="Q64" s="139" t="s">
        <v>2954</v>
      </c>
    </row>
    <row r="65" spans="1:19" ht="45.75" hidden="1">
      <c r="A65" s="22">
        <v>64</v>
      </c>
      <c r="B65" s="52"/>
      <c r="C65" s="43" t="s">
        <v>2955</v>
      </c>
      <c r="D65" s="46" t="s">
        <v>2956</v>
      </c>
      <c r="E65" s="46" t="s">
        <v>2957</v>
      </c>
      <c r="F65" s="43">
        <v>7042557324</v>
      </c>
      <c r="G65" s="43"/>
      <c r="H65" s="43"/>
      <c r="I65" s="42">
        <v>45838</v>
      </c>
      <c r="J65" s="42"/>
      <c r="K65" s="43">
        <v>11</v>
      </c>
      <c r="L65" s="43"/>
      <c r="M65" s="7" t="s">
        <v>176</v>
      </c>
      <c r="N65" s="44"/>
      <c r="O65" s="43"/>
      <c r="P65" s="186"/>
      <c r="Q65" s="139" t="s">
        <v>2958</v>
      </c>
    </row>
    <row r="66" spans="1:19" s="174" customFormat="1" ht="45.75">
      <c r="A66" s="218">
        <v>65</v>
      </c>
      <c r="B66" s="299"/>
      <c r="C66" s="192" t="s">
        <v>2959</v>
      </c>
      <c r="D66" s="253" t="s">
        <v>2960</v>
      </c>
      <c r="E66" s="253" t="s">
        <v>2961</v>
      </c>
      <c r="F66" s="192">
        <v>7011697796</v>
      </c>
      <c r="G66" s="192"/>
      <c r="H66" s="192"/>
      <c r="I66" s="257">
        <v>45838</v>
      </c>
      <c r="J66" s="257"/>
      <c r="K66" s="192">
        <v>11</v>
      </c>
      <c r="L66" s="192"/>
      <c r="M66" s="18" t="s">
        <v>195</v>
      </c>
      <c r="N66" s="177"/>
      <c r="O66" s="192"/>
      <c r="P66" s="258"/>
      <c r="Q66" s="179" t="s">
        <v>2962</v>
      </c>
      <c r="R66" s="219"/>
      <c r="S66" s="219" t="s">
        <v>513</v>
      </c>
    </row>
    <row r="67" spans="1:19" ht="45.75" hidden="1">
      <c r="A67" s="104">
        <v>66</v>
      </c>
      <c r="B67" s="52"/>
      <c r="C67" s="43" t="s">
        <v>2963</v>
      </c>
      <c r="D67" s="46" t="s">
        <v>2963</v>
      </c>
      <c r="E67" s="130" t="s">
        <v>2964</v>
      </c>
      <c r="F67" s="43">
        <v>8010633788</v>
      </c>
      <c r="G67" s="43"/>
      <c r="H67" s="43"/>
      <c r="I67" s="42">
        <v>45839</v>
      </c>
      <c r="J67" s="42"/>
      <c r="K67" s="43">
        <v>11</v>
      </c>
      <c r="L67" s="43"/>
      <c r="M67" s="7" t="s">
        <v>195</v>
      </c>
      <c r="N67" s="44"/>
      <c r="O67" s="43"/>
      <c r="P67" s="186"/>
      <c r="Q67" s="139" t="s">
        <v>2965</v>
      </c>
    </row>
    <row r="68" spans="1:19" ht="45.75" hidden="1">
      <c r="A68" s="22">
        <v>67</v>
      </c>
      <c r="B68" s="52"/>
      <c r="C68" s="43" t="s">
        <v>2966</v>
      </c>
      <c r="D68" s="46" t="s">
        <v>2967</v>
      </c>
      <c r="E68" s="46" t="s">
        <v>2968</v>
      </c>
      <c r="F68" s="43">
        <v>8956517175</v>
      </c>
      <c r="G68" s="43"/>
      <c r="H68" s="43"/>
      <c r="I68" s="42">
        <v>45841</v>
      </c>
      <c r="J68" s="42"/>
      <c r="K68" s="43">
        <v>11</v>
      </c>
      <c r="L68" s="43"/>
      <c r="M68" s="7" t="s">
        <v>176</v>
      </c>
      <c r="N68" s="44"/>
      <c r="O68" s="43"/>
      <c r="P68" s="186"/>
      <c r="Q68" s="139" t="s">
        <v>2969</v>
      </c>
    </row>
    <row r="69" spans="1:19" ht="45.75" hidden="1">
      <c r="A69" s="22">
        <v>68</v>
      </c>
      <c r="B69" s="52"/>
      <c r="C69" s="43" t="s">
        <v>2970</v>
      </c>
      <c r="D69" s="46" t="s">
        <v>2971</v>
      </c>
      <c r="E69" s="46" t="s">
        <v>2972</v>
      </c>
      <c r="F69" s="43">
        <v>9680827743</v>
      </c>
      <c r="G69" s="43"/>
      <c r="H69" s="43"/>
      <c r="I69" s="42">
        <v>45842</v>
      </c>
      <c r="J69" s="42"/>
      <c r="K69" s="43">
        <v>11</v>
      </c>
      <c r="L69" s="43"/>
      <c r="M69" s="7" t="s">
        <v>176</v>
      </c>
      <c r="N69" s="44"/>
      <c r="O69" s="43"/>
      <c r="P69" s="186"/>
      <c r="Q69" s="139" t="s">
        <v>2973</v>
      </c>
    </row>
    <row r="70" spans="1:19" ht="60.75" hidden="1">
      <c r="A70" s="22">
        <v>69</v>
      </c>
      <c r="B70" s="52"/>
      <c r="C70" s="43" t="s">
        <v>2974</v>
      </c>
      <c r="D70" s="46" t="s">
        <v>2975</v>
      </c>
      <c r="E70" s="46" t="s">
        <v>2976</v>
      </c>
      <c r="F70" s="43">
        <v>8971245868</v>
      </c>
      <c r="G70" s="43"/>
      <c r="H70" s="43"/>
      <c r="I70" s="42">
        <v>45845</v>
      </c>
      <c r="J70" s="42"/>
      <c r="K70" s="43">
        <v>11</v>
      </c>
      <c r="L70" s="43"/>
      <c r="M70" s="7" t="s">
        <v>195</v>
      </c>
      <c r="N70" s="44"/>
      <c r="O70" s="43"/>
      <c r="P70" s="186"/>
      <c r="Q70" s="139" t="s">
        <v>2977</v>
      </c>
    </row>
    <row r="71" spans="1:19" ht="45.75" hidden="1">
      <c r="A71" s="104">
        <v>70</v>
      </c>
      <c r="B71" s="52"/>
      <c r="C71" s="43" t="s">
        <v>2978</v>
      </c>
      <c r="D71" s="46" t="s">
        <v>2979</v>
      </c>
      <c r="E71" s="46" t="s">
        <v>2980</v>
      </c>
      <c r="F71" s="43">
        <v>8129994379</v>
      </c>
      <c r="G71" s="43"/>
      <c r="H71" s="43"/>
      <c r="I71" s="42">
        <v>45846</v>
      </c>
      <c r="J71" s="42"/>
      <c r="K71" s="43">
        <v>11</v>
      </c>
      <c r="L71" s="43"/>
      <c r="M71" s="7" t="s">
        <v>176</v>
      </c>
      <c r="N71" s="44"/>
      <c r="O71" s="43"/>
      <c r="P71" s="186"/>
      <c r="Q71" s="139" t="s">
        <v>2981</v>
      </c>
    </row>
    <row r="72" spans="1:19" ht="45.75" hidden="1">
      <c r="A72" s="22">
        <v>71</v>
      </c>
      <c r="B72" s="52"/>
      <c r="C72" s="43" t="s">
        <v>2982</v>
      </c>
      <c r="D72" s="46" t="s">
        <v>2983</v>
      </c>
      <c r="E72" s="130" t="s">
        <v>2984</v>
      </c>
      <c r="F72" s="43">
        <v>9352971069</v>
      </c>
      <c r="G72" s="43"/>
      <c r="H72" s="43"/>
      <c r="I72" s="42">
        <v>45847</v>
      </c>
      <c r="J72" s="42"/>
      <c r="K72" s="43">
        <v>11</v>
      </c>
      <c r="L72" s="43"/>
      <c r="M72" s="7" t="s">
        <v>176</v>
      </c>
      <c r="N72" s="44"/>
      <c r="O72" s="43"/>
      <c r="P72" s="186"/>
      <c r="Q72" s="139" t="s">
        <v>2985</v>
      </c>
    </row>
    <row r="73" spans="1:19" ht="45.75" hidden="1">
      <c r="A73" s="22">
        <v>72</v>
      </c>
      <c r="B73" s="52"/>
      <c r="C73" s="43" t="s">
        <v>2986</v>
      </c>
      <c r="D73" s="46" t="s">
        <v>2987</v>
      </c>
      <c r="E73" s="46" t="s">
        <v>2988</v>
      </c>
      <c r="F73" s="43">
        <v>7634015950</v>
      </c>
      <c r="G73" s="43"/>
      <c r="H73" s="43"/>
      <c r="I73" s="42">
        <v>45852</v>
      </c>
      <c r="J73" s="42"/>
      <c r="K73" s="43">
        <v>11</v>
      </c>
      <c r="L73" s="43"/>
      <c r="M73" s="7" t="s">
        <v>195</v>
      </c>
      <c r="N73" s="44"/>
      <c r="O73" s="43"/>
      <c r="P73" s="186"/>
      <c r="Q73" s="139" t="s">
        <v>2989</v>
      </c>
    </row>
    <row r="74" spans="1:19" s="174" customFormat="1" ht="45.75">
      <c r="A74" s="218">
        <v>73</v>
      </c>
      <c r="B74" s="299"/>
      <c r="C74" s="192" t="s">
        <v>2990</v>
      </c>
      <c r="D74" s="253" t="s">
        <v>2991</v>
      </c>
      <c r="E74" s="253" t="s">
        <v>2992</v>
      </c>
      <c r="F74" s="177" t="s">
        <v>2993</v>
      </c>
      <c r="G74" s="192"/>
      <c r="H74" s="192"/>
      <c r="I74" s="257">
        <v>45852</v>
      </c>
      <c r="J74" s="257"/>
      <c r="K74" s="192">
        <v>11</v>
      </c>
      <c r="L74" s="192"/>
      <c r="M74" s="18" t="s">
        <v>176</v>
      </c>
      <c r="N74" s="177"/>
      <c r="O74" s="192"/>
      <c r="P74" s="258"/>
      <c r="Q74" s="179" t="s">
        <v>2994</v>
      </c>
      <c r="R74" s="196"/>
      <c r="S74" s="219" t="s">
        <v>243</v>
      </c>
    </row>
    <row r="75" spans="1:19" ht="45.75" hidden="1">
      <c r="A75" s="104">
        <v>74</v>
      </c>
      <c r="B75" s="52"/>
      <c r="C75" s="43"/>
      <c r="D75" s="46" t="s">
        <v>2995</v>
      </c>
      <c r="E75" s="46" t="s">
        <v>2996</v>
      </c>
      <c r="F75" s="43">
        <v>9880030061</v>
      </c>
      <c r="G75" s="43"/>
      <c r="H75" s="43"/>
      <c r="I75" s="42">
        <v>45854</v>
      </c>
      <c r="J75" s="42"/>
      <c r="K75" s="43">
        <v>11</v>
      </c>
      <c r="L75" s="43"/>
      <c r="M75" s="7" t="s">
        <v>176</v>
      </c>
      <c r="N75" s="44"/>
      <c r="O75" s="43"/>
      <c r="P75" s="186"/>
      <c r="Q75" s="139" t="s">
        <v>2997</v>
      </c>
    </row>
    <row r="76" spans="1:19" s="174" customFormat="1" ht="45.75">
      <c r="A76" s="218">
        <v>75</v>
      </c>
      <c r="B76" s="299"/>
      <c r="C76" s="192" t="s">
        <v>2998</v>
      </c>
      <c r="D76" s="253" t="s">
        <v>2999</v>
      </c>
      <c r="E76" s="253" t="s">
        <v>3000</v>
      </c>
      <c r="F76" s="192">
        <v>9880713335</v>
      </c>
      <c r="G76" s="192"/>
      <c r="H76" s="192"/>
      <c r="I76" s="257">
        <v>45854</v>
      </c>
      <c r="J76" s="257"/>
      <c r="K76" s="192">
        <v>11</v>
      </c>
      <c r="L76" s="192"/>
      <c r="M76" s="18" t="s">
        <v>176</v>
      </c>
      <c r="N76" s="177"/>
      <c r="O76" s="192"/>
      <c r="P76" s="258"/>
      <c r="Q76" s="408" t="s">
        <v>3001</v>
      </c>
      <c r="R76" s="196"/>
      <c r="S76" s="219" t="s">
        <v>513</v>
      </c>
    </row>
    <row r="77" spans="1:19" s="174" customFormat="1" ht="45.75">
      <c r="A77" s="218">
        <v>76</v>
      </c>
      <c r="B77" s="299"/>
      <c r="C77" s="192" t="s">
        <v>3002</v>
      </c>
      <c r="D77" s="253" t="s">
        <v>3003</v>
      </c>
      <c r="E77" s="253" t="s">
        <v>3004</v>
      </c>
      <c r="F77" s="192">
        <v>9738107008</v>
      </c>
      <c r="G77" s="192"/>
      <c r="H77" s="192"/>
      <c r="I77" s="257">
        <v>45854</v>
      </c>
      <c r="J77" s="257"/>
      <c r="K77" s="192">
        <v>11</v>
      </c>
      <c r="L77" s="192"/>
      <c r="M77" s="18" t="s">
        <v>176</v>
      </c>
      <c r="N77" s="177"/>
      <c r="O77" s="192"/>
      <c r="P77" s="258"/>
      <c r="Q77" s="179" t="s">
        <v>3005</v>
      </c>
      <c r="R77" s="196"/>
      <c r="S77" s="219" t="s">
        <v>513</v>
      </c>
    </row>
    <row r="78" spans="1:19" s="174" customFormat="1" ht="45.75">
      <c r="A78" s="218">
        <v>77</v>
      </c>
      <c r="B78" s="299"/>
      <c r="C78" s="192"/>
      <c r="D78" s="253" t="s">
        <v>3006</v>
      </c>
      <c r="E78" s="253" t="s">
        <v>3007</v>
      </c>
      <c r="F78" s="192">
        <v>9849393072</v>
      </c>
      <c r="G78" s="192"/>
      <c r="H78" s="192"/>
      <c r="I78" s="257">
        <v>45859</v>
      </c>
      <c r="J78" s="257"/>
      <c r="K78" s="192">
        <v>11</v>
      </c>
      <c r="L78" s="192"/>
      <c r="M78" s="18" t="s">
        <v>176</v>
      </c>
      <c r="N78" s="177"/>
      <c r="O78" s="192"/>
      <c r="P78" s="258"/>
      <c r="Q78" s="179" t="s">
        <v>3008</v>
      </c>
      <c r="R78" s="196"/>
      <c r="S78" s="219" t="s">
        <v>513</v>
      </c>
    </row>
    <row r="79" spans="1:19" ht="45.75" hidden="1">
      <c r="A79" s="104">
        <v>78</v>
      </c>
      <c r="B79" s="52"/>
      <c r="C79" s="43"/>
      <c r="D79" s="46" t="s">
        <v>3009</v>
      </c>
      <c r="E79" s="46" t="s">
        <v>3010</v>
      </c>
      <c r="F79" s="43">
        <v>8129994379</v>
      </c>
      <c r="G79" s="43"/>
      <c r="H79" s="43"/>
      <c r="I79" s="42"/>
      <c r="J79" s="42"/>
      <c r="K79" s="43">
        <v>11</v>
      </c>
      <c r="L79" s="43"/>
      <c r="M79" s="7" t="s">
        <v>176</v>
      </c>
      <c r="N79" s="44"/>
      <c r="O79" s="43"/>
      <c r="P79" s="186"/>
      <c r="Q79" s="139" t="s">
        <v>3011</v>
      </c>
    </row>
    <row r="80" spans="1:19" ht="45.75" hidden="1">
      <c r="A80" s="22">
        <v>79</v>
      </c>
      <c r="B80" s="52"/>
      <c r="C80" s="43"/>
      <c r="D80" s="46" t="s">
        <v>3012</v>
      </c>
      <c r="E80" s="46" t="s">
        <v>3010</v>
      </c>
      <c r="F80" s="43">
        <v>8129994379</v>
      </c>
      <c r="G80" s="43"/>
      <c r="H80" s="43"/>
      <c r="I80" s="42"/>
      <c r="J80" s="42"/>
      <c r="K80" s="43">
        <v>11</v>
      </c>
      <c r="L80" s="43"/>
      <c r="M80" s="7" t="s">
        <v>176</v>
      </c>
      <c r="N80" s="44"/>
      <c r="O80" s="43"/>
      <c r="P80" s="186"/>
      <c r="Q80" s="139" t="s">
        <v>3013</v>
      </c>
    </row>
    <row r="81" spans="1:19" ht="76.5" hidden="1">
      <c r="A81" s="22">
        <v>80</v>
      </c>
      <c r="B81" s="52"/>
      <c r="C81" s="43"/>
      <c r="D81" s="46" t="s">
        <v>3014</v>
      </c>
      <c r="E81" s="46" t="s">
        <v>3015</v>
      </c>
      <c r="F81" s="43">
        <v>9008462262</v>
      </c>
      <c r="G81" s="43"/>
      <c r="H81" s="43"/>
      <c r="I81" s="42"/>
      <c r="J81" s="42"/>
      <c r="K81" s="43">
        <v>11</v>
      </c>
      <c r="L81" s="43"/>
      <c r="M81" s="7" t="s">
        <v>195</v>
      </c>
      <c r="N81" s="44"/>
      <c r="O81" s="43"/>
      <c r="P81" s="186"/>
      <c r="Q81" s="139" t="s">
        <v>3016</v>
      </c>
    </row>
    <row r="82" spans="1:19" s="174" customFormat="1" ht="45.75">
      <c r="A82" s="218">
        <v>81</v>
      </c>
      <c r="B82" s="299"/>
      <c r="C82" s="192"/>
      <c r="D82" s="253" t="s">
        <v>3017</v>
      </c>
      <c r="E82" s="253" t="s">
        <v>3018</v>
      </c>
      <c r="F82" s="192">
        <v>9945478888</v>
      </c>
      <c r="G82" s="192"/>
      <c r="H82" s="192" t="s">
        <v>416</v>
      </c>
      <c r="I82" s="257">
        <v>45863</v>
      </c>
      <c r="J82" s="257">
        <v>45801</v>
      </c>
      <c r="K82" s="192">
        <v>11</v>
      </c>
      <c r="L82" s="192"/>
      <c r="M82" s="18" t="s">
        <v>176</v>
      </c>
      <c r="N82" s="177"/>
      <c r="O82" s="192"/>
      <c r="P82" s="258"/>
      <c r="Q82" s="179" t="s">
        <v>3019</v>
      </c>
      <c r="R82" s="196"/>
      <c r="S82" s="219" t="s">
        <v>3020</v>
      </c>
    </row>
    <row r="83" spans="1:19" ht="45.75" hidden="1">
      <c r="A83" s="104">
        <v>82</v>
      </c>
      <c r="B83" s="52"/>
      <c r="C83" s="43"/>
      <c r="D83" s="46" t="s">
        <v>3021</v>
      </c>
      <c r="E83" s="46" t="s">
        <v>3022</v>
      </c>
      <c r="F83" s="43">
        <v>9009006955</v>
      </c>
      <c r="G83" s="43"/>
      <c r="H83" s="43" t="s">
        <v>3023</v>
      </c>
      <c r="I83" s="42">
        <v>45863</v>
      </c>
      <c r="J83" s="42">
        <v>45801</v>
      </c>
      <c r="K83" s="43">
        <v>11</v>
      </c>
      <c r="L83" s="43"/>
      <c r="M83" s="7" t="s">
        <v>176</v>
      </c>
      <c r="N83" s="44"/>
      <c r="O83" s="43"/>
      <c r="P83" s="186"/>
      <c r="Q83" s="139" t="s">
        <v>3024</v>
      </c>
    </row>
    <row r="84" spans="1:19" ht="45.75" hidden="1">
      <c r="A84" s="22">
        <v>83</v>
      </c>
      <c r="B84" s="52"/>
      <c r="C84" s="43"/>
      <c r="D84" s="46" t="s">
        <v>3025</v>
      </c>
      <c r="E84" s="46" t="s">
        <v>3026</v>
      </c>
      <c r="F84" s="43">
        <v>6376006982</v>
      </c>
      <c r="G84" s="43"/>
      <c r="H84" s="43" t="s">
        <v>416</v>
      </c>
      <c r="I84" s="42">
        <v>45864</v>
      </c>
      <c r="J84" s="42">
        <v>45802</v>
      </c>
      <c r="K84" s="43">
        <v>11</v>
      </c>
      <c r="L84" s="43"/>
      <c r="M84" s="7" t="s">
        <v>176</v>
      </c>
      <c r="N84" s="44"/>
      <c r="O84" s="43"/>
      <c r="P84" s="186"/>
      <c r="Q84" s="139" t="s">
        <v>3027</v>
      </c>
    </row>
    <row r="85" spans="1:19" ht="45.75" hidden="1">
      <c r="A85" s="22">
        <v>84</v>
      </c>
      <c r="B85" s="52"/>
      <c r="C85" s="43"/>
      <c r="D85" s="46" t="s">
        <v>3028</v>
      </c>
      <c r="E85" s="46" t="s">
        <v>3029</v>
      </c>
      <c r="F85" s="43">
        <v>8867766692</v>
      </c>
      <c r="G85" s="43"/>
      <c r="H85" s="43" t="s">
        <v>416</v>
      </c>
      <c r="I85" s="42">
        <v>45868</v>
      </c>
      <c r="J85" s="42"/>
      <c r="K85" s="43">
        <v>11</v>
      </c>
      <c r="L85" s="43"/>
      <c r="M85" s="7" t="s">
        <v>176</v>
      </c>
      <c r="N85" s="44"/>
      <c r="O85" s="43"/>
      <c r="P85" s="186"/>
      <c r="Q85" s="139" t="s">
        <v>3030</v>
      </c>
    </row>
    <row r="86" spans="1:19" ht="60.75" hidden="1">
      <c r="A86" s="22">
        <v>85</v>
      </c>
      <c r="B86" s="52"/>
      <c r="C86" s="43"/>
      <c r="D86" s="46" t="s">
        <v>3031</v>
      </c>
      <c r="E86" s="46" t="s">
        <v>3032</v>
      </c>
      <c r="F86" s="43">
        <v>9110685639</v>
      </c>
      <c r="G86" s="43"/>
      <c r="H86" s="43" t="s">
        <v>416</v>
      </c>
      <c r="I86" s="42">
        <v>45868</v>
      </c>
      <c r="J86" s="42"/>
      <c r="K86" s="43">
        <v>11</v>
      </c>
      <c r="L86" s="43"/>
      <c r="M86" s="7" t="s">
        <v>195</v>
      </c>
      <c r="N86" s="44"/>
      <c r="O86" s="43"/>
      <c r="P86" s="186"/>
      <c r="Q86" s="139" t="s">
        <v>3033</v>
      </c>
    </row>
    <row r="87" spans="1:19" ht="45.75" hidden="1">
      <c r="A87" s="104">
        <v>86</v>
      </c>
      <c r="B87" s="52"/>
      <c r="C87" s="43"/>
      <c r="D87" s="46" t="s">
        <v>3034</v>
      </c>
      <c r="E87" s="46" t="s">
        <v>3035</v>
      </c>
      <c r="F87" s="43">
        <v>9686908242</v>
      </c>
      <c r="G87" s="43"/>
      <c r="H87" s="43" t="s">
        <v>416</v>
      </c>
      <c r="I87" s="42">
        <v>45868</v>
      </c>
      <c r="J87" s="42"/>
      <c r="K87" s="43">
        <v>11</v>
      </c>
      <c r="L87" s="43"/>
      <c r="M87" s="7" t="s">
        <v>176</v>
      </c>
      <c r="N87" s="44"/>
      <c r="O87" s="43"/>
      <c r="P87" s="186"/>
      <c r="Q87" s="139" t="s">
        <v>3036</v>
      </c>
    </row>
    <row r="88" spans="1:19" s="174" customFormat="1" ht="76.5">
      <c r="A88" s="218">
        <v>87</v>
      </c>
      <c r="B88" s="299"/>
      <c r="C88" s="192"/>
      <c r="D88" s="253" t="s">
        <v>3037</v>
      </c>
      <c r="E88" s="253" t="s">
        <v>3038</v>
      </c>
      <c r="F88" s="192">
        <v>9481404261</v>
      </c>
      <c r="G88" s="192"/>
      <c r="H88" s="192" t="s">
        <v>416</v>
      </c>
      <c r="I88" s="257">
        <v>45869</v>
      </c>
      <c r="J88" s="257"/>
      <c r="K88" s="192">
        <v>11</v>
      </c>
      <c r="L88" s="192"/>
      <c r="M88" s="18" t="s">
        <v>176</v>
      </c>
      <c r="N88" s="177"/>
      <c r="O88" s="192" t="s">
        <v>3039</v>
      </c>
      <c r="P88" s="258"/>
      <c r="Q88" s="179" t="s">
        <v>3040</v>
      </c>
      <c r="R88" s="196"/>
      <c r="S88" s="196" t="s">
        <v>3020</v>
      </c>
    </row>
    <row r="89" spans="1:19" s="174" customFormat="1" ht="45.75">
      <c r="A89" s="218">
        <v>88</v>
      </c>
      <c r="B89" s="299"/>
      <c r="C89" s="192"/>
      <c r="D89" s="253" t="s">
        <v>3041</v>
      </c>
      <c r="E89" s="253" t="s">
        <v>3042</v>
      </c>
      <c r="F89" s="177" t="s">
        <v>3043</v>
      </c>
      <c r="G89" s="192"/>
      <c r="H89" s="192" t="s">
        <v>202</v>
      </c>
      <c r="I89" s="257">
        <v>45869</v>
      </c>
      <c r="J89" s="257"/>
      <c r="K89" s="192">
        <v>11</v>
      </c>
      <c r="L89" s="192"/>
      <c r="M89" s="18" t="s">
        <v>176</v>
      </c>
      <c r="N89" s="177"/>
      <c r="O89" s="192"/>
      <c r="P89" s="258"/>
      <c r="Q89" s="179" t="s">
        <v>3044</v>
      </c>
      <c r="R89" s="196"/>
      <c r="S89" s="196" t="s">
        <v>3020</v>
      </c>
    </row>
    <row r="90" spans="1:19" ht="45.75" hidden="1">
      <c r="A90" s="22">
        <v>89</v>
      </c>
      <c r="B90" s="52" t="s">
        <v>227</v>
      </c>
      <c r="C90" s="43" t="s">
        <v>3045</v>
      </c>
      <c r="D90" s="46" t="s">
        <v>3046</v>
      </c>
      <c r="E90" s="46" t="s">
        <v>3047</v>
      </c>
      <c r="F90" s="43">
        <v>9663069944</v>
      </c>
      <c r="G90" s="43"/>
      <c r="H90" s="43" t="s">
        <v>2095</v>
      </c>
      <c r="I90" s="42">
        <v>45869</v>
      </c>
      <c r="J90" s="42">
        <v>46203</v>
      </c>
      <c r="K90" s="43">
        <v>11</v>
      </c>
      <c r="L90" s="43"/>
      <c r="M90" s="7" t="s">
        <v>176</v>
      </c>
      <c r="N90" s="44"/>
      <c r="O90" s="43"/>
      <c r="P90" s="186"/>
      <c r="Q90" s="139" t="s">
        <v>3048</v>
      </c>
    </row>
    <row r="91" spans="1:19" ht="60.75" hidden="1">
      <c r="A91" s="22">
        <v>90</v>
      </c>
      <c r="B91" s="52" t="s">
        <v>227</v>
      </c>
      <c r="C91" s="43" t="s">
        <v>3049</v>
      </c>
      <c r="D91" s="46" t="s">
        <v>3050</v>
      </c>
      <c r="E91" s="46" t="s">
        <v>3051</v>
      </c>
      <c r="F91" s="44" t="s">
        <v>3052</v>
      </c>
      <c r="G91" s="43" t="s">
        <v>3053</v>
      </c>
      <c r="H91" s="43" t="s">
        <v>303</v>
      </c>
      <c r="I91" s="42">
        <v>45869</v>
      </c>
      <c r="J91" s="42">
        <v>46203</v>
      </c>
      <c r="K91" s="43">
        <v>11</v>
      </c>
      <c r="L91" s="43"/>
      <c r="M91" s="7" t="s">
        <v>176</v>
      </c>
      <c r="N91" s="44"/>
      <c r="O91" s="43"/>
      <c r="P91" s="186"/>
      <c r="Q91" s="139" t="s">
        <v>3054</v>
      </c>
    </row>
    <row r="92" spans="1:19" ht="76.5" hidden="1">
      <c r="A92" s="22">
        <v>91</v>
      </c>
      <c r="B92" s="52" t="s">
        <v>227</v>
      </c>
      <c r="C92" s="43" t="s">
        <v>3055</v>
      </c>
      <c r="D92" s="46" t="s">
        <v>3056</v>
      </c>
      <c r="E92" s="46" t="s">
        <v>3057</v>
      </c>
      <c r="F92" s="43">
        <v>9686609210</v>
      </c>
      <c r="G92" s="43" t="s">
        <v>3058</v>
      </c>
      <c r="H92" s="43" t="s">
        <v>1737</v>
      </c>
      <c r="I92" s="42">
        <v>45782</v>
      </c>
      <c r="J92" s="42">
        <v>46117</v>
      </c>
      <c r="K92" s="43">
        <v>11</v>
      </c>
      <c r="L92" s="43"/>
      <c r="M92" s="7" t="s">
        <v>195</v>
      </c>
      <c r="N92" s="44"/>
      <c r="O92" s="43"/>
      <c r="P92" s="186"/>
      <c r="Q92" s="139" t="s">
        <v>3059</v>
      </c>
    </row>
    <row r="93" spans="1:19" ht="60.75" hidden="1">
      <c r="A93" s="22">
        <v>92</v>
      </c>
      <c r="B93" s="52" t="s">
        <v>227</v>
      </c>
      <c r="C93" s="43" t="s">
        <v>3060</v>
      </c>
      <c r="D93" s="46" t="s">
        <v>3061</v>
      </c>
      <c r="E93" s="46" t="s">
        <v>3062</v>
      </c>
      <c r="F93" s="43">
        <v>9308685239</v>
      </c>
      <c r="G93" s="43" t="s">
        <v>3063</v>
      </c>
      <c r="H93" s="43" t="s">
        <v>3064</v>
      </c>
      <c r="I93" s="42">
        <v>45881</v>
      </c>
      <c r="J93" s="42">
        <v>46215</v>
      </c>
      <c r="K93" s="43">
        <v>11</v>
      </c>
      <c r="L93" s="43"/>
      <c r="M93" s="7" t="s">
        <v>176</v>
      </c>
      <c r="N93" s="44"/>
      <c r="O93" s="43"/>
      <c r="P93" s="186"/>
      <c r="Q93" s="133" t="s">
        <v>3065</v>
      </c>
    </row>
    <row r="94" spans="1:19" ht="60.75" hidden="1">
      <c r="A94" s="22">
        <v>93</v>
      </c>
      <c r="B94" s="52" t="s">
        <v>227</v>
      </c>
      <c r="C94" s="43" t="s">
        <v>3066</v>
      </c>
      <c r="D94" s="46" t="s">
        <v>3067</v>
      </c>
      <c r="E94" s="46" t="s">
        <v>3068</v>
      </c>
      <c r="F94" s="43">
        <v>8500809333</v>
      </c>
      <c r="G94" s="43" t="s">
        <v>3069</v>
      </c>
      <c r="H94" s="43" t="s">
        <v>690</v>
      </c>
      <c r="I94" s="42">
        <v>45877</v>
      </c>
      <c r="J94" s="42">
        <v>46211</v>
      </c>
      <c r="K94" s="43">
        <v>11</v>
      </c>
      <c r="L94" s="43"/>
      <c r="M94" s="7" t="s">
        <v>176</v>
      </c>
      <c r="N94" s="44"/>
      <c r="O94" s="43"/>
      <c r="P94" s="186"/>
      <c r="Q94" s="139" t="s">
        <v>3070</v>
      </c>
    </row>
    <row r="95" spans="1:19" ht="76.5" hidden="1">
      <c r="A95" s="22">
        <v>94</v>
      </c>
      <c r="B95" s="52" t="s">
        <v>227</v>
      </c>
      <c r="C95" s="43" t="s">
        <v>3071</v>
      </c>
      <c r="D95" s="46" t="s">
        <v>3072</v>
      </c>
      <c r="E95" s="46" t="s">
        <v>3073</v>
      </c>
      <c r="F95" s="43">
        <v>9738659221</v>
      </c>
      <c r="G95" s="43" t="s">
        <v>3074</v>
      </c>
      <c r="H95" s="43" t="s">
        <v>1737</v>
      </c>
      <c r="I95" s="42">
        <v>45876</v>
      </c>
      <c r="J95" s="42">
        <v>46210</v>
      </c>
      <c r="K95" s="43">
        <v>11</v>
      </c>
      <c r="L95" s="43"/>
      <c r="M95" s="7" t="s">
        <v>176</v>
      </c>
      <c r="N95" s="44"/>
      <c r="O95" s="43"/>
      <c r="P95" s="186"/>
      <c r="Q95" s="139" t="s">
        <v>3075</v>
      </c>
    </row>
    <row r="96" spans="1:19" ht="60.75" hidden="1">
      <c r="A96" s="22">
        <v>95</v>
      </c>
      <c r="B96" s="52" t="s">
        <v>227</v>
      </c>
      <c r="C96" s="43" t="s">
        <v>3076</v>
      </c>
      <c r="D96" s="46" t="s">
        <v>3077</v>
      </c>
      <c r="E96" s="46" t="s">
        <v>3078</v>
      </c>
      <c r="F96" s="43">
        <v>8547930824</v>
      </c>
      <c r="G96" s="43" t="s">
        <v>3079</v>
      </c>
      <c r="H96" s="43" t="s">
        <v>202</v>
      </c>
      <c r="I96" s="42">
        <v>45881</v>
      </c>
      <c r="J96" s="42">
        <v>46215</v>
      </c>
      <c r="K96" s="43">
        <v>11</v>
      </c>
      <c r="L96" s="43"/>
      <c r="M96" s="7" t="s">
        <v>176</v>
      </c>
      <c r="N96" s="44"/>
      <c r="O96" s="43"/>
      <c r="P96" s="186"/>
      <c r="Q96" s="139" t="s">
        <v>3080</v>
      </c>
    </row>
    <row r="97" spans="1:19" ht="91.5" hidden="1">
      <c r="A97" s="22">
        <v>96</v>
      </c>
      <c r="B97" s="52" t="s">
        <v>227</v>
      </c>
      <c r="C97" s="43" t="s">
        <v>3081</v>
      </c>
      <c r="D97" s="46" t="s">
        <v>3082</v>
      </c>
      <c r="E97" s="46" t="s">
        <v>3083</v>
      </c>
      <c r="F97" s="43">
        <v>9603171919</v>
      </c>
      <c r="G97" s="43" t="s">
        <v>3084</v>
      </c>
      <c r="H97" s="43" t="s">
        <v>3085</v>
      </c>
      <c r="I97" s="42">
        <v>45881</v>
      </c>
      <c r="J97" s="42">
        <v>46215</v>
      </c>
      <c r="K97" s="43">
        <v>11</v>
      </c>
      <c r="L97" s="43"/>
      <c r="M97" s="7" t="s">
        <v>195</v>
      </c>
      <c r="N97" s="44"/>
      <c r="O97" s="43"/>
      <c r="P97" s="186"/>
      <c r="Q97" s="139" t="s">
        <v>3086</v>
      </c>
    </row>
    <row r="98" spans="1:19" ht="60.75" hidden="1">
      <c r="A98" s="22">
        <v>97</v>
      </c>
      <c r="B98" s="52" t="s">
        <v>227</v>
      </c>
      <c r="C98" s="43" t="s">
        <v>3087</v>
      </c>
      <c r="D98" s="46" t="s">
        <v>3088</v>
      </c>
      <c r="E98" s="46" t="s">
        <v>3089</v>
      </c>
      <c r="F98" s="43">
        <v>9986809990</v>
      </c>
      <c r="G98" s="43" t="s">
        <v>3090</v>
      </c>
      <c r="H98" s="43" t="s">
        <v>1737</v>
      </c>
      <c r="I98" s="42">
        <v>45882</v>
      </c>
      <c r="J98" s="42">
        <v>46216</v>
      </c>
      <c r="K98" s="43">
        <v>11</v>
      </c>
      <c r="L98" s="43"/>
      <c r="M98" s="7" t="s">
        <v>176</v>
      </c>
      <c r="N98" s="44"/>
      <c r="O98" s="43"/>
      <c r="P98" s="186"/>
      <c r="Q98" s="139" t="s">
        <v>3091</v>
      </c>
    </row>
    <row r="99" spans="1:19" ht="60.75" hidden="1">
      <c r="A99" s="22">
        <v>98</v>
      </c>
      <c r="B99" s="52" t="s">
        <v>227</v>
      </c>
      <c r="C99" s="43" t="s">
        <v>3092</v>
      </c>
      <c r="D99" s="46" t="s">
        <v>3093</v>
      </c>
      <c r="E99" s="46" t="s">
        <v>3094</v>
      </c>
      <c r="F99" s="44" t="s">
        <v>3095</v>
      </c>
      <c r="G99" s="43" t="s">
        <v>3096</v>
      </c>
      <c r="H99" s="43" t="s">
        <v>290</v>
      </c>
      <c r="I99" s="42">
        <v>45874</v>
      </c>
      <c r="J99" s="42">
        <v>46208</v>
      </c>
      <c r="K99" s="43">
        <v>11</v>
      </c>
      <c r="L99" s="43"/>
      <c r="M99" s="7" t="s">
        <v>195</v>
      </c>
      <c r="N99" s="44"/>
      <c r="O99" s="43"/>
      <c r="P99" s="186"/>
      <c r="Q99" s="139" t="s">
        <v>3097</v>
      </c>
    </row>
    <row r="100" spans="1:19" ht="45.75" hidden="1">
      <c r="A100" s="22">
        <v>99</v>
      </c>
      <c r="B100" s="52" t="s">
        <v>227</v>
      </c>
      <c r="C100" s="43" t="s">
        <v>3098</v>
      </c>
      <c r="D100" s="46" t="s">
        <v>3099</v>
      </c>
      <c r="E100" s="46" t="s">
        <v>3100</v>
      </c>
      <c r="F100" s="43">
        <v>8073213660</v>
      </c>
      <c r="G100" s="43" t="s">
        <v>3101</v>
      </c>
      <c r="H100" s="43" t="s">
        <v>3102</v>
      </c>
      <c r="I100" s="42">
        <v>45876</v>
      </c>
      <c r="J100" s="42">
        <v>46210</v>
      </c>
      <c r="K100" s="43">
        <v>11</v>
      </c>
      <c r="L100" s="43"/>
      <c r="M100" s="7" t="s">
        <v>176</v>
      </c>
      <c r="N100" s="44"/>
      <c r="O100" s="43"/>
      <c r="P100" s="186" t="s">
        <v>3103</v>
      </c>
      <c r="Q100" s="133" t="s">
        <v>3104</v>
      </c>
    </row>
    <row r="101" spans="1:19" ht="91.5" hidden="1">
      <c r="A101" s="22">
        <v>100</v>
      </c>
      <c r="B101" s="52" t="s">
        <v>227</v>
      </c>
      <c r="C101" s="43" t="s">
        <v>3105</v>
      </c>
      <c r="D101" s="46" t="s">
        <v>3106</v>
      </c>
      <c r="E101" s="46" t="s">
        <v>3107</v>
      </c>
      <c r="F101" s="43">
        <v>9810305501</v>
      </c>
      <c r="G101" s="43" t="s">
        <v>3108</v>
      </c>
      <c r="H101" s="43" t="s">
        <v>3109</v>
      </c>
      <c r="I101" s="42">
        <v>45931</v>
      </c>
      <c r="J101" s="42">
        <v>46266</v>
      </c>
      <c r="K101" s="43">
        <v>11</v>
      </c>
      <c r="L101" s="43"/>
      <c r="M101" s="7" t="s">
        <v>195</v>
      </c>
      <c r="N101" s="44"/>
      <c r="O101" s="43"/>
      <c r="P101" s="186"/>
      <c r="Q101" s="139" t="s">
        <v>3110</v>
      </c>
    </row>
    <row r="102" spans="1:19" ht="45.75" hidden="1">
      <c r="A102" s="22">
        <v>101</v>
      </c>
      <c r="B102" s="52" t="s">
        <v>227</v>
      </c>
      <c r="C102" s="43" t="s">
        <v>3111</v>
      </c>
      <c r="D102" s="46" t="s">
        <v>3112</v>
      </c>
      <c r="E102" s="46" t="s">
        <v>3113</v>
      </c>
      <c r="F102" s="43">
        <v>9873492991</v>
      </c>
      <c r="G102" s="43" t="s">
        <v>3114</v>
      </c>
      <c r="H102" s="43" t="s">
        <v>261</v>
      </c>
      <c r="I102" s="42">
        <v>45883</v>
      </c>
      <c r="J102" s="42">
        <v>45852</v>
      </c>
      <c r="K102" s="43">
        <v>11</v>
      </c>
      <c r="L102" s="43"/>
      <c r="M102" s="7" t="s">
        <v>195</v>
      </c>
      <c r="N102" s="44"/>
      <c r="O102" s="43"/>
      <c r="P102" s="186"/>
      <c r="Q102" s="139"/>
    </row>
    <row r="103" spans="1:19" ht="45.75" hidden="1">
      <c r="A103" s="22">
        <v>102</v>
      </c>
      <c r="B103" s="52" t="s">
        <v>227</v>
      </c>
      <c r="C103" s="43" t="s">
        <v>3115</v>
      </c>
      <c r="D103" s="46" t="s">
        <v>3116</v>
      </c>
      <c r="E103" s="46" t="s">
        <v>3117</v>
      </c>
      <c r="F103" s="43">
        <v>9008954309</v>
      </c>
      <c r="G103" s="43" t="s">
        <v>3118</v>
      </c>
      <c r="H103" s="43" t="s">
        <v>3109</v>
      </c>
      <c r="I103" s="42">
        <v>45883</v>
      </c>
      <c r="J103" s="42">
        <v>45852</v>
      </c>
      <c r="K103" s="43">
        <v>11</v>
      </c>
      <c r="L103" s="43"/>
      <c r="M103" s="7" t="s">
        <v>195</v>
      </c>
      <c r="N103" s="44"/>
      <c r="O103" s="43"/>
      <c r="P103" s="186"/>
      <c r="Q103" s="139" t="s">
        <v>3119</v>
      </c>
    </row>
    <row r="104" spans="1:19" ht="40.5" hidden="1" customHeight="1">
      <c r="A104" s="22">
        <v>103</v>
      </c>
      <c r="B104" s="52" t="s">
        <v>227</v>
      </c>
      <c r="C104" s="43" t="s">
        <v>3120</v>
      </c>
      <c r="D104" s="46" t="s">
        <v>3121</v>
      </c>
      <c r="E104" s="46" t="s">
        <v>3122</v>
      </c>
      <c r="F104" s="43">
        <v>7970463095</v>
      </c>
      <c r="G104" s="43" t="s">
        <v>3123</v>
      </c>
      <c r="H104" s="43" t="s">
        <v>1737</v>
      </c>
      <c r="I104" s="42">
        <v>45885</v>
      </c>
      <c r="J104" s="42">
        <v>46219</v>
      </c>
      <c r="K104" s="43">
        <v>11</v>
      </c>
      <c r="L104" s="43"/>
      <c r="M104" s="7" t="s">
        <v>195</v>
      </c>
      <c r="N104" s="44"/>
      <c r="O104" s="43"/>
      <c r="P104" s="186"/>
      <c r="Q104" s="139" t="s">
        <v>3124</v>
      </c>
    </row>
    <row r="105" spans="1:19" ht="60.75" hidden="1">
      <c r="A105" s="22">
        <v>104</v>
      </c>
      <c r="B105" s="52" t="s">
        <v>227</v>
      </c>
      <c r="C105" s="43" t="s">
        <v>3125</v>
      </c>
      <c r="D105" s="46" t="s">
        <v>3126</v>
      </c>
      <c r="E105" s="46" t="s">
        <v>3127</v>
      </c>
      <c r="F105" s="44" t="s">
        <v>3128</v>
      </c>
      <c r="G105" s="43" t="s">
        <v>3129</v>
      </c>
      <c r="H105" s="43" t="s">
        <v>1966</v>
      </c>
      <c r="I105" s="42">
        <v>45887</v>
      </c>
      <c r="J105" s="42">
        <v>45856</v>
      </c>
      <c r="K105" s="43">
        <v>11</v>
      </c>
      <c r="L105" s="43"/>
      <c r="M105" s="7" t="s">
        <v>195</v>
      </c>
      <c r="N105" s="44"/>
      <c r="O105" s="43"/>
      <c r="P105" s="186"/>
      <c r="Q105" s="139" t="s">
        <v>3130</v>
      </c>
    </row>
    <row r="106" spans="1:19" ht="91.5" hidden="1">
      <c r="A106" s="22">
        <v>105</v>
      </c>
      <c r="B106" s="52" t="s">
        <v>227</v>
      </c>
      <c r="C106" s="43" t="s">
        <v>3131</v>
      </c>
      <c r="D106" s="46" t="s">
        <v>3132</v>
      </c>
      <c r="E106" s="46" t="s">
        <v>3133</v>
      </c>
      <c r="F106" s="43">
        <v>9980577445</v>
      </c>
      <c r="G106" s="43" t="s">
        <v>3134</v>
      </c>
      <c r="H106" s="43" t="s">
        <v>3109</v>
      </c>
      <c r="I106" s="42">
        <v>45883</v>
      </c>
      <c r="J106" s="42">
        <v>46217</v>
      </c>
      <c r="K106" s="43">
        <v>11</v>
      </c>
      <c r="L106" s="43"/>
      <c r="M106" s="7" t="s">
        <v>176</v>
      </c>
      <c r="N106" s="44"/>
      <c r="O106" s="43"/>
      <c r="P106" s="186"/>
      <c r="Q106" s="139" t="s">
        <v>3135</v>
      </c>
    </row>
    <row r="107" spans="1:19" s="174" customFormat="1" ht="60.75" hidden="1">
      <c r="A107" s="218">
        <v>106</v>
      </c>
      <c r="B107" s="299" t="s">
        <v>227</v>
      </c>
      <c r="C107" s="192" t="s">
        <v>3136</v>
      </c>
      <c r="D107" s="253" t="s">
        <v>3137</v>
      </c>
      <c r="E107" s="253" t="s">
        <v>3138</v>
      </c>
      <c r="F107" s="192">
        <v>8129994379</v>
      </c>
      <c r="G107" s="192" t="s">
        <v>3139</v>
      </c>
      <c r="H107" s="192" t="s">
        <v>202</v>
      </c>
      <c r="I107" s="257">
        <v>45889</v>
      </c>
      <c r="J107" s="257">
        <v>45858</v>
      </c>
      <c r="K107" s="192">
        <v>11</v>
      </c>
      <c r="L107" s="192"/>
      <c r="M107" s="18" t="s">
        <v>176</v>
      </c>
      <c r="N107" s="177"/>
      <c r="O107" s="192"/>
      <c r="P107" s="258" t="s">
        <v>3140</v>
      </c>
      <c r="Q107" s="179" t="s">
        <v>3141</v>
      </c>
      <c r="R107" s="196"/>
      <c r="S107" s="219"/>
    </row>
    <row r="108" spans="1:19" ht="60.75" hidden="1">
      <c r="A108" s="22">
        <v>107</v>
      </c>
      <c r="B108" s="52" t="s">
        <v>227</v>
      </c>
      <c r="C108" s="43" t="s">
        <v>3142</v>
      </c>
      <c r="D108" s="46" t="s">
        <v>3143</v>
      </c>
      <c r="E108" s="46" t="s">
        <v>3144</v>
      </c>
      <c r="F108" s="44" t="s">
        <v>3145</v>
      </c>
      <c r="G108" s="43" t="s">
        <v>3146</v>
      </c>
      <c r="H108" s="43" t="s">
        <v>1737</v>
      </c>
      <c r="I108" s="42">
        <v>45876</v>
      </c>
      <c r="J108" s="42">
        <v>45845</v>
      </c>
      <c r="K108" s="43">
        <v>11</v>
      </c>
      <c r="L108" s="43"/>
      <c r="M108" s="7" t="s">
        <v>176</v>
      </c>
      <c r="N108" s="44"/>
      <c r="O108" s="43"/>
      <c r="P108" s="186"/>
      <c r="Q108" s="139" t="s">
        <v>3147</v>
      </c>
    </row>
    <row r="109" spans="1:19" ht="45.75" hidden="1">
      <c r="A109" s="22">
        <v>108</v>
      </c>
      <c r="B109" s="52" t="s">
        <v>227</v>
      </c>
      <c r="C109" s="43" t="s">
        <v>3148</v>
      </c>
      <c r="D109" s="46" t="s">
        <v>3149</v>
      </c>
      <c r="E109" s="46" t="s">
        <v>3150</v>
      </c>
      <c r="F109" s="44" t="s">
        <v>3151</v>
      </c>
      <c r="G109" s="43" t="s">
        <v>3152</v>
      </c>
      <c r="H109" s="43" t="s">
        <v>241</v>
      </c>
      <c r="I109" s="42">
        <v>45888</v>
      </c>
      <c r="J109" s="42">
        <v>45856</v>
      </c>
      <c r="K109" s="43">
        <v>11</v>
      </c>
      <c r="L109" s="43"/>
      <c r="M109" s="7" t="s">
        <v>195</v>
      </c>
      <c r="N109" s="44"/>
      <c r="O109" s="43"/>
      <c r="P109" s="186"/>
      <c r="Q109" s="133" t="s">
        <v>3153</v>
      </c>
    </row>
    <row r="110" spans="1:19" ht="60.75" hidden="1">
      <c r="A110" s="22">
        <v>109</v>
      </c>
      <c r="B110" s="52" t="s">
        <v>227</v>
      </c>
      <c r="C110" s="43" t="s">
        <v>3154</v>
      </c>
      <c r="D110" s="46" t="s">
        <v>3155</v>
      </c>
      <c r="E110" s="46" t="s">
        <v>3156</v>
      </c>
      <c r="F110" s="43">
        <v>9008747619</v>
      </c>
      <c r="G110" s="43" t="s">
        <v>3157</v>
      </c>
      <c r="H110" s="43" t="s">
        <v>3109</v>
      </c>
      <c r="I110" s="42">
        <v>45892</v>
      </c>
      <c r="J110" s="42">
        <v>46226</v>
      </c>
      <c r="K110" s="43">
        <v>11</v>
      </c>
      <c r="L110" s="43"/>
      <c r="M110" s="7" t="s">
        <v>176</v>
      </c>
      <c r="N110" s="44"/>
      <c r="O110" s="43"/>
      <c r="P110" s="186"/>
      <c r="Q110" s="133" t="s">
        <v>3158</v>
      </c>
    </row>
    <row r="111" spans="1:19" ht="45.75" hidden="1">
      <c r="A111" s="22">
        <v>110</v>
      </c>
      <c r="B111" s="52" t="s">
        <v>227</v>
      </c>
      <c r="C111" s="43" t="s">
        <v>3159</v>
      </c>
      <c r="D111" s="46" t="s">
        <v>3160</v>
      </c>
      <c r="E111" s="46" t="s">
        <v>3161</v>
      </c>
      <c r="F111" s="43">
        <v>8129994379</v>
      </c>
      <c r="G111" s="43" t="s">
        <v>3162</v>
      </c>
      <c r="H111" s="43" t="s">
        <v>202</v>
      </c>
      <c r="I111" s="42">
        <v>45896</v>
      </c>
      <c r="J111" s="42">
        <v>46230</v>
      </c>
      <c r="K111" s="43">
        <v>11</v>
      </c>
      <c r="L111" s="43"/>
      <c r="M111" s="7" t="s">
        <v>176</v>
      </c>
      <c r="N111" s="44"/>
      <c r="O111" s="43"/>
      <c r="P111" s="186"/>
      <c r="Q111" s="133" t="s">
        <v>3163</v>
      </c>
    </row>
    <row r="112" spans="1:19" ht="60.75" hidden="1">
      <c r="A112" s="22">
        <v>111</v>
      </c>
      <c r="B112" s="52" t="s">
        <v>1789</v>
      </c>
      <c r="C112" s="43" t="s">
        <v>3164</v>
      </c>
      <c r="D112" s="46" t="s">
        <v>3165</v>
      </c>
      <c r="E112" s="46" t="s">
        <v>3166</v>
      </c>
      <c r="F112" s="43">
        <v>9999992221</v>
      </c>
      <c r="G112" s="43" t="s">
        <v>3167</v>
      </c>
      <c r="H112" s="43" t="s">
        <v>194</v>
      </c>
      <c r="I112" s="42">
        <v>45887</v>
      </c>
      <c r="J112" s="42">
        <v>46221</v>
      </c>
      <c r="K112" s="43">
        <v>11</v>
      </c>
      <c r="L112" s="43"/>
      <c r="M112" s="7" t="s">
        <v>195</v>
      </c>
      <c r="N112" s="44"/>
      <c r="O112" s="43"/>
      <c r="P112" s="186"/>
      <c r="Q112" s="133"/>
    </row>
    <row r="113" spans="1:19" ht="45.75" hidden="1">
      <c r="A113" s="43">
        <v>112</v>
      </c>
      <c r="B113" s="52" t="s">
        <v>1789</v>
      </c>
      <c r="C113" s="43" t="s">
        <v>3168</v>
      </c>
      <c r="D113" s="46" t="s">
        <v>3169</v>
      </c>
      <c r="E113" s="46" t="s">
        <v>3170</v>
      </c>
      <c r="F113" s="43">
        <v>9632330434</v>
      </c>
      <c r="G113" s="43" t="s">
        <v>3171</v>
      </c>
      <c r="H113" s="43" t="s">
        <v>1737</v>
      </c>
      <c r="I113" s="42">
        <v>45896</v>
      </c>
      <c r="J113" s="42">
        <v>45865</v>
      </c>
      <c r="K113" s="43">
        <v>11</v>
      </c>
      <c r="L113" s="43"/>
      <c r="M113" s="7" t="s">
        <v>176</v>
      </c>
      <c r="N113" s="44"/>
      <c r="O113" s="43"/>
      <c r="P113" s="186"/>
      <c r="Q113" s="133" t="s">
        <v>3172</v>
      </c>
    </row>
    <row r="114" spans="1:19" ht="76.5" hidden="1">
      <c r="A114" s="139">
        <v>113</v>
      </c>
      <c r="B114" s="139" t="s">
        <v>227</v>
      </c>
      <c r="C114" s="133" t="s">
        <v>3173</v>
      </c>
      <c r="D114" s="145" t="s">
        <v>3174</v>
      </c>
      <c r="E114" s="145" t="s">
        <v>3175</v>
      </c>
      <c r="F114" s="139">
        <v>8763185373</v>
      </c>
      <c r="G114" s="139" t="s">
        <v>3176</v>
      </c>
      <c r="H114" s="43" t="s">
        <v>1163</v>
      </c>
      <c r="I114" s="146">
        <v>45899</v>
      </c>
      <c r="J114" s="146">
        <v>46233</v>
      </c>
      <c r="K114" s="139">
        <v>11</v>
      </c>
      <c r="L114" s="34"/>
      <c r="M114" s="7" t="s">
        <v>176</v>
      </c>
      <c r="N114" s="85"/>
      <c r="O114" s="139"/>
      <c r="P114" s="162"/>
      <c r="Q114" s="133" t="s">
        <v>3177</v>
      </c>
      <c r="R114" s="196" t="s">
        <v>3178</v>
      </c>
    </row>
    <row r="115" spans="1:19" ht="60.75" hidden="1">
      <c r="A115" s="105">
        <v>114</v>
      </c>
      <c r="B115" s="114" t="s">
        <v>211</v>
      </c>
      <c r="C115" s="171" t="s">
        <v>3179</v>
      </c>
      <c r="D115" s="171" t="s">
        <v>3179</v>
      </c>
      <c r="E115" s="171" t="s">
        <v>3180</v>
      </c>
      <c r="F115" s="78">
        <v>8978700995</v>
      </c>
      <c r="G115" s="78" t="s">
        <v>3181</v>
      </c>
      <c r="H115" s="43" t="s">
        <v>492</v>
      </c>
      <c r="I115" s="173">
        <v>45901</v>
      </c>
      <c r="J115" s="173">
        <v>46235</v>
      </c>
      <c r="K115" s="43">
        <v>11</v>
      </c>
      <c r="L115" s="43"/>
      <c r="M115" s="7" t="s">
        <v>195</v>
      </c>
      <c r="N115" s="172"/>
      <c r="O115" s="78"/>
      <c r="P115" s="294"/>
      <c r="Q115" s="133" t="s">
        <v>3182</v>
      </c>
    </row>
    <row r="116" spans="1:19" s="174" customFormat="1" ht="60.75">
      <c r="A116" s="399">
        <v>115</v>
      </c>
      <c r="B116" s="179" t="s">
        <v>227</v>
      </c>
      <c r="C116" s="299" t="s">
        <v>3183</v>
      </c>
      <c r="D116" s="253" t="s">
        <v>3184</v>
      </c>
      <c r="E116" s="253" t="s">
        <v>3185</v>
      </c>
      <c r="F116" s="192">
        <v>9704506686</v>
      </c>
      <c r="G116" s="192" t="s">
        <v>3186</v>
      </c>
      <c r="H116" s="192" t="s">
        <v>690</v>
      </c>
      <c r="I116" s="257">
        <v>45904</v>
      </c>
      <c r="J116" s="257">
        <v>46238</v>
      </c>
      <c r="K116" s="192">
        <v>11</v>
      </c>
      <c r="L116" s="192"/>
      <c r="M116" s="18" t="s">
        <v>195</v>
      </c>
      <c r="N116" s="177"/>
      <c r="O116" s="192"/>
      <c r="P116" s="258"/>
      <c r="Q116" s="131" t="s">
        <v>3187</v>
      </c>
      <c r="R116" s="196"/>
      <c r="S116" s="219" t="s">
        <v>1714</v>
      </c>
    </row>
    <row r="117" spans="1:19" ht="45.75" hidden="1">
      <c r="A117" s="52">
        <v>116</v>
      </c>
      <c r="B117" s="139" t="s">
        <v>227</v>
      </c>
      <c r="C117" s="43" t="s">
        <v>2866</v>
      </c>
      <c r="D117" s="46" t="s">
        <v>3188</v>
      </c>
      <c r="E117" s="46" t="s">
        <v>3189</v>
      </c>
      <c r="F117" s="43">
        <v>7483819729</v>
      </c>
      <c r="G117" s="43" t="s">
        <v>3190</v>
      </c>
      <c r="H117" s="43" t="s">
        <v>202</v>
      </c>
      <c r="I117" s="42">
        <v>45903</v>
      </c>
      <c r="J117" s="42">
        <v>46237</v>
      </c>
      <c r="K117" s="43">
        <v>11</v>
      </c>
      <c r="L117" s="43"/>
      <c r="M117" s="7" t="s">
        <v>176</v>
      </c>
      <c r="N117" s="44"/>
      <c r="O117" s="43"/>
      <c r="P117" s="186"/>
      <c r="Q117" s="133" t="s">
        <v>3191</v>
      </c>
    </row>
    <row r="118" spans="1:19" s="174" customFormat="1" ht="91.5">
      <c r="A118" s="299">
        <v>117</v>
      </c>
      <c r="B118" s="179" t="s">
        <v>227</v>
      </c>
      <c r="C118" s="192" t="s">
        <v>3192</v>
      </c>
      <c r="D118" s="253" t="s">
        <v>3193</v>
      </c>
      <c r="E118" s="253" t="s">
        <v>3194</v>
      </c>
      <c r="F118" s="192">
        <v>8825514461</v>
      </c>
      <c r="G118" s="192" t="s">
        <v>3195</v>
      </c>
      <c r="H118" s="192" t="s">
        <v>1966</v>
      </c>
      <c r="I118" s="257">
        <v>45904</v>
      </c>
      <c r="J118" s="257">
        <v>46238</v>
      </c>
      <c r="K118" s="192">
        <v>11</v>
      </c>
      <c r="L118" s="192"/>
      <c r="M118" s="18" t="s">
        <v>176</v>
      </c>
      <c r="N118" s="177"/>
      <c r="O118" s="192"/>
      <c r="P118" s="258"/>
      <c r="Q118" s="131" t="s">
        <v>3196</v>
      </c>
      <c r="R118" s="196"/>
      <c r="S118" s="219" t="s">
        <v>1714</v>
      </c>
    </row>
    <row r="119" spans="1:19" ht="45.75" hidden="1">
      <c r="A119" s="52">
        <v>118</v>
      </c>
      <c r="B119" s="139" t="s">
        <v>227</v>
      </c>
      <c r="C119" s="43" t="s">
        <v>3197</v>
      </c>
      <c r="D119" s="46" t="s">
        <v>3198</v>
      </c>
      <c r="E119" s="46" t="s">
        <v>3199</v>
      </c>
      <c r="F119" s="43">
        <v>8447425345</v>
      </c>
      <c r="G119" s="43" t="s">
        <v>3200</v>
      </c>
      <c r="H119" s="43" t="s">
        <v>194</v>
      </c>
      <c r="I119" s="42">
        <v>45905</v>
      </c>
      <c r="J119" s="42">
        <v>46239</v>
      </c>
      <c r="K119" s="43">
        <v>11</v>
      </c>
      <c r="L119" s="43"/>
      <c r="M119" s="7" t="s">
        <v>176</v>
      </c>
      <c r="N119" s="44"/>
      <c r="O119" s="43"/>
      <c r="P119" s="186"/>
      <c r="Q119" s="139" t="s">
        <v>3201</v>
      </c>
    </row>
    <row r="120" spans="1:19" ht="60.75" hidden="1">
      <c r="A120" s="52">
        <v>119</v>
      </c>
      <c r="B120" s="139" t="s">
        <v>227</v>
      </c>
      <c r="C120" s="44" t="s">
        <v>3202</v>
      </c>
      <c r="D120" s="46" t="s">
        <v>3203</v>
      </c>
      <c r="E120" s="46" t="s">
        <v>3204</v>
      </c>
      <c r="F120" s="43">
        <v>6002725029</v>
      </c>
      <c r="G120" s="43" t="s">
        <v>3205</v>
      </c>
      <c r="H120" s="43" t="s">
        <v>512</v>
      </c>
      <c r="I120" s="42">
        <v>45904</v>
      </c>
      <c r="J120" s="42">
        <v>46238</v>
      </c>
      <c r="K120" s="43">
        <v>11</v>
      </c>
      <c r="L120" s="43"/>
      <c r="M120" s="7" t="s">
        <v>195</v>
      </c>
      <c r="N120" s="44"/>
      <c r="O120" s="43"/>
      <c r="P120" s="186"/>
      <c r="Q120" s="139" t="s">
        <v>3206</v>
      </c>
    </row>
    <row r="121" spans="1:19" s="174" customFormat="1" ht="76.5">
      <c r="A121" s="299">
        <v>120</v>
      </c>
      <c r="B121" s="179" t="s">
        <v>227</v>
      </c>
      <c r="C121" s="192" t="s">
        <v>3207</v>
      </c>
      <c r="D121" s="253" t="s">
        <v>3208</v>
      </c>
      <c r="E121" s="253" t="s">
        <v>3209</v>
      </c>
      <c r="F121" s="192">
        <v>9580511210</v>
      </c>
      <c r="G121" s="192" t="s">
        <v>3210</v>
      </c>
      <c r="H121" s="192" t="s">
        <v>1828</v>
      </c>
      <c r="I121" s="257">
        <v>45908</v>
      </c>
      <c r="J121" s="257">
        <v>46242</v>
      </c>
      <c r="K121" s="192">
        <v>11</v>
      </c>
      <c r="L121" s="192"/>
      <c r="M121" s="18" t="s">
        <v>195</v>
      </c>
      <c r="N121" s="177"/>
      <c r="O121" s="192"/>
      <c r="P121" s="258" t="s">
        <v>1714</v>
      </c>
      <c r="Q121" s="179" t="s">
        <v>3211</v>
      </c>
      <c r="R121" s="196"/>
      <c r="S121" s="258" t="s">
        <v>1714</v>
      </c>
    </row>
    <row r="122" spans="1:19" ht="91.5" hidden="1">
      <c r="A122" s="52">
        <v>121</v>
      </c>
      <c r="B122" s="139" t="s">
        <v>227</v>
      </c>
      <c r="C122" s="43" t="s">
        <v>3212</v>
      </c>
      <c r="D122" s="46" t="s">
        <v>3213</v>
      </c>
      <c r="E122" s="46" t="s">
        <v>3214</v>
      </c>
      <c r="F122" s="44" t="s">
        <v>3215</v>
      </c>
      <c r="G122" s="43" t="s">
        <v>3216</v>
      </c>
      <c r="H122" s="43" t="s">
        <v>1737</v>
      </c>
      <c r="I122" s="42">
        <v>45908</v>
      </c>
      <c r="J122" s="42">
        <v>46242</v>
      </c>
      <c r="K122" s="43">
        <v>11</v>
      </c>
      <c r="L122" s="43"/>
      <c r="M122" s="7" t="s">
        <v>195</v>
      </c>
      <c r="N122" s="44"/>
      <c r="O122" s="43"/>
      <c r="P122" s="186"/>
      <c r="Q122" s="139" t="s">
        <v>3217</v>
      </c>
    </row>
    <row r="123" spans="1:19" ht="45.75" hidden="1">
      <c r="A123" s="52">
        <v>122</v>
      </c>
      <c r="B123" s="139" t="s">
        <v>227</v>
      </c>
      <c r="C123" s="43" t="s">
        <v>3218</v>
      </c>
      <c r="D123" s="46" t="s">
        <v>3219</v>
      </c>
      <c r="E123" s="46" t="s">
        <v>3220</v>
      </c>
      <c r="F123" s="44" t="s">
        <v>3221</v>
      </c>
      <c r="G123" s="43" t="s">
        <v>3222</v>
      </c>
      <c r="H123" s="43" t="s">
        <v>1737</v>
      </c>
      <c r="I123" s="42">
        <v>45887</v>
      </c>
      <c r="J123" s="42">
        <v>46221</v>
      </c>
      <c r="K123" s="43">
        <v>11</v>
      </c>
      <c r="L123" s="43"/>
      <c r="M123" s="7" t="s">
        <v>176</v>
      </c>
      <c r="N123" s="44"/>
      <c r="O123" s="43"/>
      <c r="P123" s="186"/>
      <c r="Q123" s="139" t="s">
        <v>3223</v>
      </c>
      <c r="R123" s="278" t="s">
        <v>3224</v>
      </c>
    </row>
    <row r="124" spans="1:19" s="174" customFormat="1" ht="76.5" hidden="1">
      <c r="A124" s="299">
        <v>123</v>
      </c>
      <c r="B124" s="179" t="s">
        <v>227</v>
      </c>
      <c r="C124" s="192" t="s">
        <v>3225</v>
      </c>
      <c r="D124" s="253" t="s">
        <v>3226</v>
      </c>
      <c r="E124" s="253" t="s">
        <v>3227</v>
      </c>
      <c r="F124" s="192">
        <v>9880017405</v>
      </c>
      <c r="G124" s="192" t="s">
        <v>3228</v>
      </c>
      <c r="H124" s="192" t="s">
        <v>1737</v>
      </c>
      <c r="I124" s="257">
        <v>45915</v>
      </c>
      <c r="J124" s="257">
        <v>46249</v>
      </c>
      <c r="K124" s="192">
        <v>11</v>
      </c>
      <c r="L124" s="192"/>
      <c r="M124" s="18" t="s">
        <v>176</v>
      </c>
      <c r="N124" s="177"/>
      <c r="O124" s="192"/>
      <c r="P124" s="258" t="s">
        <v>1714</v>
      </c>
      <c r="Q124" s="179" t="s">
        <v>3229</v>
      </c>
      <c r="R124" s="405" t="s">
        <v>3230</v>
      </c>
      <c r="S124" s="219"/>
    </row>
    <row r="125" spans="1:19" s="174" customFormat="1" ht="60.75">
      <c r="A125" s="299">
        <v>124</v>
      </c>
      <c r="B125" s="179" t="s">
        <v>227</v>
      </c>
      <c r="C125" s="192" t="s">
        <v>3231</v>
      </c>
      <c r="D125" s="253" t="s">
        <v>3232</v>
      </c>
      <c r="E125" s="253" t="s">
        <v>3233</v>
      </c>
      <c r="F125" s="177" t="s">
        <v>3234</v>
      </c>
      <c r="G125" s="192" t="s">
        <v>3235</v>
      </c>
      <c r="H125" s="192" t="s">
        <v>202</v>
      </c>
      <c r="I125" s="257">
        <v>45917</v>
      </c>
      <c r="J125" s="257">
        <v>46251</v>
      </c>
      <c r="K125" s="192">
        <v>11</v>
      </c>
      <c r="L125" s="192"/>
      <c r="M125" s="18" t="s">
        <v>176</v>
      </c>
      <c r="N125" s="177"/>
      <c r="O125" s="192"/>
      <c r="P125" s="258"/>
      <c r="Q125" s="179" t="s">
        <v>3236</v>
      </c>
      <c r="R125" s="405" t="s">
        <v>3237</v>
      </c>
      <c r="S125" s="219" t="s">
        <v>513</v>
      </c>
    </row>
    <row r="126" spans="1:19" ht="76.5" hidden="1">
      <c r="A126" s="52">
        <v>125</v>
      </c>
      <c r="B126" s="139" t="s">
        <v>227</v>
      </c>
      <c r="C126" s="44" t="s">
        <v>3238</v>
      </c>
      <c r="D126" s="46" t="s">
        <v>3238</v>
      </c>
      <c r="E126" s="46" t="s">
        <v>3239</v>
      </c>
      <c r="F126" s="43">
        <v>8465029181</v>
      </c>
      <c r="G126" s="43" t="s">
        <v>3240</v>
      </c>
      <c r="H126" s="43" t="s">
        <v>2095</v>
      </c>
      <c r="I126" s="42">
        <v>45914</v>
      </c>
      <c r="J126" s="42">
        <v>46248</v>
      </c>
      <c r="K126" s="43">
        <v>11</v>
      </c>
      <c r="L126" s="43"/>
      <c r="M126" s="7" t="s">
        <v>195</v>
      </c>
      <c r="N126" s="44"/>
      <c r="O126" s="43"/>
      <c r="P126" s="186"/>
      <c r="Q126" s="139" t="s">
        <v>3241</v>
      </c>
    </row>
    <row r="127" spans="1:19" ht="76.5" hidden="1">
      <c r="A127" s="52">
        <v>126</v>
      </c>
      <c r="B127" s="139" t="s">
        <v>227</v>
      </c>
      <c r="C127" s="43" t="s">
        <v>3242</v>
      </c>
      <c r="D127" s="46" t="s">
        <v>3243</v>
      </c>
      <c r="E127" s="46" t="s">
        <v>3244</v>
      </c>
      <c r="F127" s="43">
        <v>8089830210</v>
      </c>
      <c r="G127" s="43" t="s">
        <v>3245</v>
      </c>
      <c r="H127" s="43" t="s">
        <v>3085</v>
      </c>
      <c r="I127" s="42">
        <v>45918</v>
      </c>
      <c r="J127" s="42">
        <v>46252</v>
      </c>
      <c r="K127" s="43">
        <v>11</v>
      </c>
      <c r="L127" s="43"/>
      <c r="M127" s="7" t="s">
        <v>195</v>
      </c>
      <c r="N127" s="44"/>
      <c r="O127" s="43"/>
      <c r="P127" s="186"/>
      <c r="Q127" s="139" t="s">
        <v>3246</v>
      </c>
    </row>
    <row r="128" spans="1:19" ht="76.5" hidden="1">
      <c r="A128" s="52">
        <v>127</v>
      </c>
      <c r="B128" s="139" t="s">
        <v>227</v>
      </c>
      <c r="C128" s="43" t="s">
        <v>3247</v>
      </c>
      <c r="D128" s="46" t="s">
        <v>3248</v>
      </c>
      <c r="E128" s="46" t="s">
        <v>3249</v>
      </c>
      <c r="F128" s="44" t="s">
        <v>3250</v>
      </c>
      <c r="G128" s="43" t="s">
        <v>3251</v>
      </c>
      <c r="H128" s="43" t="s">
        <v>3252</v>
      </c>
      <c r="I128" s="42">
        <v>45922</v>
      </c>
      <c r="J128" s="42">
        <v>46256</v>
      </c>
      <c r="K128" s="43">
        <v>11</v>
      </c>
      <c r="L128" s="43"/>
      <c r="M128" s="7" t="s">
        <v>176</v>
      </c>
      <c r="N128" s="44"/>
      <c r="O128" s="43"/>
      <c r="P128" s="186"/>
      <c r="Q128" s="139" t="s">
        <v>3253</v>
      </c>
      <c r="R128" s="147" t="s">
        <v>3254</v>
      </c>
    </row>
    <row r="129" spans="1:19" ht="106.5" hidden="1">
      <c r="A129" s="52">
        <v>128</v>
      </c>
      <c r="B129" s="139" t="s">
        <v>227</v>
      </c>
      <c r="C129" s="43" t="s">
        <v>3255</v>
      </c>
      <c r="D129" s="46" t="s">
        <v>3256</v>
      </c>
      <c r="E129" s="46" t="s">
        <v>3257</v>
      </c>
      <c r="F129" s="44" t="s">
        <v>3258</v>
      </c>
      <c r="G129" s="43" t="s">
        <v>3259</v>
      </c>
      <c r="H129" s="43" t="s">
        <v>529</v>
      </c>
      <c r="I129" s="42">
        <v>45923</v>
      </c>
      <c r="J129" s="42">
        <v>46257</v>
      </c>
      <c r="K129" s="43">
        <v>11</v>
      </c>
      <c r="L129" s="43"/>
      <c r="M129" s="7" t="s">
        <v>195</v>
      </c>
      <c r="N129" s="44"/>
      <c r="O129" s="43"/>
      <c r="P129" s="186"/>
      <c r="Q129" s="139" t="s">
        <v>3260</v>
      </c>
      <c r="R129" s="278" t="s">
        <v>3261</v>
      </c>
    </row>
    <row r="130" spans="1:19" ht="45.75" hidden="1">
      <c r="A130" s="52">
        <v>129</v>
      </c>
      <c r="B130" s="139" t="s">
        <v>227</v>
      </c>
      <c r="C130" s="43" t="s">
        <v>3262</v>
      </c>
      <c r="D130" s="46" t="s">
        <v>3263</v>
      </c>
      <c r="E130" s="46" t="s">
        <v>3264</v>
      </c>
      <c r="F130" s="43">
        <v>6383636384</v>
      </c>
      <c r="G130" s="43" t="s">
        <v>3265</v>
      </c>
      <c r="H130" s="43" t="s">
        <v>1737</v>
      </c>
      <c r="I130" s="42">
        <v>45926</v>
      </c>
      <c r="J130" s="42">
        <v>46260</v>
      </c>
      <c r="K130" s="43">
        <v>11</v>
      </c>
      <c r="L130" s="43"/>
      <c r="M130" s="7" t="s">
        <v>176</v>
      </c>
      <c r="N130" s="44"/>
      <c r="O130" s="43"/>
      <c r="P130" s="258" t="s">
        <v>3266</v>
      </c>
      <c r="Q130" s="139" t="s">
        <v>3267</v>
      </c>
      <c r="R130" s="278" t="s">
        <v>3268</v>
      </c>
    </row>
    <row r="131" spans="1:19" ht="106.5" hidden="1">
      <c r="A131" s="52">
        <v>130</v>
      </c>
      <c r="B131" s="139" t="s">
        <v>227</v>
      </c>
      <c r="C131" s="43" t="s">
        <v>3269</v>
      </c>
      <c r="D131" s="46" t="s">
        <v>3270</v>
      </c>
      <c r="E131" s="46" t="s">
        <v>3271</v>
      </c>
      <c r="F131" s="43">
        <v>9845148085</v>
      </c>
      <c r="G131" s="43" t="s">
        <v>3272</v>
      </c>
      <c r="H131" s="43" t="s">
        <v>1737</v>
      </c>
      <c r="I131" s="42">
        <v>45934</v>
      </c>
      <c r="J131" s="42">
        <v>46269</v>
      </c>
      <c r="K131" s="43">
        <v>11</v>
      </c>
      <c r="L131" s="43"/>
      <c r="M131" s="7" t="s">
        <v>176</v>
      </c>
      <c r="N131" s="44"/>
      <c r="O131" s="43"/>
      <c r="P131" s="186"/>
      <c r="Q131" s="139" t="s">
        <v>3273</v>
      </c>
    </row>
    <row r="132" spans="1:19" ht="60.75" hidden="1">
      <c r="A132" s="52">
        <v>131</v>
      </c>
      <c r="B132" s="139" t="s">
        <v>227</v>
      </c>
      <c r="C132" s="43" t="s">
        <v>3274</v>
      </c>
      <c r="D132" s="46" t="s">
        <v>3275</v>
      </c>
      <c r="E132" s="46" t="s">
        <v>3276</v>
      </c>
      <c r="F132" s="44" t="s">
        <v>3277</v>
      </c>
      <c r="G132" s="43" t="s">
        <v>3278</v>
      </c>
      <c r="H132" s="43" t="s">
        <v>1737</v>
      </c>
      <c r="I132" s="42">
        <v>45931</v>
      </c>
      <c r="J132" s="42">
        <v>46266</v>
      </c>
      <c r="K132" s="43">
        <v>11</v>
      </c>
      <c r="L132" s="43"/>
      <c r="M132" s="7" t="s">
        <v>195</v>
      </c>
      <c r="N132" s="44"/>
      <c r="O132" s="43"/>
      <c r="P132" s="186"/>
      <c r="Q132" s="139" t="s">
        <v>3279</v>
      </c>
      <c r="R132" s="278" t="s">
        <v>3280</v>
      </c>
    </row>
    <row r="133" spans="1:19" ht="91.5" hidden="1">
      <c r="A133" s="52">
        <v>132</v>
      </c>
      <c r="B133" s="139" t="s">
        <v>227</v>
      </c>
      <c r="C133" s="44" t="s">
        <v>3281</v>
      </c>
      <c r="D133" s="46" t="s">
        <v>3282</v>
      </c>
      <c r="E133" s="190" t="s">
        <v>3283</v>
      </c>
      <c r="F133" s="43">
        <v>9008780145</v>
      </c>
      <c r="G133" s="43" t="s">
        <v>3284</v>
      </c>
      <c r="H133" s="43" t="s">
        <v>1966</v>
      </c>
      <c r="I133" s="42">
        <v>45926</v>
      </c>
      <c r="J133" s="42">
        <v>46260</v>
      </c>
      <c r="K133" s="43">
        <v>11</v>
      </c>
      <c r="L133" s="43"/>
      <c r="M133" s="7" t="s">
        <v>176</v>
      </c>
      <c r="N133" s="44"/>
      <c r="O133" s="43"/>
      <c r="P133" s="186"/>
      <c r="Q133" s="139" t="s">
        <v>59</v>
      </c>
      <c r="R133" s="278" t="s">
        <v>3285</v>
      </c>
    </row>
    <row r="134" spans="1:19" ht="60.75" hidden="1">
      <c r="A134" s="52">
        <v>133</v>
      </c>
      <c r="B134" s="52" t="s">
        <v>227</v>
      </c>
      <c r="C134" s="43" t="s">
        <v>3286</v>
      </c>
      <c r="D134" s="46" t="s">
        <v>3286</v>
      </c>
      <c r="E134" s="46" t="s">
        <v>3287</v>
      </c>
      <c r="F134" s="44" t="s">
        <v>3288</v>
      </c>
      <c r="G134" s="43" t="s">
        <v>3289</v>
      </c>
      <c r="H134" s="43" t="s">
        <v>1737</v>
      </c>
      <c r="I134" s="42">
        <v>45918</v>
      </c>
      <c r="J134" s="42">
        <v>46252</v>
      </c>
      <c r="K134" s="43">
        <v>11</v>
      </c>
      <c r="L134" s="43"/>
      <c r="M134" s="7" t="s">
        <v>195</v>
      </c>
      <c r="N134" s="44"/>
      <c r="O134" s="43"/>
      <c r="P134" s="186"/>
      <c r="Q134" s="139" t="s">
        <v>3290</v>
      </c>
      <c r="R134" s="147" t="s">
        <v>3291</v>
      </c>
    </row>
    <row r="135" spans="1:19" ht="91.5" hidden="1">
      <c r="A135" s="52">
        <v>134</v>
      </c>
      <c r="B135" s="52" t="s">
        <v>227</v>
      </c>
      <c r="C135" s="43" t="s">
        <v>3292</v>
      </c>
      <c r="D135" s="46" t="s">
        <v>3293</v>
      </c>
      <c r="E135" s="46" t="s">
        <v>3294</v>
      </c>
      <c r="F135" s="43">
        <v>9178402457</v>
      </c>
      <c r="G135" s="43" t="s">
        <v>3295</v>
      </c>
      <c r="H135" s="43" t="s">
        <v>618</v>
      </c>
      <c r="I135" s="42">
        <v>45936</v>
      </c>
      <c r="J135" s="42">
        <v>46271</v>
      </c>
      <c r="K135" s="43">
        <v>11</v>
      </c>
      <c r="L135" s="43"/>
      <c r="M135" s="7" t="s">
        <v>195</v>
      </c>
      <c r="N135" s="44"/>
      <c r="O135" s="43"/>
      <c r="P135" s="186"/>
      <c r="Q135" s="139" t="s">
        <v>3296</v>
      </c>
      <c r="R135" s="278" t="s">
        <v>3297</v>
      </c>
    </row>
    <row r="136" spans="1:19" s="174" customFormat="1" ht="198">
      <c r="A136" s="299">
        <v>135</v>
      </c>
      <c r="B136" s="299" t="s">
        <v>227</v>
      </c>
      <c r="C136" s="192" t="s">
        <v>3298</v>
      </c>
      <c r="D136" s="253" t="s">
        <v>3299</v>
      </c>
      <c r="E136" s="253" t="s">
        <v>3300</v>
      </c>
      <c r="F136" s="192">
        <v>8147687033</v>
      </c>
      <c r="G136" s="192" t="s">
        <v>3301</v>
      </c>
      <c r="H136" s="192" t="s">
        <v>1864</v>
      </c>
      <c r="I136" s="257">
        <v>45937</v>
      </c>
      <c r="J136" s="257">
        <v>46272</v>
      </c>
      <c r="K136" s="192">
        <v>11</v>
      </c>
      <c r="L136" s="192"/>
      <c r="M136" s="18" t="s">
        <v>195</v>
      </c>
      <c r="N136" s="177"/>
      <c r="O136" s="192"/>
      <c r="P136" s="258"/>
      <c r="Q136" s="179" t="s">
        <v>3302</v>
      </c>
      <c r="R136" s="405" t="s">
        <v>3303</v>
      </c>
      <c r="S136" s="196" t="s">
        <v>3304</v>
      </c>
    </row>
    <row r="137" spans="1:19" ht="106.5" hidden="1">
      <c r="A137" s="52">
        <v>136</v>
      </c>
      <c r="B137" s="52" t="s">
        <v>227</v>
      </c>
      <c r="C137" s="43" t="s">
        <v>3305</v>
      </c>
      <c r="D137" s="46" t="s">
        <v>3306</v>
      </c>
      <c r="E137" s="46" t="s">
        <v>3307</v>
      </c>
      <c r="F137" s="43">
        <v>9035561617</v>
      </c>
      <c r="G137" s="43" t="s">
        <v>3308</v>
      </c>
      <c r="H137" s="43" t="s">
        <v>1737</v>
      </c>
      <c r="I137" s="42">
        <v>45937</v>
      </c>
      <c r="J137" s="42">
        <v>46272</v>
      </c>
      <c r="K137" s="43">
        <v>11</v>
      </c>
      <c r="L137" s="43"/>
      <c r="M137" s="7" t="s">
        <v>176</v>
      </c>
      <c r="N137" s="44"/>
      <c r="O137" s="43"/>
      <c r="P137" s="186"/>
      <c r="Q137" s="139" t="s">
        <v>3309</v>
      </c>
      <c r="R137" s="147" t="s">
        <v>3310</v>
      </c>
    </row>
    <row r="138" spans="1:19" ht="45.75" hidden="1">
      <c r="A138" s="52">
        <v>137</v>
      </c>
      <c r="B138" s="52"/>
      <c r="C138" s="43"/>
      <c r="D138" s="46" t="s">
        <v>3311</v>
      </c>
      <c r="E138" s="46"/>
      <c r="F138" s="43"/>
      <c r="G138" s="43"/>
      <c r="H138" s="43"/>
      <c r="I138" s="42"/>
      <c r="J138" s="42"/>
      <c r="K138" s="43">
        <v>11</v>
      </c>
      <c r="L138" s="43"/>
      <c r="M138" s="7" t="s">
        <v>176</v>
      </c>
      <c r="N138" s="44"/>
      <c r="O138" s="43"/>
      <c r="P138" s="186"/>
      <c r="Q138" s="139" t="s">
        <v>3312</v>
      </c>
    </row>
    <row r="139" spans="1:19" ht="91.5" hidden="1">
      <c r="A139" s="52">
        <v>138</v>
      </c>
      <c r="B139" s="52" t="s">
        <v>227</v>
      </c>
      <c r="C139" s="43" t="s">
        <v>3313</v>
      </c>
      <c r="D139" s="46" t="s">
        <v>3314</v>
      </c>
      <c r="E139" s="46" t="s">
        <v>3315</v>
      </c>
      <c r="F139" s="43">
        <v>8116863338</v>
      </c>
      <c r="G139" s="43" t="s">
        <v>3316</v>
      </c>
      <c r="H139" s="43" t="s">
        <v>3317</v>
      </c>
      <c r="I139" s="42">
        <v>45941</v>
      </c>
      <c r="J139" s="42">
        <v>46276</v>
      </c>
      <c r="K139" s="43">
        <v>11</v>
      </c>
      <c r="L139" s="43"/>
      <c r="M139" s="7" t="s">
        <v>176</v>
      </c>
      <c r="N139" s="44"/>
      <c r="O139" s="43"/>
      <c r="P139" s="186"/>
      <c r="Q139" s="139" t="s">
        <v>3318</v>
      </c>
      <c r="R139" s="278" t="s">
        <v>3319</v>
      </c>
    </row>
    <row r="140" spans="1:19" ht="91.5" hidden="1">
      <c r="A140" s="52">
        <v>139</v>
      </c>
      <c r="B140" s="52" t="s">
        <v>227</v>
      </c>
      <c r="C140" s="43" t="s">
        <v>3320</v>
      </c>
      <c r="D140" s="46" t="s">
        <v>3321</v>
      </c>
      <c r="E140" s="46" t="s">
        <v>3322</v>
      </c>
      <c r="F140" s="43">
        <v>8050572465</v>
      </c>
      <c r="G140" s="43" t="s">
        <v>3323</v>
      </c>
      <c r="H140" s="43" t="s">
        <v>1737</v>
      </c>
      <c r="I140" s="42">
        <v>45944</v>
      </c>
      <c r="J140" s="42">
        <v>46279</v>
      </c>
      <c r="K140" s="43">
        <v>11</v>
      </c>
      <c r="L140" s="43"/>
      <c r="M140" s="7" t="s">
        <v>176</v>
      </c>
      <c r="N140" s="44"/>
      <c r="O140" s="43"/>
      <c r="P140" s="186"/>
      <c r="Q140" s="139" t="s">
        <v>3324</v>
      </c>
      <c r="R140" s="278" t="s">
        <v>3325</v>
      </c>
    </row>
    <row r="141" spans="1:19" ht="76.5" hidden="1">
      <c r="A141" s="52">
        <v>140</v>
      </c>
      <c r="B141" s="52" t="s">
        <v>227</v>
      </c>
      <c r="C141" s="43" t="s">
        <v>3326</v>
      </c>
      <c r="D141" s="46" t="s">
        <v>3327</v>
      </c>
      <c r="E141" s="46" t="s">
        <v>3328</v>
      </c>
      <c r="F141" s="43">
        <v>9972822609</v>
      </c>
      <c r="G141" s="43" t="s">
        <v>3329</v>
      </c>
      <c r="H141" s="43" t="s">
        <v>202</v>
      </c>
      <c r="I141" s="42">
        <v>45945</v>
      </c>
      <c r="J141" s="42">
        <v>46280</v>
      </c>
      <c r="K141" s="43">
        <v>11</v>
      </c>
      <c r="L141" s="43"/>
      <c r="M141" s="7" t="s">
        <v>176</v>
      </c>
      <c r="N141" s="44"/>
      <c r="O141" s="43"/>
      <c r="P141" s="186"/>
      <c r="Q141" s="139" t="s">
        <v>3330</v>
      </c>
      <c r="R141" s="147" t="s">
        <v>3331</v>
      </c>
    </row>
    <row r="142" spans="1:19" ht="76.5" hidden="1">
      <c r="A142" s="52">
        <v>141</v>
      </c>
      <c r="B142" s="52" t="s">
        <v>227</v>
      </c>
      <c r="C142" s="44" t="s">
        <v>3332</v>
      </c>
      <c r="D142" s="46" t="s">
        <v>3333</v>
      </c>
      <c r="E142" s="46" t="s">
        <v>3334</v>
      </c>
      <c r="F142" s="44" t="s">
        <v>3335</v>
      </c>
      <c r="G142" s="43" t="s">
        <v>3336</v>
      </c>
      <c r="H142" s="43" t="s">
        <v>1737</v>
      </c>
      <c r="I142" s="42">
        <v>45944</v>
      </c>
      <c r="J142" s="42">
        <v>46279</v>
      </c>
      <c r="K142" s="43">
        <v>11</v>
      </c>
      <c r="L142" s="43"/>
      <c r="M142" s="7" t="s">
        <v>176</v>
      </c>
      <c r="N142" s="44"/>
      <c r="O142" s="43"/>
      <c r="P142" s="186"/>
      <c r="Q142" s="139" t="s">
        <v>3337</v>
      </c>
      <c r="R142" s="147" t="s">
        <v>3338</v>
      </c>
    </row>
    <row r="143" spans="1:19" ht="60.75" hidden="1">
      <c r="A143" s="52">
        <v>142</v>
      </c>
      <c r="B143" s="52" t="s">
        <v>227</v>
      </c>
      <c r="C143" s="43" t="s">
        <v>3339</v>
      </c>
      <c r="D143" s="46" t="s">
        <v>3340</v>
      </c>
      <c r="E143" s="46" t="s">
        <v>3341</v>
      </c>
      <c r="F143" s="44" t="s">
        <v>3342</v>
      </c>
      <c r="G143" s="43" t="s">
        <v>3343</v>
      </c>
      <c r="H143" s="43" t="s">
        <v>1737</v>
      </c>
      <c r="I143" s="42">
        <v>45947</v>
      </c>
      <c r="J143" s="42">
        <v>46282</v>
      </c>
      <c r="K143" s="43">
        <v>11</v>
      </c>
      <c r="L143" s="43"/>
      <c r="M143" s="7" t="s">
        <v>195</v>
      </c>
      <c r="N143" s="44"/>
      <c r="O143" s="43"/>
      <c r="P143" s="186"/>
      <c r="Q143" s="139" t="s">
        <v>3344</v>
      </c>
      <c r="R143" s="147" t="s">
        <v>3345</v>
      </c>
    </row>
    <row r="144" spans="1:19" ht="91.5" hidden="1">
      <c r="A144" s="52">
        <v>143</v>
      </c>
      <c r="B144" s="52" t="s">
        <v>227</v>
      </c>
      <c r="C144" s="44" t="s">
        <v>3346</v>
      </c>
      <c r="D144" s="46" t="s">
        <v>3347</v>
      </c>
      <c r="E144" s="46" t="s">
        <v>3348</v>
      </c>
      <c r="F144" s="43">
        <v>8050351115</v>
      </c>
      <c r="G144" s="43" t="s">
        <v>3349</v>
      </c>
      <c r="H144" s="43" t="s">
        <v>1737</v>
      </c>
      <c r="I144" s="42">
        <v>45947</v>
      </c>
      <c r="J144" s="42">
        <v>46282</v>
      </c>
      <c r="K144" s="43">
        <v>11</v>
      </c>
      <c r="L144" s="43"/>
      <c r="M144" s="7" t="s">
        <v>195</v>
      </c>
      <c r="N144" s="44"/>
      <c r="O144" s="43"/>
      <c r="P144" s="186"/>
      <c r="Q144" s="139" t="s">
        <v>3350</v>
      </c>
      <c r="R144" s="278" t="s">
        <v>3351</v>
      </c>
    </row>
    <row r="145" spans="1:23" ht="60.75" hidden="1">
      <c r="A145" s="52">
        <v>144</v>
      </c>
      <c r="B145" s="52" t="s">
        <v>227</v>
      </c>
      <c r="C145" s="43" t="s">
        <v>3352</v>
      </c>
      <c r="D145" s="46" t="s">
        <v>3353</v>
      </c>
      <c r="E145" s="46" t="s">
        <v>3354</v>
      </c>
      <c r="F145" s="43">
        <v>8404914945</v>
      </c>
      <c r="G145" s="43" t="s">
        <v>3355</v>
      </c>
      <c r="H145" s="43" t="s">
        <v>248</v>
      </c>
      <c r="I145" s="42">
        <v>45946</v>
      </c>
      <c r="J145" s="42">
        <v>46281</v>
      </c>
      <c r="K145" s="43">
        <v>11</v>
      </c>
      <c r="L145" s="43"/>
      <c r="M145" s="7" t="s">
        <v>176</v>
      </c>
      <c r="N145" s="44"/>
      <c r="O145" s="43"/>
      <c r="P145" s="186"/>
      <c r="Q145" s="139" t="s">
        <v>3356</v>
      </c>
      <c r="R145" s="278" t="s">
        <v>3357</v>
      </c>
    </row>
    <row r="146" spans="1:23" ht="60.75" hidden="1">
      <c r="A146" s="52">
        <v>145</v>
      </c>
      <c r="B146" s="52" t="s">
        <v>227</v>
      </c>
      <c r="C146" s="44" t="s">
        <v>3358</v>
      </c>
      <c r="D146" s="46" t="s">
        <v>3359</v>
      </c>
      <c r="E146" s="46" t="s">
        <v>3360</v>
      </c>
      <c r="F146" s="43">
        <v>9188037000</v>
      </c>
      <c r="G146" s="43" t="s">
        <v>3361</v>
      </c>
      <c r="H146" s="43" t="s">
        <v>202</v>
      </c>
      <c r="I146" s="42">
        <v>45955</v>
      </c>
      <c r="J146" s="42">
        <v>46655</v>
      </c>
      <c r="K146" s="43">
        <v>22</v>
      </c>
      <c r="L146" s="43"/>
      <c r="M146" s="7" t="s">
        <v>195</v>
      </c>
      <c r="N146" s="44"/>
      <c r="O146" s="43" t="s">
        <v>3362</v>
      </c>
      <c r="P146" s="295" t="s">
        <v>3363</v>
      </c>
      <c r="Q146" s="139" t="s">
        <v>3364</v>
      </c>
      <c r="R146" s="278" t="s">
        <v>3365</v>
      </c>
    </row>
    <row r="147" spans="1:23" ht="106.5" hidden="1">
      <c r="A147" s="52">
        <v>146</v>
      </c>
      <c r="B147" s="52" t="s">
        <v>227</v>
      </c>
      <c r="C147" s="44" t="s">
        <v>3366</v>
      </c>
      <c r="D147" s="46" t="s">
        <v>3367</v>
      </c>
      <c r="E147" s="46" t="s">
        <v>3368</v>
      </c>
      <c r="F147" s="43">
        <v>9535510742</v>
      </c>
      <c r="G147" s="43" t="s">
        <v>3369</v>
      </c>
      <c r="H147" s="43" t="s">
        <v>1737</v>
      </c>
      <c r="I147" s="42">
        <v>45946</v>
      </c>
      <c r="J147" s="42">
        <v>46281</v>
      </c>
      <c r="K147" s="43">
        <v>11</v>
      </c>
      <c r="L147" s="43"/>
      <c r="M147" s="7" t="s">
        <v>176</v>
      </c>
      <c r="N147" s="44"/>
      <c r="O147" s="43"/>
      <c r="P147" s="186"/>
      <c r="Q147" s="139" t="s">
        <v>3370</v>
      </c>
      <c r="R147" s="288" t="s">
        <v>3371</v>
      </c>
    </row>
    <row r="148" spans="1:23" ht="76.5" hidden="1">
      <c r="A148" s="52">
        <v>147</v>
      </c>
      <c r="B148" s="52" t="s">
        <v>227</v>
      </c>
      <c r="C148" s="44" t="s">
        <v>3372</v>
      </c>
      <c r="D148" s="46" t="s">
        <v>3373</v>
      </c>
      <c r="E148" s="46" t="s">
        <v>3374</v>
      </c>
      <c r="F148" s="43">
        <v>9742176000</v>
      </c>
      <c r="G148" s="43" t="s">
        <v>3375</v>
      </c>
      <c r="H148" s="43" t="s">
        <v>202</v>
      </c>
      <c r="I148" s="42">
        <v>45954</v>
      </c>
      <c r="J148" s="42">
        <v>46289</v>
      </c>
      <c r="K148" s="43">
        <v>11</v>
      </c>
      <c r="L148" s="43"/>
      <c r="M148" s="7" t="s">
        <v>176</v>
      </c>
      <c r="N148" s="44"/>
      <c r="O148" s="43"/>
      <c r="P148" s="186"/>
      <c r="Q148" s="139" t="s">
        <v>3376</v>
      </c>
      <c r="R148" s="147" t="s">
        <v>3377</v>
      </c>
    </row>
    <row r="149" spans="1:23" ht="121.5" hidden="1">
      <c r="A149" s="52">
        <v>148</v>
      </c>
      <c r="B149" s="52" t="s">
        <v>227</v>
      </c>
      <c r="C149" s="43" t="s">
        <v>3378</v>
      </c>
      <c r="D149" s="46" t="s">
        <v>3379</v>
      </c>
      <c r="E149" s="46" t="s">
        <v>3380</v>
      </c>
      <c r="F149" s="43">
        <v>9741644785</v>
      </c>
      <c r="G149" s="43" t="s">
        <v>3381</v>
      </c>
      <c r="H149" s="43" t="s">
        <v>1737</v>
      </c>
      <c r="I149" s="42">
        <v>45953</v>
      </c>
      <c r="J149" s="42">
        <v>46288</v>
      </c>
      <c r="K149" s="43">
        <v>11</v>
      </c>
      <c r="L149" s="43"/>
      <c r="M149" s="7" t="s">
        <v>195</v>
      </c>
      <c r="N149" s="44"/>
      <c r="O149" s="43"/>
      <c r="P149" s="186"/>
      <c r="Q149" s="139" t="s">
        <v>3382</v>
      </c>
      <c r="R149" s="278" t="s">
        <v>3383</v>
      </c>
    </row>
    <row r="150" spans="1:23" ht="60.75" hidden="1">
      <c r="A150" s="52">
        <v>149</v>
      </c>
      <c r="B150" s="52" t="s">
        <v>227</v>
      </c>
      <c r="C150" s="43" t="s">
        <v>3384</v>
      </c>
      <c r="D150" s="46" t="s">
        <v>3385</v>
      </c>
      <c r="E150" s="46" t="s">
        <v>3386</v>
      </c>
      <c r="F150" s="44" t="s">
        <v>3387</v>
      </c>
      <c r="G150" s="43" t="s">
        <v>3388</v>
      </c>
      <c r="H150" s="43" t="s">
        <v>1737</v>
      </c>
      <c r="I150" s="42">
        <v>45951</v>
      </c>
      <c r="J150" s="42">
        <v>46286</v>
      </c>
      <c r="K150" s="43">
        <v>11</v>
      </c>
      <c r="L150" s="43"/>
      <c r="M150" s="7" t="s">
        <v>176</v>
      </c>
      <c r="N150" s="44"/>
      <c r="O150" s="43"/>
      <c r="P150" s="186"/>
      <c r="Q150" s="139" t="s">
        <v>3389</v>
      </c>
      <c r="R150" s="278" t="s">
        <v>3390</v>
      </c>
      <c r="V150" s="29" t="s">
        <v>3391</v>
      </c>
      <c r="W150" s="29"/>
    </row>
    <row r="151" spans="1:23" ht="60.75" hidden="1">
      <c r="A151" s="39">
        <v>150</v>
      </c>
      <c r="B151" s="52" t="s">
        <v>227</v>
      </c>
      <c r="C151" s="43" t="s">
        <v>3392</v>
      </c>
      <c r="D151" s="44" t="s">
        <v>3393</v>
      </c>
      <c r="E151" s="41" t="s">
        <v>3394</v>
      </c>
      <c r="F151" s="43">
        <v>9675926868</v>
      </c>
      <c r="G151" s="43" t="s">
        <v>3395</v>
      </c>
      <c r="H151" s="43" t="s">
        <v>241</v>
      </c>
      <c r="I151" s="197">
        <v>45943</v>
      </c>
      <c r="J151" s="197">
        <v>46278</v>
      </c>
      <c r="K151" s="43">
        <v>11</v>
      </c>
      <c r="L151" s="43"/>
      <c r="M151" s="7" t="s">
        <v>195</v>
      </c>
      <c r="N151" s="44"/>
      <c r="O151" s="43"/>
      <c r="P151" s="258" t="s">
        <v>2012</v>
      </c>
      <c r="Q151" s="139" t="s">
        <v>3396</v>
      </c>
      <c r="R151" s="228" t="s">
        <v>3397</v>
      </c>
      <c r="S151" s="139"/>
      <c r="T151" s="24"/>
      <c r="U151" s="22"/>
    </row>
    <row r="152" spans="1:23" ht="60.75" hidden="1">
      <c r="A152" s="52">
        <v>151</v>
      </c>
      <c r="B152" s="52" t="s">
        <v>227</v>
      </c>
      <c r="C152" s="43" t="s">
        <v>3398</v>
      </c>
      <c r="D152" s="46" t="s">
        <v>3399</v>
      </c>
      <c r="E152" s="46" t="s">
        <v>3400</v>
      </c>
      <c r="F152" s="43">
        <v>9945033658</v>
      </c>
      <c r="G152" s="43" t="s">
        <v>3401</v>
      </c>
      <c r="H152" s="43" t="s">
        <v>1737</v>
      </c>
      <c r="I152" s="42">
        <v>45962</v>
      </c>
      <c r="J152" s="42">
        <v>46296</v>
      </c>
      <c r="K152" s="43">
        <v>11</v>
      </c>
      <c r="L152" s="43"/>
      <c r="M152" s="7" t="s">
        <v>176</v>
      </c>
      <c r="N152" s="44"/>
      <c r="O152" s="43"/>
      <c r="P152" s="186"/>
      <c r="Q152" s="139" t="s">
        <v>3402</v>
      </c>
      <c r="R152" s="228" t="s">
        <v>3403</v>
      </c>
      <c r="S152" s="139"/>
      <c r="T152" s="24"/>
      <c r="U152" s="22"/>
      <c r="V152" s="29" t="s">
        <v>3404</v>
      </c>
      <c r="W152" s="29">
        <v>1406</v>
      </c>
    </row>
    <row r="153" spans="1:23" ht="60.75" hidden="1">
      <c r="A153" s="52">
        <v>152</v>
      </c>
      <c r="B153" s="52" t="s">
        <v>227</v>
      </c>
      <c r="C153" s="43" t="s">
        <v>3405</v>
      </c>
      <c r="D153" s="46" t="s">
        <v>3406</v>
      </c>
      <c r="E153" s="46" t="s">
        <v>3407</v>
      </c>
      <c r="F153" s="43">
        <v>9980848939</v>
      </c>
      <c r="G153" s="43" t="s">
        <v>3408</v>
      </c>
      <c r="H153" s="43" t="s">
        <v>2095</v>
      </c>
      <c r="I153" s="42">
        <v>45962</v>
      </c>
      <c r="J153" s="42">
        <v>46296</v>
      </c>
      <c r="K153" s="43">
        <v>11</v>
      </c>
      <c r="L153" s="43"/>
      <c r="M153" s="7" t="s">
        <v>195</v>
      </c>
      <c r="N153" s="44"/>
      <c r="O153" s="43"/>
      <c r="P153" s="186"/>
      <c r="Q153" s="139" t="s">
        <v>3409</v>
      </c>
      <c r="R153" s="228" t="s">
        <v>3410</v>
      </c>
      <c r="S153" s="139"/>
      <c r="T153" s="24"/>
      <c r="U153" s="22"/>
      <c r="V153" s="29" t="s">
        <v>3411</v>
      </c>
      <c r="W153" s="29" t="s">
        <v>3412</v>
      </c>
    </row>
    <row r="154" spans="1:23" ht="76.5" hidden="1">
      <c r="A154" s="52">
        <v>153</v>
      </c>
      <c r="B154" s="52" t="s">
        <v>227</v>
      </c>
      <c r="C154" s="44" t="s">
        <v>3413</v>
      </c>
      <c r="D154" s="46" t="s">
        <v>3414</v>
      </c>
      <c r="E154" s="46" t="s">
        <v>3415</v>
      </c>
      <c r="F154" s="44" t="s">
        <v>3416</v>
      </c>
      <c r="G154" s="43" t="s">
        <v>3417</v>
      </c>
      <c r="H154" s="43" t="s">
        <v>1737</v>
      </c>
      <c r="I154" s="42">
        <v>45967</v>
      </c>
      <c r="J154" s="42">
        <v>46301</v>
      </c>
      <c r="K154" s="43">
        <v>11</v>
      </c>
      <c r="L154" s="43"/>
      <c r="M154" s="7" t="s">
        <v>195</v>
      </c>
      <c r="N154" s="44"/>
      <c r="O154" s="43"/>
      <c r="P154" s="186"/>
      <c r="Q154" s="139" t="s">
        <v>3418</v>
      </c>
      <c r="R154" s="228" t="s">
        <v>3419</v>
      </c>
      <c r="S154" s="139"/>
      <c r="T154" s="24"/>
      <c r="U154" s="22"/>
      <c r="V154" s="29" t="s">
        <v>3420</v>
      </c>
      <c r="W154" s="29">
        <f>W151/2</f>
        <v>0</v>
      </c>
    </row>
    <row r="155" spans="1:23" ht="51.75" hidden="1" customHeight="1">
      <c r="A155" s="52">
        <v>154</v>
      </c>
      <c r="B155" s="52" t="s">
        <v>227</v>
      </c>
      <c r="C155" s="43" t="s">
        <v>3421</v>
      </c>
      <c r="D155" s="46" t="s">
        <v>3422</v>
      </c>
      <c r="E155" s="46" t="s">
        <v>3423</v>
      </c>
      <c r="F155" s="43">
        <v>9632662000</v>
      </c>
      <c r="G155" s="43" t="s">
        <v>3424</v>
      </c>
      <c r="H155" s="43" t="s">
        <v>1966</v>
      </c>
      <c r="I155" s="42">
        <v>45954</v>
      </c>
      <c r="J155" s="42">
        <v>46289</v>
      </c>
      <c r="K155" s="43">
        <v>11</v>
      </c>
      <c r="L155" s="43"/>
      <c r="M155" s="7" t="s">
        <v>176</v>
      </c>
      <c r="N155" s="44"/>
      <c r="O155" s="43"/>
      <c r="P155" s="186"/>
      <c r="Q155" s="139" t="s">
        <v>3425</v>
      </c>
      <c r="R155" s="228" t="s">
        <v>3426</v>
      </c>
      <c r="S155" s="139"/>
      <c r="T155" s="24"/>
      <c r="U155" s="22"/>
      <c r="V155" s="29"/>
      <c r="W155" s="29"/>
    </row>
    <row r="156" spans="1:23" ht="60.75" hidden="1">
      <c r="A156" s="52">
        <v>155</v>
      </c>
      <c r="B156" s="52" t="s">
        <v>227</v>
      </c>
      <c r="C156" s="43" t="s">
        <v>3427</v>
      </c>
      <c r="D156" s="46" t="s">
        <v>3428</v>
      </c>
      <c r="E156" s="46" t="s">
        <v>3429</v>
      </c>
      <c r="F156" s="44" t="s">
        <v>3430</v>
      </c>
      <c r="G156" s="43" t="s">
        <v>3431</v>
      </c>
      <c r="H156" s="43" t="s">
        <v>1737</v>
      </c>
      <c r="I156" s="42">
        <v>45978</v>
      </c>
      <c r="J156" s="42">
        <v>46312</v>
      </c>
      <c r="K156" s="43">
        <v>11</v>
      </c>
      <c r="L156" s="43"/>
      <c r="M156" s="7" t="s">
        <v>195</v>
      </c>
      <c r="N156" s="44"/>
      <c r="O156" s="43"/>
      <c r="P156" s="186"/>
      <c r="Q156" s="139" t="s">
        <v>3432</v>
      </c>
      <c r="R156" s="228" t="s">
        <v>3433</v>
      </c>
      <c r="S156" s="139"/>
      <c r="T156" s="24"/>
      <c r="U156" s="22"/>
    </row>
    <row r="157" spans="1:23" ht="60.75" hidden="1">
      <c r="A157" s="52">
        <v>156</v>
      </c>
      <c r="B157" s="52" t="s">
        <v>227</v>
      </c>
      <c r="C157" s="43" t="s">
        <v>3434</v>
      </c>
      <c r="D157" s="46" t="s">
        <v>3435</v>
      </c>
      <c r="E157" s="46" t="s">
        <v>3436</v>
      </c>
      <c r="F157" s="43">
        <v>8129994379</v>
      </c>
      <c r="G157" s="43" t="s">
        <v>3437</v>
      </c>
      <c r="H157" s="43" t="s">
        <v>202</v>
      </c>
      <c r="I157" s="42">
        <v>45980</v>
      </c>
      <c r="J157" s="42">
        <v>46314</v>
      </c>
      <c r="K157" s="43">
        <v>11</v>
      </c>
      <c r="L157" s="43"/>
      <c r="M157" s="7" t="s">
        <v>176</v>
      </c>
      <c r="N157" s="44"/>
      <c r="O157" s="43"/>
      <c r="P157" s="186"/>
      <c r="Q157" s="139" t="s">
        <v>3438</v>
      </c>
      <c r="R157" s="228" t="s">
        <v>3439</v>
      </c>
      <c r="S157" s="139"/>
      <c r="T157" s="24"/>
      <c r="U157" s="22"/>
    </row>
    <row r="158" spans="1:23" ht="45.75" hidden="1">
      <c r="A158" s="52">
        <v>157</v>
      </c>
      <c r="B158" s="52" t="s">
        <v>227</v>
      </c>
      <c r="C158" s="43" t="s">
        <v>3440</v>
      </c>
      <c r="D158" s="46" t="s">
        <v>3441</v>
      </c>
      <c r="E158" s="46" t="s">
        <v>3442</v>
      </c>
      <c r="F158" s="43">
        <v>9810506421</v>
      </c>
      <c r="G158" s="43" t="s">
        <v>3443</v>
      </c>
      <c r="H158" s="43" t="s">
        <v>261</v>
      </c>
      <c r="I158" s="42">
        <v>45986</v>
      </c>
      <c r="J158" s="42">
        <v>46320</v>
      </c>
      <c r="K158" s="43">
        <v>11</v>
      </c>
      <c r="L158" s="43"/>
      <c r="M158" s="7" t="s">
        <v>195</v>
      </c>
      <c r="N158" s="44"/>
      <c r="O158" s="43"/>
      <c r="P158" s="186"/>
      <c r="Q158" s="139" t="s">
        <v>3444</v>
      </c>
      <c r="R158" s="228" t="s">
        <v>3445</v>
      </c>
      <c r="S158" s="139"/>
      <c r="T158" s="24"/>
      <c r="U158" s="22"/>
    </row>
    <row r="159" spans="1:23" ht="60.75" hidden="1">
      <c r="A159" s="52">
        <v>158</v>
      </c>
      <c r="B159" s="52" t="s">
        <v>227</v>
      </c>
      <c r="C159" s="43" t="s">
        <v>3446</v>
      </c>
      <c r="D159" s="46" t="s">
        <v>3447</v>
      </c>
      <c r="E159" s="46" t="s">
        <v>3448</v>
      </c>
      <c r="F159" s="44">
        <v>9895494874</v>
      </c>
      <c r="G159" s="43" t="s">
        <v>3449</v>
      </c>
      <c r="H159" s="43" t="s">
        <v>202</v>
      </c>
      <c r="I159" s="42">
        <v>45987</v>
      </c>
      <c r="J159" s="42">
        <v>46321</v>
      </c>
      <c r="K159" s="43">
        <v>11</v>
      </c>
      <c r="L159" s="43"/>
      <c r="M159" s="7" t="s">
        <v>176</v>
      </c>
      <c r="N159" s="44"/>
      <c r="O159" s="43"/>
      <c r="P159" s="186" t="s">
        <v>3450</v>
      </c>
      <c r="Q159" s="139" t="s">
        <v>3451</v>
      </c>
      <c r="R159" s="228" t="s">
        <v>3452</v>
      </c>
      <c r="S159" s="139"/>
      <c r="T159" s="24"/>
      <c r="U159" s="22"/>
    </row>
    <row r="160" spans="1:23" ht="91.5" hidden="1">
      <c r="A160" s="52">
        <v>159</v>
      </c>
      <c r="B160" s="52" t="s">
        <v>227</v>
      </c>
      <c r="C160" s="43" t="s">
        <v>3453</v>
      </c>
      <c r="D160" s="46" t="s">
        <v>3454</v>
      </c>
      <c r="E160" s="46" t="s">
        <v>3455</v>
      </c>
      <c r="F160" s="43">
        <v>8285673719</v>
      </c>
      <c r="G160" s="43" t="s">
        <v>3456</v>
      </c>
      <c r="H160" s="43" t="s">
        <v>241</v>
      </c>
      <c r="I160" s="42">
        <v>46351</v>
      </c>
      <c r="J160" s="42">
        <v>46320</v>
      </c>
      <c r="K160" s="43">
        <v>11</v>
      </c>
      <c r="L160" s="43"/>
      <c r="M160" s="7" t="s">
        <v>195</v>
      </c>
      <c r="N160" s="44"/>
      <c r="O160" s="43"/>
      <c r="P160" s="186"/>
      <c r="Q160" s="139" t="s">
        <v>3457</v>
      </c>
      <c r="R160" s="228" t="s">
        <v>3458</v>
      </c>
      <c r="S160" s="139"/>
      <c r="T160" s="24"/>
      <c r="U160" s="22"/>
    </row>
    <row r="161" spans="1:21" ht="45.75" hidden="1">
      <c r="A161" s="52">
        <v>160</v>
      </c>
      <c r="B161" s="52" t="s">
        <v>227</v>
      </c>
      <c r="C161" s="43" t="s">
        <v>3459</v>
      </c>
      <c r="D161" s="46" t="s">
        <v>3460</v>
      </c>
      <c r="E161" s="46" t="s">
        <v>3461</v>
      </c>
      <c r="F161" s="43">
        <v>7411300900</v>
      </c>
      <c r="G161" s="43" t="s">
        <v>3462</v>
      </c>
      <c r="H161" s="43" t="s">
        <v>677</v>
      </c>
      <c r="I161" s="42">
        <v>45985</v>
      </c>
      <c r="J161" s="42">
        <v>46319</v>
      </c>
      <c r="K161" s="43">
        <v>11</v>
      </c>
      <c r="L161" s="43"/>
      <c r="M161" s="7" t="s">
        <v>195</v>
      </c>
      <c r="N161" s="44"/>
      <c r="O161" s="43"/>
      <c r="P161" s="186" t="s">
        <v>3463</v>
      </c>
      <c r="Q161" s="139" t="s">
        <v>3464</v>
      </c>
      <c r="R161" s="228" t="s">
        <v>3465</v>
      </c>
      <c r="S161" s="179" t="s">
        <v>3466</v>
      </c>
      <c r="T161" s="24"/>
      <c r="U161" s="22"/>
    </row>
    <row r="162" spans="1:21" ht="60.75" hidden="1">
      <c r="A162" s="52">
        <v>161</v>
      </c>
      <c r="B162" s="52" t="s">
        <v>227</v>
      </c>
      <c r="C162" s="43" t="s">
        <v>3467</v>
      </c>
      <c r="D162" s="46" t="s">
        <v>3468</v>
      </c>
      <c r="E162" s="46" t="s">
        <v>3469</v>
      </c>
      <c r="F162" s="44" t="s">
        <v>3470</v>
      </c>
      <c r="G162" s="43" t="s">
        <v>3471</v>
      </c>
      <c r="H162" s="43" t="s">
        <v>194</v>
      </c>
      <c r="I162" s="42">
        <v>45700</v>
      </c>
      <c r="J162" s="42">
        <v>46323</v>
      </c>
      <c r="K162" s="43">
        <v>11</v>
      </c>
      <c r="L162" s="43"/>
      <c r="M162" s="7" t="s">
        <v>176</v>
      </c>
      <c r="N162" s="44"/>
      <c r="O162" s="43"/>
      <c r="P162" s="186"/>
      <c r="Q162" s="139" t="s">
        <v>3472</v>
      </c>
      <c r="R162" s="228" t="s">
        <v>3473</v>
      </c>
      <c r="S162" s="139"/>
      <c r="T162" s="24"/>
      <c r="U162" s="22"/>
    </row>
    <row r="163" spans="1:21" ht="45.75" hidden="1">
      <c r="A163" s="52">
        <v>162</v>
      </c>
      <c r="B163" s="52" t="s">
        <v>227</v>
      </c>
      <c r="C163" s="43" t="s">
        <v>3474</v>
      </c>
      <c r="D163" s="46" t="s">
        <v>3475</v>
      </c>
      <c r="E163" s="46" t="s">
        <v>3476</v>
      </c>
      <c r="F163" s="44" t="s">
        <v>3477</v>
      </c>
      <c r="G163" s="43" t="s">
        <v>3478</v>
      </c>
      <c r="H163" s="43" t="s">
        <v>241</v>
      </c>
      <c r="I163" s="42">
        <v>45994</v>
      </c>
      <c r="J163" s="42">
        <v>46329</v>
      </c>
      <c r="K163" s="43">
        <v>11</v>
      </c>
      <c r="L163" s="43"/>
      <c r="M163" s="7" t="s">
        <v>195</v>
      </c>
      <c r="N163" s="44"/>
      <c r="O163" s="43"/>
      <c r="P163" s="186" t="s">
        <v>3479</v>
      </c>
      <c r="Q163" s="139" t="s">
        <v>3480</v>
      </c>
      <c r="R163" s="228" t="s">
        <v>3481</v>
      </c>
      <c r="S163" s="139"/>
      <c r="T163" s="24"/>
      <c r="U163" s="22"/>
    </row>
    <row r="164" spans="1:21" ht="76.5" hidden="1">
      <c r="A164" s="52">
        <v>163</v>
      </c>
      <c r="B164" s="52" t="s">
        <v>227</v>
      </c>
      <c r="C164" s="43" t="s">
        <v>3482</v>
      </c>
      <c r="D164" s="46" t="s">
        <v>3483</v>
      </c>
      <c r="E164" s="46" t="s">
        <v>3484</v>
      </c>
      <c r="F164" s="43">
        <v>8149135128</v>
      </c>
      <c r="G164" s="43" t="s">
        <v>3485</v>
      </c>
      <c r="H164" s="43" t="s">
        <v>2068</v>
      </c>
      <c r="I164" s="42">
        <v>45994</v>
      </c>
      <c r="J164" s="42">
        <v>46329</v>
      </c>
      <c r="K164" s="43">
        <v>11</v>
      </c>
      <c r="L164" s="43"/>
      <c r="M164" s="7" t="s">
        <v>195</v>
      </c>
      <c r="N164" s="44"/>
      <c r="O164" s="43"/>
      <c r="P164" s="186" t="s">
        <v>3486</v>
      </c>
      <c r="Q164" s="139" t="s">
        <v>3487</v>
      </c>
      <c r="R164" s="228" t="s">
        <v>3488</v>
      </c>
      <c r="S164" s="139"/>
      <c r="T164" s="24"/>
      <c r="U164" s="22"/>
    </row>
    <row r="165" spans="1:21" ht="121.5" hidden="1">
      <c r="A165" s="52">
        <v>164</v>
      </c>
      <c r="B165" s="52" t="s">
        <v>227</v>
      </c>
      <c r="C165" s="44" t="s">
        <v>3489</v>
      </c>
      <c r="D165" s="46" t="s">
        <v>3490</v>
      </c>
      <c r="E165" s="46" t="s">
        <v>3491</v>
      </c>
      <c r="F165" s="43">
        <v>9840277706</v>
      </c>
      <c r="G165" s="43" t="s">
        <v>3492</v>
      </c>
      <c r="H165" s="43" t="s">
        <v>275</v>
      </c>
      <c r="I165" s="42">
        <v>45973</v>
      </c>
      <c r="J165" s="42">
        <v>46307</v>
      </c>
      <c r="K165" s="43">
        <v>11</v>
      </c>
      <c r="L165" s="43"/>
      <c r="M165" s="7" t="s">
        <v>195</v>
      </c>
      <c r="N165" s="44"/>
      <c r="O165" s="43"/>
      <c r="P165" s="186"/>
      <c r="Q165" s="139" t="s">
        <v>3493</v>
      </c>
      <c r="R165" s="228" t="s">
        <v>3494</v>
      </c>
      <c r="S165" s="139"/>
      <c r="T165" s="24"/>
      <c r="U165" s="22"/>
    </row>
    <row r="166" spans="1:21" ht="91.5" hidden="1">
      <c r="A166" s="52">
        <v>165</v>
      </c>
      <c r="B166" s="52" t="s">
        <v>227</v>
      </c>
      <c r="C166" s="43" t="s">
        <v>3495</v>
      </c>
      <c r="D166" s="46" t="s">
        <v>3496</v>
      </c>
      <c r="E166" s="46" t="s">
        <v>3497</v>
      </c>
      <c r="F166" s="43">
        <v>8904993836</v>
      </c>
      <c r="G166" s="43" t="s">
        <v>3498</v>
      </c>
      <c r="H166" s="43" t="s">
        <v>3499</v>
      </c>
      <c r="I166" s="42">
        <v>45995</v>
      </c>
      <c r="J166" s="42">
        <v>46330</v>
      </c>
      <c r="K166" s="43">
        <v>11</v>
      </c>
      <c r="L166" s="43"/>
      <c r="M166" s="7" t="s">
        <v>176</v>
      </c>
      <c r="N166" s="44"/>
      <c r="O166" s="43"/>
      <c r="P166" s="186"/>
      <c r="Q166" s="139" t="s">
        <v>3500</v>
      </c>
      <c r="R166" s="228" t="s">
        <v>3501</v>
      </c>
      <c r="S166" s="139"/>
      <c r="T166" s="24"/>
      <c r="U166" s="22"/>
    </row>
    <row r="167" spans="1:21" ht="76.5" hidden="1">
      <c r="A167" s="52">
        <v>166</v>
      </c>
      <c r="B167" s="52" t="s">
        <v>227</v>
      </c>
      <c r="C167" s="43" t="s">
        <v>3502</v>
      </c>
      <c r="D167" s="46" t="s">
        <v>3502</v>
      </c>
      <c r="E167" s="46" t="s">
        <v>3503</v>
      </c>
      <c r="F167" s="43">
        <v>8146244772</v>
      </c>
      <c r="G167" s="43" t="s">
        <v>3504</v>
      </c>
      <c r="H167" s="43" t="s">
        <v>3505</v>
      </c>
      <c r="I167" s="42">
        <v>45999</v>
      </c>
      <c r="J167" s="42">
        <v>46334</v>
      </c>
      <c r="K167" s="43">
        <v>11</v>
      </c>
      <c r="L167" s="43"/>
      <c r="M167" s="7" t="s">
        <v>195</v>
      </c>
      <c r="N167" s="44"/>
      <c r="O167" s="43"/>
      <c r="P167" s="186"/>
      <c r="Q167" s="139" t="s">
        <v>3506</v>
      </c>
      <c r="R167" s="228" t="s">
        <v>3507</v>
      </c>
      <c r="S167" s="139"/>
      <c r="T167" s="24"/>
      <c r="U167" s="22"/>
    </row>
    <row r="168" spans="1:21" ht="60.75" hidden="1">
      <c r="A168" s="52">
        <v>167</v>
      </c>
      <c r="B168" s="52" t="s">
        <v>227</v>
      </c>
      <c r="C168" s="43" t="s">
        <v>3508</v>
      </c>
      <c r="D168" s="46" t="s">
        <v>3509</v>
      </c>
      <c r="E168" s="46" t="s">
        <v>3510</v>
      </c>
      <c r="F168" s="44" t="s">
        <v>3511</v>
      </c>
      <c r="G168" s="43" t="s">
        <v>3512</v>
      </c>
      <c r="H168" s="43" t="s">
        <v>202</v>
      </c>
      <c r="I168" s="42">
        <v>45997</v>
      </c>
      <c r="J168" s="42">
        <v>46332</v>
      </c>
      <c r="K168" s="43">
        <v>11</v>
      </c>
      <c r="L168" s="43"/>
      <c r="M168" s="7" t="s">
        <v>195</v>
      </c>
      <c r="N168" s="44"/>
      <c r="O168" s="43"/>
      <c r="P168" s="186"/>
      <c r="Q168" s="139" t="s">
        <v>3513</v>
      </c>
      <c r="R168" s="228" t="s">
        <v>3514</v>
      </c>
      <c r="S168" s="139"/>
      <c r="T168" s="24"/>
      <c r="U168" s="22"/>
    </row>
    <row r="169" spans="1:21" ht="76.5" hidden="1">
      <c r="A169" s="52">
        <v>168</v>
      </c>
      <c r="B169" s="52" t="s">
        <v>227</v>
      </c>
      <c r="C169" s="43" t="s">
        <v>3515</v>
      </c>
      <c r="D169" s="46" t="s">
        <v>3516</v>
      </c>
      <c r="E169" s="46" t="s">
        <v>3517</v>
      </c>
      <c r="F169" s="43">
        <v>9741867418</v>
      </c>
      <c r="G169" s="43" t="s">
        <v>3518</v>
      </c>
      <c r="H169" s="43" t="s">
        <v>1737</v>
      </c>
      <c r="I169" s="42">
        <v>45995</v>
      </c>
      <c r="J169" s="42">
        <v>46330</v>
      </c>
      <c r="K169" s="43">
        <v>11</v>
      </c>
      <c r="L169" s="43"/>
      <c r="M169" s="7" t="s">
        <v>176</v>
      </c>
      <c r="N169" s="44"/>
      <c r="O169" s="43"/>
      <c r="P169" s="186"/>
      <c r="Q169" s="139" t="s">
        <v>3519</v>
      </c>
      <c r="R169" s="228" t="s">
        <v>3520</v>
      </c>
      <c r="S169" s="139"/>
      <c r="T169" s="24"/>
      <c r="U169" s="22"/>
    </row>
    <row r="170" spans="1:21" ht="91.5" hidden="1">
      <c r="A170" s="52">
        <v>169</v>
      </c>
      <c r="B170" s="52" t="s">
        <v>227</v>
      </c>
      <c r="C170" s="43" t="s">
        <v>3521</v>
      </c>
      <c r="D170" s="46" t="s">
        <v>3522</v>
      </c>
      <c r="E170" s="46" t="s">
        <v>3523</v>
      </c>
      <c r="F170" s="43">
        <v>9529873943</v>
      </c>
      <c r="G170" s="43" t="s">
        <v>3524</v>
      </c>
      <c r="H170" s="43" t="s">
        <v>529</v>
      </c>
      <c r="I170" s="42">
        <v>45997</v>
      </c>
      <c r="J170" s="42">
        <v>46332</v>
      </c>
      <c r="K170" s="43">
        <v>11</v>
      </c>
      <c r="L170" s="43"/>
      <c r="M170" s="7" t="s">
        <v>176</v>
      </c>
      <c r="N170" s="44"/>
      <c r="O170" s="43"/>
      <c r="P170" s="186"/>
      <c r="Q170" s="139" t="s">
        <v>3493</v>
      </c>
      <c r="R170" s="228" t="s">
        <v>3525</v>
      </c>
      <c r="S170" s="139"/>
      <c r="T170" s="24"/>
      <c r="U170" s="22"/>
    </row>
    <row r="171" spans="1:21" ht="91.5" hidden="1">
      <c r="A171" s="52">
        <v>170</v>
      </c>
      <c r="B171" s="52" t="s">
        <v>227</v>
      </c>
      <c r="C171" s="43" t="s">
        <v>3526</v>
      </c>
      <c r="D171" s="46" t="s">
        <v>3527</v>
      </c>
      <c r="E171" s="46" t="s">
        <v>3528</v>
      </c>
      <c r="F171" s="44" t="s">
        <v>3529</v>
      </c>
      <c r="G171" s="43" t="s">
        <v>3530</v>
      </c>
      <c r="H171" s="43" t="s">
        <v>1737</v>
      </c>
      <c r="I171" s="42">
        <v>46001</v>
      </c>
      <c r="J171" s="42">
        <v>46336</v>
      </c>
      <c r="K171" s="43">
        <v>11</v>
      </c>
      <c r="L171" s="43"/>
      <c r="M171" s="7" t="s">
        <v>176</v>
      </c>
      <c r="N171" s="44"/>
      <c r="O171" s="43"/>
      <c r="P171" s="186"/>
      <c r="Q171" s="139" t="s">
        <v>3531</v>
      </c>
      <c r="R171" s="228" t="s">
        <v>3532</v>
      </c>
      <c r="S171" s="139"/>
      <c r="T171" s="24"/>
      <c r="U171" s="22"/>
    </row>
    <row r="172" spans="1:21" ht="30.75" hidden="1">
      <c r="A172" s="52">
        <v>171</v>
      </c>
      <c r="B172" s="52" t="s">
        <v>227</v>
      </c>
      <c r="C172" s="43"/>
      <c r="D172" s="46" t="s">
        <v>3533</v>
      </c>
      <c r="E172" s="46"/>
      <c r="F172" s="43"/>
      <c r="G172" s="43"/>
      <c r="H172" s="43"/>
      <c r="I172" s="42"/>
      <c r="J172" s="42"/>
      <c r="K172" s="43">
        <v>11</v>
      </c>
      <c r="L172" s="43"/>
      <c r="M172" s="44" t="s">
        <v>3534</v>
      </c>
      <c r="N172" s="44"/>
      <c r="O172" s="43"/>
      <c r="P172" s="186"/>
      <c r="Q172" s="139" t="s">
        <v>3535</v>
      </c>
      <c r="R172" s="228"/>
      <c r="S172" s="139"/>
      <c r="T172" s="24"/>
      <c r="U172" s="22"/>
    </row>
    <row r="173" spans="1:21" ht="38.25" hidden="1" customHeight="1">
      <c r="A173" s="52">
        <v>172</v>
      </c>
      <c r="B173" s="52" t="s">
        <v>227</v>
      </c>
      <c r="C173" s="43"/>
      <c r="D173" s="46" t="s">
        <v>3536</v>
      </c>
      <c r="E173" s="46"/>
      <c r="F173" s="43"/>
      <c r="G173" s="43"/>
      <c r="H173" s="43"/>
      <c r="I173" s="42" t="s">
        <v>2437</v>
      </c>
      <c r="J173" s="42" t="s">
        <v>2438</v>
      </c>
      <c r="K173" s="43">
        <v>24</v>
      </c>
      <c r="L173" s="43"/>
      <c r="M173" s="7" t="s">
        <v>176</v>
      </c>
      <c r="N173" s="44"/>
      <c r="O173" s="43"/>
      <c r="P173" s="186" t="s">
        <v>3537</v>
      </c>
      <c r="Q173" s="139" t="s">
        <v>3538</v>
      </c>
      <c r="R173" s="228"/>
      <c r="S173" s="139"/>
      <c r="T173" s="24"/>
      <c r="U173" s="22"/>
    </row>
    <row r="174" spans="1:21" ht="45.75" hidden="1">
      <c r="A174" s="52">
        <v>173</v>
      </c>
      <c r="B174" s="52"/>
      <c r="C174" s="43"/>
      <c r="D174" s="46" t="s">
        <v>3539</v>
      </c>
      <c r="E174" s="46"/>
      <c r="F174" s="43"/>
      <c r="G174" s="43"/>
      <c r="H174" s="43"/>
      <c r="I174" s="42" t="s">
        <v>2199</v>
      </c>
      <c r="J174" s="42" t="s">
        <v>2200</v>
      </c>
      <c r="K174" s="43">
        <v>11</v>
      </c>
      <c r="L174" s="43"/>
      <c r="M174" s="7" t="s">
        <v>195</v>
      </c>
      <c r="N174" s="44"/>
      <c r="O174" s="43"/>
      <c r="P174" s="186"/>
      <c r="Q174" s="133" t="s">
        <v>3540</v>
      </c>
      <c r="R174" s="228"/>
      <c r="S174" s="139"/>
      <c r="T174" s="24"/>
      <c r="U174" s="22"/>
    </row>
    <row r="175" spans="1:21" ht="45.75" hidden="1">
      <c r="A175" s="52">
        <v>174</v>
      </c>
      <c r="B175" s="52" t="s">
        <v>227</v>
      </c>
      <c r="C175" s="43" t="s">
        <v>3541</v>
      </c>
      <c r="D175" s="46" t="s">
        <v>3542</v>
      </c>
      <c r="E175" s="46"/>
      <c r="F175" s="43">
        <v>7989183877</v>
      </c>
      <c r="G175" s="43" t="s">
        <v>3543</v>
      </c>
      <c r="H175" s="43"/>
      <c r="I175" s="42" t="s">
        <v>2203</v>
      </c>
      <c r="J175" s="42" t="s">
        <v>2204</v>
      </c>
      <c r="K175" s="43">
        <v>11</v>
      </c>
      <c r="L175" s="43"/>
      <c r="M175" s="7" t="s">
        <v>176</v>
      </c>
      <c r="N175" s="44"/>
      <c r="O175" s="43"/>
      <c r="P175" s="186"/>
      <c r="Q175" s="139" t="s">
        <v>3544</v>
      </c>
      <c r="R175" s="228"/>
      <c r="S175" s="139"/>
      <c r="T175" s="24"/>
      <c r="U175" s="22"/>
    </row>
    <row r="176" spans="1:21" ht="45.75" hidden="1">
      <c r="A176" s="52">
        <v>175</v>
      </c>
      <c r="B176" s="52" t="s">
        <v>227</v>
      </c>
      <c r="C176" s="43" t="s">
        <v>3545</v>
      </c>
      <c r="D176" s="46" t="s">
        <v>3545</v>
      </c>
      <c r="E176" s="46"/>
      <c r="F176" s="43">
        <v>7989183877</v>
      </c>
      <c r="G176" s="42" t="s">
        <v>3546</v>
      </c>
      <c r="H176" s="43"/>
      <c r="I176" s="42" t="s">
        <v>2203</v>
      </c>
      <c r="J176" s="42" t="s">
        <v>2204</v>
      </c>
      <c r="K176" s="43">
        <v>11</v>
      </c>
      <c r="L176" s="43"/>
      <c r="M176" s="7" t="s">
        <v>176</v>
      </c>
      <c r="N176" s="44"/>
      <c r="O176" s="43"/>
      <c r="P176" s="258" t="s">
        <v>3547</v>
      </c>
      <c r="Q176" s="139" t="s">
        <v>3548</v>
      </c>
      <c r="R176" s="228"/>
      <c r="S176" s="139"/>
      <c r="T176" s="24"/>
      <c r="U176" s="22"/>
    </row>
    <row r="177" spans="1:21" ht="45.75" hidden="1">
      <c r="A177" s="52">
        <v>176</v>
      </c>
      <c r="B177" s="52" t="s">
        <v>227</v>
      </c>
      <c r="C177" s="43" t="s">
        <v>3549</v>
      </c>
      <c r="D177" s="46" t="s">
        <v>3550</v>
      </c>
      <c r="E177" s="46" t="s">
        <v>3551</v>
      </c>
      <c r="F177" s="44" t="s">
        <v>3552</v>
      </c>
      <c r="G177" s="43"/>
      <c r="H177" s="43"/>
      <c r="I177" s="42">
        <v>46023</v>
      </c>
      <c r="J177" s="42" t="s">
        <v>3553</v>
      </c>
      <c r="K177" s="43">
        <v>11</v>
      </c>
      <c r="L177" s="43"/>
      <c r="M177" s="7" t="s">
        <v>195</v>
      </c>
      <c r="N177" s="44"/>
      <c r="O177" s="43"/>
      <c r="P177" s="258"/>
      <c r="Q177" s="139" t="s">
        <v>3554</v>
      </c>
      <c r="R177" s="228" t="s">
        <v>3555</v>
      </c>
      <c r="S177" s="139"/>
      <c r="T177" s="24"/>
      <c r="U177" s="22"/>
    </row>
    <row r="178" spans="1:21" ht="45.75" hidden="1">
      <c r="A178" s="52">
        <v>177</v>
      </c>
      <c r="B178" s="52" t="s">
        <v>227</v>
      </c>
      <c r="C178" s="44" t="s">
        <v>3556</v>
      </c>
      <c r="D178" s="46" t="s">
        <v>3557</v>
      </c>
      <c r="E178" s="46" t="s">
        <v>3558</v>
      </c>
      <c r="F178" s="43">
        <v>7738734349</v>
      </c>
      <c r="G178" s="43"/>
      <c r="H178" s="43"/>
      <c r="I178" s="42">
        <v>46082</v>
      </c>
      <c r="J178" s="42">
        <v>46065</v>
      </c>
      <c r="K178" s="43">
        <v>11</v>
      </c>
      <c r="L178" s="43"/>
      <c r="M178" s="7" t="s">
        <v>176</v>
      </c>
      <c r="N178" s="44"/>
      <c r="O178" s="43"/>
      <c r="P178" s="186"/>
      <c r="Q178" s="139" t="s">
        <v>3559</v>
      </c>
      <c r="R178" s="228" t="s">
        <v>3560</v>
      </c>
      <c r="S178" s="139"/>
      <c r="T178" s="24"/>
      <c r="U178" s="22"/>
    </row>
    <row r="179" spans="1:21" ht="45.75" hidden="1">
      <c r="A179" s="52">
        <v>178</v>
      </c>
      <c r="B179" s="52" t="s">
        <v>227</v>
      </c>
      <c r="C179" s="43" t="s">
        <v>3561</v>
      </c>
      <c r="D179" s="46" t="s">
        <v>3562</v>
      </c>
      <c r="E179" s="46" t="s">
        <v>3563</v>
      </c>
      <c r="F179" s="43">
        <v>9024031170</v>
      </c>
      <c r="G179" s="43"/>
      <c r="H179" s="43"/>
      <c r="I179" s="42">
        <v>46143</v>
      </c>
      <c r="J179" s="42">
        <v>46124</v>
      </c>
      <c r="K179" s="43">
        <v>11</v>
      </c>
      <c r="L179" s="43"/>
      <c r="M179" s="7" t="s">
        <v>195</v>
      </c>
      <c r="N179" s="44"/>
      <c r="O179" s="43"/>
      <c r="P179" s="186"/>
      <c r="Q179" s="139" t="s">
        <v>3564</v>
      </c>
      <c r="R179" s="228" t="s">
        <v>3565</v>
      </c>
      <c r="S179" s="139"/>
      <c r="T179" s="24"/>
      <c r="U179" s="22"/>
    </row>
    <row r="180" spans="1:21" ht="45.75" hidden="1">
      <c r="A180" s="52">
        <v>179</v>
      </c>
      <c r="B180" s="52" t="s">
        <v>227</v>
      </c>
      <c r="C180" s="43" t="s">
        <v>3566</v>
      </c>
      <c r="D180" s="46" t="s">
        <v>3566</v>
      </c>
      <c r="E180" s="46" t="s">
        <v>3567</v>
      </c>
      <c r="F180" s="43">
        <v>8107332664</v>
      </c>
      <c r="G180" s="43"/>
      <c r="H180" s="43"/>
      <c r="I180" s="42">
        <v>46143</v>
      </c>
      <c r="J180" s="42">
        <v>46124</v>
      </c>
      <c r="K180" s="43">
        <v>11</v>
      </c>
      <c r="L180" s="43"/>
      <c r="M180" s="7" t="s">
        <v>195</v>
      </c>
      <c r="N180" s="44"/>
      <c r="O180" s="43"/>
      <c r="P180" s="186"/>
      <c r="Q180" s="139" t="s">
        <v>3568</v>
      </c>
      <c r="R180" s="228" t="s">
        <v>3569</v>
      </c>
      <c r="S180" s="139"/>
      <c r="T180" s="24"/>
      <c r="U180" s="22"/>
    </row>
    <row r="181" spans="1:21" ht="76.5" hidden="1">
      <c r="A181" s="52">
        <v>180</v>
      </c>
      <c r="B181" s="52" t="s">
        <v>227</v>
      </c>
      <c r="C181" s="43" t="s">
        <v>3570</v>
      </c>
      <c r="D181" s="46" t="s">
        <v>3571</v>
      </c>
      <c r="E181" s="46" t="s">
        <v>3572</v>
      </c>
      <c r="F181" s="43">
        <v>9032312277</v>
      </c>
      <c r="G181" s="43"/>
      <c r="H181" s="43"/>
      <c r="I181" s="42" t="s">
        <v>3573</v>
      </c>
      <c r="J181" s="42">
        <v>46368</v>
      </c>
      <c r="K181" s="43">
        <v>11</v>
      </c>
      <c r="L181" s="43"/>
      <c r="M181" s="7" t="s">
        <v>195</v>
      </c>
      <c r="N181" s="44"/>
      <c r="O181" s="43"/>
      <c r="P181" s="186"/>
      <c r="Q181" s="143" t="s">
        <v>3574</v>
      </c>
      <c r="R181" s="228" t="s">
        <v>3575</v>
      </c>
      <c r="S181" s="139"/>
      <c r="T181" s="24"/>
      <c r="U181" s="22"/>
    </row>
    <row r="182" spans="1:21" ht="91.5" hidden="1">
      <c r="A182" s="52">
        <v>181</v>
      </c>
      <c r="B182" s="52" t="s">
        <v>227</v>
      </c>
      <c r="C182" s="43" t="s">
        <v>3576</v>
      </c>
      <c r="D182" s="46" t="s">
        <v>3577</v>
      </c>
      <c r="E182" s="46" t="s">
        <v>3578</v>
      </c>
      <c r="F182" s="43">
        <v>9891770316</v>
      </c>
      <c r="G182" s="43"/>
      <c r="H182" s="43"/>
      <c r="I182" s="42" t="s">
        <v>2266</v>
      </c>
      <c r="J182" s="42" t="s">
        <v>3579</v>
      </c>
      <c r="K182" s="43">
        <v>11</v>
      </c>
      <c r="L182" s="43"/>
      <c r="M182" s="7" t="s">
        <v>195</v>
      </c>
      <c r="N182" s="44"/>
      <c r="O182" s="43"/>
      <c r="P182" s="186"/>
      <c r="Q182" s="139" t="s">
        <v>3580</v>
      </c>
      <c r="R182" s="228" t="s">
        <v>3581</v>
      </c>
      <c r="S182" s="139"/>
      <c r="T182" s="24"/>
      <c r="U182" s="22"/>
    </row>
    <row r="183" spans="1:21" ht="76.5" hidden="1">
      <c r="A183" s="52">
        <v>182</v>
      </c>
      <c r="B183" s="52" t="s">
        <v>227</v>
      </c>
      <c r="C183" s="44" t="s">
        <v>3582</v>
      </c>
      <c r="D183" s="46" t="s">
        <v>3583</v>
      </c>
      <c r="E183" s="46" t="s">
        <v>3584</v>
      </c>
      <c r="F183" s="43">
        <v>6303754513</v>
      </c>
      <c r="G183" s="43"/>
      <c r="H183" s="43"/>
      <c r="I183" s="42" t="s">
        <v>3585</v>
      </c>
      <c r="J183" s="42" t="s">
        <v>3586</v>
      </c>
      <c r="K183" s="43">
        <v>11</v>
      </c>
      <c r="L183" s="43"/>
      <c r="M183" s="7" t="s">
        <v>176</v>
      </c>
      <c r="N183" s="44"/>
      <c r="O183" s="43"/>
      <c r="P183" s="186"/>
      <c r="Q183" s="139" t="s">
        <v>3587</v>
      </c>
      <c r="R183" s="228" t="s">
        <v>3588</v>
      </c>
      <c r="S183" s="139"/>
      <c r="T183" s="24"/>
      <c r="U183" s="22"/>
    </row>
    <row r="184" spans="1:21" ht="45.75" hidden="1">
      <c r="A184" s="22">
        <v>183</v>
      </c>
      <c r="B184" s="22" t="s">
        <v>227</v>
      </c>
      <c r="C184" s="7" t="s">
        <v>2733</v>
      </c>
      <c r="D184" s="15" t="s">
        <v>2734</v>
      </c>
      <c r="E184" s="31" t="s">
        <v>2735</v>
      </c>
      <c r="F184" s="22">
        <v>7009449578</v>
      </c>
      <c r="G184" s="22" t="s">
        <v>2736</v>
      </c>
      <c r="H184" s="22" t="s">
        <v>684</v>
      </c>
      <c r="I184" s="27" t="s">
        <v>3589</v>
      </c>
      <c r="J184" s="27" t="s">
        <v>3590</v>
      </c>
      <c r="K184" s="22">
        <v>24</v>
      </c>
      <c r="L184" s="22"/>
      <c r="M184" s="7" t="s">
        <v>176</v>
      </c>
      <c r="N184" s="7"/>
      <c r="O184" s="22"/>
      <c r="P184" s="97"/>
      <c r="Q184" s="139" t="s">
        <v>2737</v>
      </c>
      <c r="R184" s="145" t="s">
        <v>2701</v>
      </c>
      <c r="T184" s="29">
        <v>100</v>
      </c>
      <c r="U184" s="174" t="s">
        <v>2738</v>
      </c>
    </row>
    <row r="185" spans="1:21" s="174" customFormat="1" ht="45.75" hidden="1">
      <c r="A185" s="299">
        <v>184</v>
      </c>
      <c r="B185" s="218" t="s">
        <v>227</v>
      </c>
      <c r="C185" s="177" t="s">
        <v>3591</v>
      </c>
      <c r="D185" s="253" t="s">
        <v>3592</v>
      </c>
      <c r="E185" s="253" t="s">
        <v>3593</v>
      </c>
      <c r="F185" s="192">
        <v>9880900046</v>
      </c>
      <c r="G185" s="192"/>
      <c r="H185" s="192"/>
      <c r="I185" s="257" t="s">
        <v>2276</v>
      </c>
      <c r="J185" s="257" t="s">
        <v>2277</v>
      </c>
      <c r="K185" s="192">
        <v>11</v>
      </c>
      <c r="L185" s="192"/>
      <c r="M185" s="18" t="s">
        <v>176</v>
      </c>
      <c r="N185" s="177"/>
      <c r="O185" s="192"/>
      <c r="P185" s="258"/>
      <c r="Q185" s="179" t="s">
        <v>3594</v>
      </c>
      <c r="R185" s="431" t="s">
        <v>3595</v>
      </c>
      <c r="S185" s="179"/>
      <c r="T185" s="283"/>
      <c r="U185" s="174" t="s">
        <v>2738</v>
      </c>
    </row>
    <row r="186" spans="1:21" ht="60.75" hidden="1">
      <c r="A186" s="52">
        <v>185</v>
      </c>
      <c r="B186" s="22" t="s">
        <v>227</v>
      </c>
      <c r="C186" s="44" t="s">
        <v>3596</v>
      </c>
      <c r="D186" s="46" t="s">
        <v>3597</v>
      </c>
      <c r="E186" s="46" t="s">
        <v>3598</v>
      </c>
      <c r="F186" s="44" t="s">
        <v>3599</v>
      </c>
      <c r="G186" s="43"/>
      <c r="H186" s="43"/>
      <c r="I186" s="42" t="s">
        <v>2276</v>
      </c>
      <c r="J186" s="42" t="s">
        <v>2277</v>
      </c>
      <c r="K186" s="43">
        <v>11</v>
      </c>
      <c r="L186" s="43"/>
      <c r="M186" s="7" t="s">
        <v>176</v>
      </c>
      <c r="N186" s="44"/>
      <c r="O186" s="43"/>
      <c r="P186" s="186"/>
      <c r="Q186" s="139" t="s">
        <v>3600</v>
      </c>
      <c r="R186" s="228" t="s">
        <v>3601</v>
      </c>
      <c r="S186" s="139"/>
      <c r="T186" s="24"/>
      <c r="U186" s="22"/>
    </row>
    <row r="187" spans="1:21" s="29" customFormat="1" ht="45.75" hidden="1">
      <c r="A187" s="22">
        <v>186</v>
      </c>
      <c r="B187" s="22" t="s">
        <v>227</v>
      </c>
      <c r="C187" s="22" t="s">
        <v>3602</v>
      </c>
      <c r="D187" s="121" t="s">
        <v>2716</v>
      </c>
      <c r="E187" s="25" t="s">
        <v>2717</v>
      </c>
      <c r="F187" s="7" t="s">
        <v>3603</v>
      </c>
      <c r="G187" s="22" t="s">
        <v>2718</v>
      </c>
      <c r="H187" s="7" t="s">
        <v>492</v>
      </c>
      <c r="I187" s="27" t="s">
        <v>2276</v>
      </c>
      <c r="J187" s="27" t="s">
        <v>2277</v>
      </c>
      <c r="K187" s="22">
        <v>11</v>
      </c>
      <c r="L187" s="22"/>
      <c r="M187" s="7" t="s">
        <v>176</v>
      </c>
      <c r="N187" s="7"/>
      <c r="O187" s="22"/>
      <c r="P187" s="296" t="s">
        <v>3604</v>
      </c>
      <c r="Q187" s="133" t="s">
        <v>3605</v>
      </c>
      <c r="R187" s="145" t="s">
        <v>3606</v>
      </c>
      <c r="S187" s="141"/>
      <c r="T187" s="29">
        <v>100</v>
      </c>
      <c r="U187" s="239" t="s">
        <v>2702</v>
      </c>
    </row>
    <row r="188" spans="1:21" s="29" customFormat="1" ht="45.75" hidden="1">
      <c r="A188" s="22">
        <v>187</v>
      </c>
      <c r="B188" s="22" t="s">
        <v>227</v>
      </c>
      <c r="C188" s="22" t="s">
        <v>2720</v>
      </c>
      <c r="D188" s="15" t="s">
        <v>2721</v>
      </c>
      <c r="E188" s="25" t="s">
        <v>2722</v>
      </c>
      <c r="F188" s="22">
        <v>9611606000</v>
      </c>
      <c r="G188" s="22"/>
      <c r="H188" s="7" t="s">
        <v>492</v>
      </c>
      <c r="I188" s="27">
        <v>46083</v>
      </c>
      <c r="J188" s="27">
        <v>46419</v>
      </c>
      <c r="K188" s="22">
        <v>11</v>
      </c>
      <c r="L188" s="22"/>
      <c r="M188" s="7" t="s">
        <v>176</v>
      </c>
      <c r="N188" s="7"/>
      <c r="O188" s="22"/>
      <c r="P188" s="276" t="s">
        <v>513</v>
      </c>
      <c r="Q188" s="139" t="s">
        <v>3607</v>
      </c>
      <c r="R188" s="145" t="s">
        <v>2701</v>
      </c>
      <c r="S188" s="141"/>
      <c r="T188" s="29">
        <v>100</v>
      </c>
    </row>
    <row r="189" spans="1:21" s="29" customFormat="1" ht="45.75" hidden="1">
      <c r="A189" s="52">
        <v>188</v>
      </c>
      <c r="B189" s="22" t="s">
        <v>227</v>
      </c>
      <c r="C189" s="43"/>
      <c r="D189" s="46" t="s">
        <v>3608</v>
      </c>
      <c r="E189" s="211" t="s">
        <v>3609</v>
      </c>
      <c r="F189" s="43">
        <v>9888999644</v>
      </c>
      <c r="G189" s="43"/>
      <c r="H189" s="44"/>
      <c r="I189" s="197">
        <v>46114</v>
      </c>
      <c r="J189" s="197">
        <v>46447</v>
      </c>
      <c r="K189" s="43">
        <v>11</v>
      </c>
      <c r="L189" s="43"/>
      <c r="M189" s="7" t="s">
        <v>176</v>
      </c>
      <c r="N189" s="44"/>
      <c r="O189" s="43"/>
      <c r="P189" s="241"/>
      <c r="Q189" s="133" t="s">
        <v>3610</v>
      </c>
      <c r="R189" s="289" t="s">
        <v>3611</v>
      </c>
      <c r="S189" s="141"/>
      <c r="U189" s="239"/>
    </row>
    <row r="190" spans="1:21" s="29" customFormat="1" ht="45.75" hidden="1">
      <c r="A190" s="52">
        <v>189</v>
      </c>
      <c r="B190" s="22" t="s">
        <v>227</v>
      </c>
      <c r="C190" s="44" t="s">
        <v>3612</v>
      </c>
      <c r="D190" s="46" t="s">
        <v>3613</v>
      </c>
      <c r="E190" s="211" t="s">
        <v>3614</v>
      </c>
      <c r="F190" s="44" t="s">
        <v>3615</v>
      </c>
      <c r="G190" s="43"/>
      <c r="H190" s="44"/>
      <c r="I190" s="197">
        <v>46175</v>
      </c>
      <c r="J190" s="197">
        <v>46508</v>
      </c>
      <c r="K190" s="43">
        <v>11</v>
      </c>
      <c r="L190" s="43"/>
      <c r="M190" s="7" t="s">
        <v>176</v>
      </c>
      <c r="N190" s="44"/>
      <c r="O190" s="43"/>
      <c r="P190" s="241"/>
      <c r="Q190" s="133" t="s">
        <v>3616</v>
      </c>
      <c r="R190" s="289" t="s">
        <v>3617</v>
      </c>
      <c r="S190" s="141"/>
      <c r="U190" s="239"/>
    </row>
    <row r="191" spans="1:21" s="29" customFormat="1" ht="45.75" hidden="1">
      <c r="A191" s="52">
        <v>190</v>
      </c>
      <c r="B191" s="22" t="s">
        <v>227</v>
      </c>
      <c r="C191" s="43"/>
      <c r="D191" s="46" t="s">
        <v>3618</v>
      </c>
      <c r="E191" s="211" t="s">
        <v>3619</v>
      </c>
      <c r="F191" s="44" t="s">
        <v>3620</v>
      </c>
      <c r="G191" s="43"/>
      <c r="H191" s="44"/>
      <c r="I191" s="197">
        <v>46205</v>
      </c>
      <c r="J191" s="197">
        <v>46539</v>
      </c>
      <c r="K191" s="43">
        <v>11</v>
      </c>
      <c r="L191" s="43"/>
      <c r="M191" s="7" t="s">
        <v>176</v>
      </c>
      <c r="N191" s="44"/>
      <c r="O191" s="43"/>
      <c r="P191" s="241"/>
      <c r="Q191" s="133" t="s">
        <v>3621</v>
      </c>
      <c r="R191" s="289" t="s">
        <v>3622</v>
      </c>
      <c r="S191" s="141"/>
      <c r="U191" s="239"/>
    </row>
    <row r="192" spans="1:21" s="29" customFormat="1" ht="45.75" hidden="1">
      <c r="A192" s="52">
        <v>191</v>
      </c>
      <c r="B192" s="22" t="s">
        <v>227</v>
      </c>
      <c r="C192" s="44" t="s">
        <v>3623</v>
      </c>
      <c r="D192" s="46" t="s">
        <v>3623</v>
      </c>
      <c r="E192" s="211" t="s">
        <v>3624</v>
      </c>
      <c r="F192" s="43">
        <v>8884127127</v>
      </c>
      <c r="G192" s="43"/>
      <c r="H192" s="44"/>
      <c r="I192" s="197">
        <v>46267</v>
      </c>
      <c r="J192" s="197">
        <v>46600</v>
      </c>
      <c r="K192" s="43">
        <v>11</v>
      </c>
      <c r="L192" s="43"/>
      <c r="M192" s="7" t="s">
        <v>176</v>
      </c>
      <c r="N192" s="44"/>
      <c r="O192" s="43"/>
      <c r="P192" s="241"/>
      <c r="Q192" s="133" t="s">
        <v>3625</v>
      </c>
      <c r="R192" s="289" t="s">
        <v>3626</v>
      </c>
      <c r="S192" s="141"/>
      <c r="U192" s="239"/>
    </row>
    <row r="193" spans="1:23" s="29" customFormat="1" ht="45.75" hidden="1">
      <c r="A193" s="52">
        <v>192</v>
      </c>
      <c r="B193" s="22" t="s">
        <v>227</v>
      </c>
      <c r="C193" s="44" t="s">
        <v>3627</v>
      </c>
      <c r="D193" s="46" t="s">
        <v>3628</v>
      </c>
      <c r="E193" s="211" t="s">
        <v>3629</v>
      </c>
      <c r="F193" s="43">
        <v>9892941685</v>
      </c>
      <c r="G193" s="43"/>
      <c r="H193" s="44"/>
      <c r="I193" s="197">
        <v>46267</v>
      </c>
      <c r="J193" s="197">
        <v>46600</v>
      </c>
      <c r="K193" s="43">
        <v>11</v>
      </c>
      <c r="L193" s="43"/>
      <c r="M193" s="7" t="s">
        <v>176</v>
      </c>
      <c r="N193" s="44"/>
      <c r="O193" s="43"/>
      <c r="P193" s="241"/>
      <c r="Q193" s="133" t="s">
        <v>3630</v>
      </c>
      <c r="R193" s="289" t="s">
        <v>3631</v>
      </c>
      <c r="S193" s="141"/>
      <c r="U193" s="239"/>
    </row>
    <row r="194" spans="1:23" s="29" customFormat="1" ht="45.75">
      <c r="A194" s="7">
        <v>193</v>
      </c>
      <c r="B194" s="7" t="s">
        <v>2694</v>
      </c>
      <c r="C194" s="118" t="s">
        <v>2695</v>
      </c>
      <c r="D194" s="124" t="s">
        <v>3632</v>
      </c>
      <c r="E194" s="83" t="s">
        <v>2697</v>
      </c>
      <c r="F194" s="109">
        <v>7737177826</v>
      </c>
      <c r="G194" s="49" t="s">
        <v>2698</v>
      </c>
      <c r="H194" s="7" t="s">
        <v>241</v>
      </c>
      <c r="I194" s="8" t="s">
        <v>2330</v>
      </c>
      <c r="J194" s="8" t="s">
        <v>2331</v>
      </c>
      <c r="K194" s="7">
        <v>24</v>
      </c>
      <c r="L194" s="7"/>
      <c r="M194" s="7" t="s">
        <v>176</v>
      </c>
      <c r="N194" s="7"/>
      <c r="O194" s="7"/>
      <c r="P194" s="290" t="s">
        <v>2699</v>
      </c>
      <c r="Q194" s="139" t="s">
        <v>3633</v>
      </c>
      <c r="R194" s="145" t="s">
        <v>2701</v>
      </c>
      <c r="S194" s="198" t="s">
        <v>243</v>
      </c>
      <c r="T194" s="29">
        <v>100</v>
      </c>
    </row>
    <row r="195" spans="1:23" s="29" customFormat="1" ht="76.5">
      <c r="A195" s="22">
        <v>194</v>
      </c>
      <c r="B195" s="7" t="s">
        <v>2694</v>
      </c>
      <c r="C195" s="44" t="s">
        <v>2769</v>
      </c>
      <c r="D195" s="46" t="s">
        <v>2769</v>
      </c>
      <c r="E195" s="46" t="s">
        <v>2770</v>
      </c>
      <c r="F195" s="110">
        <v>8089966684</v>
      </c>
      <c r="G195" s="43"/>
      <c r="H195" s="44" t="s">
        <v>2767</v>
      </c>
      <c r="I195" s="42" t="s">
        <v>3634</v>
      </c>
      <c r="J195" s="42" t="s">
        <v>3635</v>
      </c>
      <c r="K195" s="43">
        <v>11</v>
      </c>
      <c r="L195" s="43"/>
      <c r="M195" s="7" t="s">
        <v>195</v>
      </c>
      <c r="N195" s="7"/>
      <c r="O195" s="22"/>
      <c r="P195" s="261" t="s">
        <v>3636</v>
      </c>
      <c r="Q195" s="139" t="s">
        <v>3637</v>
      </c>
      <c r="R195" s="131" t="s">
        <v>513</v>
      </c>
      <c r="S195" s="131" t="s">
        <v>513</v>
      </c>
      <c r="T195"/>
      <c r="U195"/>
    </row>
    <row r="196" spans="1:23" s="29" customFormat="1" ht="45.75" hidden="1">
      <c r="A196" s="52">
        <v>195</v>
      </c>
      <c r="B196" s="22" t="s">
        <v>227</v>
      </c>
      <c r="C196" s="43" t="s">
        <v>3638</v>
      </c>
      <c r="D196" s="46" t="s">
        <v>3639</v>
      </c>
      <c r="E196" s="211" t="s">
        <v>3640</v>
      </c>
      <c r="F196" s="44" t="s">
        <v>3641</v>
      </c>
      <c r="G196" s="43"/>
      <c r="H196" s="44"/>
      <c r="I196" s="197">
        <v>46328</v>
      </c>
      <c r="J196" s="197">
        <v>46661</v>
      </c>
      <c r="K196" s="43">
        <v>11</v>
      </c>
      <c r="L196" s="43"/>
      <c r="M196" s="7" t="s">
        <v>176</v>
      </c>
      <c r="N196" s="44"/>
      <c r="O196" s="43"/>
      <c r="Q196" s="133" t="s">
        <v>3642</v>
      </c>
      <c r="R196" s="289" t="s">
        <v>3643</v>
      </c>
      <c r="S196" s="141"/>
      <c r="U196" s="239"/>
    </row>
    <row r="197" spans="1:23" s="29" customFormat="1" ht="45.75" hidden="1">
      <c r="A197" s="52">
        <v>196</v>
      </c>
      <c r="B197" s="52" t="s">
        <v>227</v>
      </c>
      <c r="C197" s="43" t="s">
        <v>3644</v>
      </c>
      <c r="D197" s="46" t="s">
        <v>3644</v>
      </c>
      <c r="E197" s="211" t="s">
        <v>3645</v>
      </c>
      <c r="F197" s="43">
        <v>9999263427</v>
      </c>
      <c r="G197" s="43"/>
      <c r="H197" s="44"/>
      <c r="I197" s="197">
        <v>46358</v>
      </c>
      <c r="J197" s="197">
        <v>47058</v>
      </c>
      <c r="K197" s="43">
        <v>24</v>
      </c>
      <c r="L197" s="43"/>
      <c r="M197" s="7" t="s">
        <v>195</v>
      </c>
      <c r="N197" s="44"/>
      <c r="O197" s="43"/>
      <c r="P197" s="241"/>
      <c r="Q197" s="133" t="s">
        <v>3646</v>
      </c>
      <c r="R197" s="289" t="s">
        <v>3647</v>
      </c>
      <c r="S197" s="141"/>
      <c r="U197" s="239"/>
    </row>
    <row r="198" spans="1:23" s="29" customFormat="1" ht="45.75" hidden="1">
      <c r="A198" s="52">
        <v>197</v>
      </c>
      <c r="B198" s="52" t="s">
        <v>227</v>
      </c>
      <c r="C198" s="43"/>
      <c r="D198" s="46" t="s">
        <v>3648</v>
      </c>
      <c r="E198" s="211" t="s">
        <v>3649</v>
      </c>
      <c r="F198" s="43">
        <v>7995572783</v>
      </c>
      <c r="G198" s="43"/>
      <c r="H198" s="44"/>
      <c r="I198" s="197" t="s">
        <v>104</v>
      </c>
      <c r="J198" s="197" t="s">
        <v>2321</v>
      </c>
      <c r="K198" s="43">
        <v>11</v>
      </c>
      <c r="L198" s="43"/>
      <c r="M198" s="7" t="s">
        <v>195</v>
      </c>
      <c r="N198" s="44"/>
      <c r="O198" s="43"/>
      <c r="P198" s="241"/>
      <c r="Q198" s="133" t="s">
        <v>3650</v>
      </c>
      <c r="R198" s="289" t="s">
        <v>3651</v>
      </c>
      <c r="S198" s="198" t="s">
        <v>3652</v>
      </c>
      <c r="U198" s="239"/>
    </row>
    <row r="199" spans="1:23" s="29" customFormat="1" ht="45.75" hidden="1">
      <c r="A199" s="52">
        <v>198</v>
      </c>
      <c r="B199" s="52" t="s">
        <v>227</v>
      </c>
      <c r="C199" s="43" t="s">
        <v>3653</v>
      </c>
      <c r="D199" s="46" t="s">
        <v>3654</v>
      </c>
      <c r="E199" s="211" t="s">
        <v>3655</v>
      </c>
      <c r="F199" s="43">
        <v>8796233031</v>
      </c>
      <c r="G199" s="43"/>
      <c r="H199" s="44"/>
      <c r="I199" s="197">
        <v>46056</v>
      </c>
      <c r="J199" s="197">
        <v>46389</v>
      </c>
      <c r="K199" s="43">
        <v>11</v>
      </c>
      <c r="L199" s="43"/>
      <c r="M199" s="7" t="s">
        <v>195</v>
      </c>
      <c r="N199" s="44"/>
      <c r="O199" s="43"/>
      <c r="P199" s="241"/>
      <c r="Q199" s="133" t="s">
        <v>3656</v>
      </c>
      <c r="R199" s="289" t="s">
        <v>3657</v>
      </c>
      <c r="S199" s="141"/>
      <c r="U199" s="239"/>
    </row>
    <row r="200" spans="1:23" s="29" customFormat="1" ht="45.75" hidden="1">
      <c r="A200" s="52">
        <v>199</v>
      </c>
      <c r="B200" s="52" t="s">
        <v>227</v>
      </c>
      <c r="C200" s="52" t="s">
        <v>3658</v>
      </c>
      <c r="D200" s="46" t="s">
        <v>3659</v>
      </c>
      <c r="E200" s="211" t="s">
        <v>3660</v>
      </c>
      <c r="F200" s="44" t="s">
        <v>3661</v>
      </c>
      <c r="G200" s="43"/>
      <c r="H200" s="44"/>
      <c r="I200" s="197">
        <v>46145</v>
      </c>
      <c r="J200" s="197">
        <v>46479</v>
      </c>
      <c r="K200" s="43">
        <v>11</v>
      </c>
      <c r="L200" s="43"/>
      <c r="M200" s="7" t="s">
        <v>176</v>
      </c>
      <c r="N200" s="44"/>
      <c r="O200" s="43"/>
      <c r="P200" s="241"/>
      <c r="Q200" s="133" t="s">
        <v>3662</v>
      </c>
      <c r="R200" s="289" t="s">
        <v>3663</v>
      </c>
      <c r="S200" s="141"/>
      <c r="U200" s="239"/>
    </row>
    <row r="201" spans="1:23" s="29" customFormat="1" ht="45.75" hidden="1">
      <c r="A201" s="52">
        <v>200</v>
      </c>
      <c r="B201" s="52" t="s">
        <v>227</v>
      </c>
      <c r="C201" s="43" t="s">
        <v>3664</v>
      </c>
      <c r="D201" s="46" t="s">
        <v>3665</v>
      </c>
      <c r="E201" s="211" t="s">
        <v>3666</v>
      </c>
      <c r="F201" s="43">
        <v>8762260063</v>
      </c>
      <c r="G201" s="43"/>
      <c r="H201" s="44"/>
      <c r="I201" s="197">
        <v>46176</v>
      </c>
      <c r="J201" s="197">
        <v>46509</v>
      </c>
      <c r="K201" s="43">
        <v>11</v>
      </c>
      <c r="L201" s="43"/>
      <c r="M201" s="7" t="s">
        <v>176</v>
      </c>
      <c r="N201" s="44"/>
      <c r="O201" s="177" t="s">
        <v>3667</v>
      </c>
      <c r="P201" s="241"/>
      <c r="Q201" s="133" t="s">
        <v>3668</v>
      </c>
      <c r="R201" s="289" t="s">
        <v>3669</v>
      </c>
      <c r="S201" s="141"/>
      <c r="U201" s="239"/>
    </row>
    <row r="202" spans="1:23" s="29" customFormat="1" ht="45.75" hidden="1">
      <c r="A202" s="52">
        <v>201</v>
      </c>
      <c r="B202" s="52" t="s">
        <v>227</v>
      </c>
      <c r="C202" s="43" t="s">
        <v>3670</v>
      </c>
      <c r="D202" s="46" t="s">
        <v>3671</v>
      </c>
      <c r="E202" s="211" t="s">
        <v>3672</v>
      </c>
      <c r="F202" s="44" t="s">
        <v>3673</v>
      </c>
      <c r="G202" s="43"/>
      <c r="H202" s="44"/>
      <c r="I202" s="197">
        <v>46176</v>
      </c>
      <c r="J202" s="197">
        <v>46509</v>
      </c>
      <c r="K202" s="43">
        <v>11</v>
      </c>
      <c r="L202" s="43"/>
      <c r="M202" s="7" t="s">
        <v>176</v>
      </c>
      <c r="N202" s="44"/>
      <c r="O202" s="43"/>
      <c r="P202" s="241"/>
      <c r="Q202" s="133" t="s">
        <v>3674</v>
      </c>
      <c r="R202" s="289" t="s">
        <v>3675</v>
      </c>
      <c r="S202" s="141"/>
      <c r="U202" s="239"/>
    </row>
    <row r="203" spans="1:23" s="29" customFormat="1" ht="45.75" hidden="1">
      <c r="A203" s="52">
        <v>202</v>
      </c>
      <c r="B203" s="52" t="s">
        <v>227</v>
      </c>
      <c r="C203" s="43" t="s">
        <v>3676</v>
      </c>
      <c r="D203" s="46" t="s">
        <v>3677</v>
      </c>
      <c r="E203" s="211" t="s">
        <v>3678</v>
      </c>
      <c r="F203" s="44" t="s">
        <v>3679</v>
      </c>
      <c r="G203" s="43"/>
      <c r="H203" s="44"/>
      <c r="I203" s="197">
        <v>46298</v>
      </c>
      <c r="J203" s="197">
        <v>46632</v>
      </c>
      <c r="K203" s="43">
        <v>11</v>
      </c>
      <c r="L203" s="43"/>
      <c r="M203" s="7" t="s">
        <v>176</v>
      </c>
      <c r="N203" s="44"/>
      <c r="O203" s="177" t="s">
        <v>3667</v>
      </c>
      <c r="P203" s="241"/>
      <c r="Q203" s="133" t="s">
        <v>3680</v>
      </c>
      <c r="R203" s="289" t="s">
        <v>3681</v>
      </c>
      <c r="S203" s="141"/>
      <c r="U203" s="239"/>
    </row>
    <row r="204" spans="1:23" s="29" customFormat="1" ht="45.75" hidden="1">
      <c r="A204" s="52">
        <v>203</v>
      </c>
      <c r="B204" s="52" t="s">
        <v>227</v>
      </c>
      <c r="C204" s="43" t="s">
        <v>3676</v>
      </c>
      <c r="D204" s="46" t="s">
        <v>129</v>
      </c>
      <c r="E204" s="211" t="s">
        <v>3678</v>
      </c>
      <c r="F204" s="44" t="s">
        <v>3682</v>
      </c>
      <c r="G204" s="43"/>
      <c r="H204" s="44"/>
      <c r="I204" s="197">
        <v>46298</v>
      </c>
      <c r="J204" s="197">
        <v>46632</v>
      </c>
      <c r="K204" s="43">
        <v>11</v>
      </c>
      <c r="L204" s="43"/>
      <c r="M204" s="7" t="s">
        <v>176</v>
      </c>
      <c r="N204" s="44"/>
      <c r="O204" s="177" t="s">
        <v>3667</v>
      </c>
      <c r="P204" s="241"/>
      <c r="Q204" s="133" t="s">
        <v>3683</v>
      </c>
      <c r="R204" s="289" t="s">
        <v>3684</v>
      </c>
      <c r="S204" s="141"/>
      <c r="U204" s="239"/>
    </row>
    <row r="205" spans="1:23" s="29" customFormat="1" ht="45.75" hidden="1">
      <c r="A205" s="52">
        <v>204</v>
      </c>
      <c r="B205" s="52" t="s">
        <v>227</v>
      </c>
      <c r="C205" s="43" t="s">
        <v>3676</v>
      </c>
      <c r="D205" s="46" t="s">
        <v>3685</v>
      </c>
      <c r="E205" s="211" t="s">
        <v>3678</v>
      </c>
      <c r="F205" s="43">
        <v>6366410362</v>
      </c>
      <c r="G205" s="43"/>
      <c r="H205" s="44"/>
      <c r="I205" s="197">
        <v>46298</v>
      </c>
      <c r="J205" s="197">
        <v>46632</v>
      </c>
      <c r="K205" s="43">
        <v>11</v>
      </c>
      <c r="L205" s="43"/>
      <c r="M205" s="7" t="s">
        <v>176</v>
      </c>
      <c r="N205" s="44"/>
      <c r="O205" s="177" t="s">
        <v>3667</v>
      </c>
      <c r="P205" s="241"/>
      <c r="Q205" s="133" t="s">
        <v>3686</v>
      </c>
      <c r="R205" s="289" t="s">
        <v>3687</v>
      </c>
      <c r="S205" s="141"/>
      <c r="U205" s="239"/>
    </row>
    <row r="206" spans="1:23" ht="45.75" hidden="1">
      <c r="A206" s="52">
        <v>205</v>
      </c>
      <c r="B206" s="52" t="s">
        <v>227</v>
      </c>
      <c r="C206" s="43" t="s">
        <v>3676</v>
      </c>
      <c r="D206" s="46" t="s">
        <v>3688</v>
      </c>
      <c r="E206" s="211" t="s">
        <v>3678</v>
      </c>
      <c r="F206" s="43">
        <v>9901258971</v>
      </c>
      <c r="G206" s="43"/>
      <c r="H206" s="44"/>
      <c r="I206" s="197">
        <v>46298</v>
      </c>
      <c r="J206" s="197">
        <v>46632</v>
      </c>
      <c r="K206" s="43">
        <v>11</v>
      </c>
      <c r="L206" s="43"/>
      <c r="M206" s="7" t="s">
        <v>176</v>
      </c>
      <c r="N206" s="44"/>
      <c r="O206" s="177" t="s">
        <v>3667</v>
      </c>
      <c r="P206" s="241"/>
      <c r="Q206" s="133" t="s">
        <v>3689</v>
      </c>
      <c r="R206" s="289" t="s">
        <v>3690</v>
      </c>
      <c r="S206" s="141"/>
      <c r="T206" s="29"/>
      <c r="U206" s="239"/>
      <c r="V206" s="29"/>
      <c r="W206" s="29"/>
    </row>
    <row r="207" spans="1:23" ht="45.75" hidden="1">
      <c r="A207" s="52">
        <v>206</v>
      </c>
      <c r="B207" s="52" t="s">
        <v>227</v>
      </c>
      <c r="C207" s="43" t="s">
        <v>3676</v>
      </c>
      <c r="D207" s="46" t="s">
        <v>3691</v>
      </c>
      <c r="E207" s="211" t="s">
        <v>3678</v>
      </c>
      <c r="F207" s="43">
        <v>8050207576</v>
      </c>
      <c r="G207" s="43"/>
      <c r="H207" s="44"/>
      <c r="I207" s="197">
        <v>46329</v>
      </c>
      <c r="J207" s="197">
        <v>46662</v>
      </c>
      <c r="K207" s="43">
        <v>11</v>
      </c>
      <c r="L207" s="43"/>
      <c r="M207" s="7" t="s">
        <v>176</v>
      </c>
      <c r="N207" s="44"/>
      <c r="O207" s="177" t="s">
        <v>3667</v>
      </c>
      <c r="P207" s="241"/>
      <c r="Q207" s="133" t="s">
        <v>3692</v>
      </c>
      <c r="R207" s="289" t="s">
        <v>3693</v>
      </c>
      <c r="S207" s="141"/>
      <c r="T207" s="29"/>
      <c r="U207" s="239"/>
      <c r="V207" s="29"/>
      <c r="W207" s="29"/>
    </row>
    <row r="208" spans="1:23" ht="45.75" hidden="1">
      <c r="A208" s="52">
        <v>207</v>
      </c>
      <c r="B208" s="52" t="s">
        <v>227</v>
      </c>
      <c r="C208" s="43" t="s">
        <v>3676</v>
      </c>
      <c r="D208" s="46" t="s">
        <v>3694</v>
      </c>
      <c r="E208" s="211" t="s">
        <v>3678</v>
      </c>
      <c r="F208" s="43">
        <v>9901258971</v>
      </c>
      <c r="G208" s="43"/>
      <c r="H208" s="44"/>
      <c r="I208" s="197">
        <v>46329</v>
      </c>
      <c r="J208" s="197">
        <v>46329</v>
      </c>
      <c r="K208" s="43">
        <v>11</v>
      </c>
      <c r="L208" s="43"/>
      <c r="M208" s="7" t="s">
        <v>176</v>
      </c>
      <c r="N208" s="44"/>
      <c r="O208" s="177" t="s">
        <v>3667</v>
      </c>
      <c r="P208" s="241"/>
      <c r="Q208" s="133" t="s">
        <v>3695</v>
      </c>
      <c r="R208" s="289" t="s">
        <v>3696</v>
      </c>
      <c r="S208" s="141"/>
      <c r="T208" s="29"/>
      <c r="U208" s="239"/>
      <c r="V208" s="29"/>
      <c r="W208" s="29"/>
    </row>
    <row r="209" spans="1:23" ht="45.75" hidden="1">
      <c r="A209" s="52">
        <v>208</v>
      </c>
      <c r="B209" s="52" t="s">
        <v>227</v>
      </c>
      <c r="C209" s="43" t="s">
        <v>3676</v>
      </c>
      <c r="D209" s="46" t="s">
        <v>3697</v>
      </c>
      <c r="E209" s="211" t="s">
        <v>3678</v>
      </c>
      <c r="F209" s="44" t="s">
        <v>3679</v>
      </c>
      <c r="G209" s="43"/>
      <c r="H209" s="44"/>
      <c r="I209" s="197">
        <v>46329</v>
      </c>
      <c r="J209" s="197">
        <v>46329</v>
      </c>
      <c r="K209" s="43">
        <v>11</v>
      </c>
      <c r="L209" s="43"/>
      <c r="M209" s="7" t="s">
        <v>176</v>
      </c>
      <c r="N209" s="44"/>
      <c r="O209" s="177" t="s">
        <v>3667</v>
      </c>
      <c r="P209" s="241"/>
      <c r="Q209" s="133" t="s">
        <v>3698</v>
      </c>
      <c r="R209" s="289" t="s">
        <v>3699</v>
      </c>
      <c r="S209" s="141"/>
      <c r="T209" s="29"/>
      <c r="U209" s="239"/>
      <c r="V209" s="29"/>
      <c r="W209" s="29"/>
    </row>
    <row r="210" spans="1:23" ht="45.75" hidden="1">
      <c r="A210" s="52">
        <v>209</v>
      </c>
      <c r="B210" s="52" t="s">
        <v>227</v>
      </c>
      <c r="C210" s="43" t="s">
        <v>3700</v>
      </c>
      <c r="D210" s="46" t="s">
        <v>3701</v>
      </c>
      <c r="E210" s="211" t="s">
        <v>3702</v>
      </c>
      <c r="F210" s="43">
        <v>9811532267</v>
      </c>
      <c r="G210" s="43"/>
      <c r="H210" s="44"/>
      <c r="I210" s="197">
        <v>46359</v>
      </c>
      <c r="J210" s="197">
        <v>46693</v>
      </c>
      <c r="K210" s="43">
        <v>11</v>
      </c>
      <c r="L210" s="43"/>
      <c r="M210" s="7" t="s">
        <v>176</v>
      </c>
      <c r="N210" s="44"/>
      <c r="O210" s="43"/>
      <c r="P210" s="241"/>
      <c r="Q210" s="133" t="s">
        <v>3703</v>
      </c>
      <c r="R210" s="289" t="s">
        <v>3704</v>
      </c>
      <c r="S210" s="141"/>
      <c r="T210" s="29"/>
      <c r="U210" s="239"/>
      <c r="V210" s="29"/>
      <c r="W210" s="29"/>
    </row>
    <row r="211" spans="1:23" ht="45.75" hidden="1">
      <c r="A211" s="7">
        <v>210</v>
      </c>
      <c r="B211" s="24" t="s">
        <v>227</v>
      </c>
      <c r="C211" s="161" t="s">
        <v>3705</v>
      </c>
      <c r="D211" s="147" t="s">
        <v>3706</v>
      </c>
      <c r="E211" s="147" t="s">
        <v>3707</v>
      </c>
      <c r="F211" s="143">
        <v>9204201111</v>
      </c>
      <c r="G211" s="143"/>
      <c r="H211" s="143"/>
      <c r="I211" s="161" t="s">
        <v>3708</v>
      </c>
      <c r="J211" s="161" t="s">
        <v>2511</v>
      </c>
      <c r="K211" s="139">
        <v>11</v>
      </c>
      <c r="L211" s="34"/>
      <c r="M211" s="7" t="s">
        <v>195</v>
      </c>
      <c r="N211" s="85"/>
      <c r="O211" s="161"/>
      <c r="P211" s="161"/>
      <c r="Q211" s="161" t="s">
        <v>3709</v>
      </c>
      <c r="R211" s="194" t="s">
        <v>3710</v>
      </c>
      <c r="T211" s="161"/>
      <c r="U211" s="161"/>
      <c r="V211" s="161"/>
      <c r="W211" s="161"/>
    </row>
    <row r="212" spans="1:23" ht="45.75" hidden="1">
      <c r="A212" s="52">
        <v>211</v>
      </c>
      <c r="B212" s="24" t="s">
        <v>227</v>
      </c>
      <c r="C212" s="43" t="s">
        <v>3711</v>
      </c>
      <c r="D212" s="46" t="s">
        <v>3712</v>
      </c>
      <c r="E212" s="211" t="s">
        <v>3713</v>
      </c>
      <c r="F212" s="43">
        <v>9731759632</v>
      </c>
      <c r="G212" s="43"/>
      <c r="H212" s="44"/>
      <c r="I212" s="161" t="s">
        <v>3708</v>
      </c>
      <c r="J212" s="161" t="s">
        <v>2511</v>
      </c>
      <c r="K212" s="43">
        <v>11</v>
      </c>
      <c r="L212" s="43"/>
      <c r="M212" s="7" t="s">
        <v>176</v>
      </c>
      <c r="N212" s="44"/>
      <c r="O212" s="43"/>
      <c r="P212" s="241"/>
      <c r="Q212" s="133" t="s">
        <v>3714</v>
      </c>
      <c r="R212" s="289"/>
      <c r="S212" s="141"/>
      <c r="T212" s="29"/>
      <c r="U212" s="239"/>
      <c r="V212" s="29"/>
      <c r="W212" s="29"/>
    </row>
    <row r="213" spans="1:23" ht="45.75">
      <c r="A213" s="52">
        <v>212</v>
      </c>
      <c r="B213" s="24" t="s">
        <v>227</v>
      </c>
      <c r="C213" s="44" t="s">
        <v>3715</v>
      </c>
      <c r="D213" s="46" t="s">
        <v>3716</v>
      </c>
      <c r="E213" s="211"/>
      <c r="F213" s="43">
        <v>9538114067</v>
      </c>
      <c r="G213" s="43"/>
      <c r="H213" s="44"/>
      <c r="I213" s="197" t="s">
        <v>2388</v>
      </c>
      <c r="J213" s="197" t="s">
        <v>2389</v>
      </c>
      <c r="K213" s="43">
        <v>11</v>
      </c>
      <c r="L213" s="43"/>
      <c r="M213" s="7" t="s">
        <v>195</v>
      </c>
      <c r="N213" s="44"/>
      <c r="O213" s="43"/>
      <c r="P213" s="241"/>
      <c r="Q213" s="133" t="s">
        <v>3717</v>
      </c>
      <c r="R213" s="289" t="s">
        <v>3718</v>
      </c>
      <c r="S213" s="198" t="s">
        <v>513</v>
      </c>
      <c r="T213" s="29"/>
      <c r="U213" s="239"/>
      <c r="V213" s="29"/>
      <c r="W213" s="29"/>
    </row>
    <row r="214" spans="1:23" ht="45.75">
      <c r="A214" s="52">
        <v>213</v>
      </c>
      <c r="B214" s="24" t="s">
        <v>227</v>
      </c>
      <c r="C214" s="43" t="s">
        <v>2797</v>
      </c>
      <c r="D214" s="46" t="s">
        <v>2797</v>
      </c>
      <c r="E214" s="211" t="s">
        <v>3719</v>
      </c>
      <c r="F214" s="43">
        <v>9886017569</v>
      </c>
      <c r="G214" s="43"/>
      <c r="H214" s="44"/>
      <c r="I214" s="197" t="s">
        <v>107</v>
      </c>
      <c r="J214" s="197" t="s">
        <v>3720</v>
      </c>
      <c r="K214" s="43">
        <v>11</v>
      </c>
      <c r="L214" s="43"/>
      <c r="M214" s="7" t="s">
        <v>195</v>
      </c>
      <c r="N214" s="44"/>
      <c r="O214" s="43"/>
      <c r="P214" s="241"/>
      <c r="Q214" s="133" t="s">
        <v>3721</v>
      </c>
      <c r="R214" s="289" t="s">
        <v>3722</v>
      </c>
      <c r="S214" s="198" t="s">
        <v>243</v>
      </c>
      <c r="T214" s="29"/>
      <c r="U214" s="239"/>
      <c r="V214" s="29"/>
      <c r="W214" s="29"/>
    </row>
    <row r="215" spans="1:23" ht="15" hidden="1" customHeight="1">
      <c r="A215" s="52">
        <v>214</v>
      </c>
      <c r="B215" s="24" t="s">
        <v>227</v>
      </c>
      <c r="C215" s="43" t="s">
        <v>3723</v>
      </c>
      <c r="D215" s="46" t="s">
        <v>3723</v>
      </c>
      <c r="E215" s="211" t="s">
        <v>3724</v>
      </c>
      <c r="F215" s="43">
        <v>9886455521</v>
      </c>
      <c r="G215" s="43"/>
      <c r="H215" s="44"/>
      <c r="I215" s="197" t="s">
        <v>2405</v>
      </c>
      <c r="J215" s="197" t="s">
        <v>2406</v>
      </c>
      <c r="K215" s="43">
        <v>11</v>
      </c>
      <c r="L215" s="43"/>
      <c r="M215" s="7" t="s">
        <v>176</v>
      </c>
      <c r="N215" s="44"/>
      <c r="O215" s="43"/>
      <c r="P215" s="241"/>
      <c r="Q215" s="133" t="s">
        <v>3725</v>
      </c>
      <c r="R215" s="289" t="s">
        <v>3726</v>
      </c>
      <c r="S215" s="141"/>
      <c r="T215" s="29"/>
      <c r="U215" s="239"/>
      <c r="V215" s="29"/>
      <c r="W215" s="29"/>
    </row>
    <row r="216" spans="1:23" ht="45.75" hidden="1">
      <c r="A216" s="52">
        <v>215</v>
      </c>
      <c r="B216" s="24" t="s">
        <v>227</v>
      </c>
      <c r="C216" s="43" t="s">
        <v>3727</v>
      </c>
      <c r="D216" s="46" t="s">
        <v>3728</v>
      </c>
      <c r="E216" s="211" t="s">
        <v>3729</v>
      </c>
      <c r="F216" s="44" t="s">
        <v>3730</v>
      </c>
      <c r="G216" s="43"/>
      <c r="H216" s="44"/>
      <c r="I216" s="197" t="s">
        <v>3731</v>
      </c>
      <c r="J216" s="197" t="s">
        <v>3732</v>
      </c>
      <c r="K216" s="43">
        <v>11</v>
      </c>
      <c r="L216" s="43"/>
      <c r="M216" s="7" t="s">
        <v>195</v>
      </c>
      <c r="N216" s="44"/>
      <c r="O216" s="43"/>
      <c r="P216" s="241"/>
      <c r="Q216" s="133" t="s">
        <v>3733</v>
      </c>
      <c r="R216" s="289" t="s">
        <v>3734</v>
      </c>
      <c r="S216" s="141"/>
      <c r="T216" s="29"/>
      <c r="U216" s="239"/>
      <c r="V216" s="29"/>
      <c r="W216" s="29"/>
    </row>
    <row r="217" spans="1:23" ht="45" hidden="1" customHeight="1">
      <c r="A217" s="52">
        <v>216</v>
      </c>
      <c r="B217" s="52" t="s">
        <v>227</v>
      </c>
      <c r="C217" s="43" t="s">
        <v>3735</v>
      </c>
      <c r="D217" s="46" t="s">
        <v>3736</v>
      </c>
      <c r="E217" s="211" t="s">
        <v>3678</v>
      </c>
      <c r="F217" s="44" t="s">
        <v>3737</v>
      </c>
      <c r="G217" s="43"/>
      <c r="H217" s="44"/>
      <c r="I217" s="197" t="s">
        <v>3731</v>
      </c>
      <c r="J217" s="197" t="s">
        <v>3732</v>
      </c>
      <c r="K217" s="43">
        <v>11</v>
      </c>
      <c r="L217" s="43"/>
      <c r="M217" s="44" t="s">
        <v>176</v>
      </c>
      <c r="N217" s="44"/>
      <c r="O217" s="177" t="s">
        <v>3667</v>
      </c>
      <c r="P217" s="241"/>
      <c r="Q217" s="168" t="s">
        <v>3738</v>
      </c>
      <c r="R217" s="355" t="s">
        <v>3739</v>
      </c>
      <c r="S217" s="165"/>
      <c r="T217" s="29"/>
      <c r="U217" s="239"/>
      <c r="V217" s="29"/>
      <c r="W217" s="29"/>
    </row>
    <row r="218" spans="1:23" s="161" customFormat="1" ht="48.75" hidden="1" customHeight="1">
      <c r="A218" s="139">
        <v>217</v>
      </c>
      <c r="B218" s="52" t="s">
        <v>227</v>
      </c>
      <c r="C218" s="133" t="s">
        <v>3740</v>
      </c>
      <c r="D218" s="133" t="s">
        <v>3740</v>
      </c>
      <c r="E218" s="140" t="s">
        <v>3741</v>
      </c>
      <c r="F218" s="133" t="s">
        <v>3742</v>
      </c>
      <c r="G218" s="139"/>
      <c r="H218" s="133"/>
      <c r="I218" s="197" t="s">
        <v>2425</v>
      </c>
      <c r="J218" s="197" t="s">
        <v>2426</v>
      </c>
      <c r="K218" s="43">
        <v>11</v>
      </c>
      <c r="L218" s="43"/>
      <c r="M218" s="44" t="s">
        <v>176</v>
      </c>
      <c r="N218" s="85"/>
      <c r="O218" s="139"/>
      <c r="P218" s="141"/>
      <c r="Q218" s="133" t="s">
        <v>3743</v>
      </c>
      <c r="R218" s="289" t="s">
        <v>3744</v>
      </c>
      <c r="S218" s="198" t="s">
        <v>3745</v>
      </c>
      <c r="T218" s="141"/>
      <c r="U218" s="198"/>
      <c r="V218" s="141"/>
      <c r="W218" s="141"/>
    </row>
    <row r="219" spans="1:23" s="161" customFormat="1" ht="49.5" hidden="1" customHeight="1">
      <c r="A219" s="139">
        <v>218</v>
      </c>
      <c r="B219" s="52" t="s">
        <v>227</v>
      </c>
      <c r="C219" s="139" t="s">
        <v>3746</v>
      </c>
      <c r="D219" s="147" t="s">
        <v>3747</v>
      </c>
      <c r="E219" s="141" t="s">
        <v>3748</v>
      </c>
      <c r="F219" s="207" t="s">
        <v>3749</v>
      </c>
      <c r="G219" s="143"/>
      <c r="H219" s="143"/>
      <c r="I219" s="250">
        <v>46026</v>
      </c>
      <c r="J219" s="161" t="s">
        <v>3750</v>
      </c>
      <c r="K219" s="161">
        <v>11</v>
      </c>
      <c r="L219"/>
      <c r="M219" s="7" t="s">
        <v>195</v>
      </c>
      <c r="N219" s="85"/>
      <c r="Q219" s="364" t="s">
        <v>3751</v>
      </c>
      <c r="R219" s="278" t="s">
        <v>3752</v>
      </c>
    </row>
    <row r="220" spans="1:23" s="161" customFormat="1" ht="33" hidden="1" customHeight="1">
      <c r="A220" s="139">
        <v>219</v>
      </c>
      <c r="B220" s="52" t="s">
        <v>227</v>
      </c>
      <c r="C220" s="133" t="s">
        <v>3753</v>
      </c>
      <c r="D220" s="147" t="s">
        <v>3754</v>
      </c>
      <c r="E220" s="141" t="s">
        <v>3755</v>
      </c>
      <c r="F220" s="143">
        <v>7899629200</v>
      </c>
      <c r="G220" s="143"/>
      <c r="H220" s="143"/>
      <c r="I220" s="250">
        <v>46057</v>
      </c>
      <c r="J220" s="250">
        <v>46025</v>
      </c>
      <c r="K220" s="161">
        <v>11</v>
      </c>
      <c r="L220"/>
      <c r="M220" s="44" t="s">
        <v>176</v>
      </c>
      <c r="N220" s="85"/>
      <c r="Q220" s="207" t="s">
        <v>3756</v>
      </c>
      <c r="R220" s="147" t="s">
        <v>3757</v>
      </c>
    </row>
    <row r="221" spans="1:23" s="164" customFormat="1" ht="55.5" hidden="1" customHeight="1">
      <c r="A221" s="163">
        <v>220</v>
      </c>
      <c r="B221" s="52" t="s">
        <v>227</v>
      </c>
      <c r="C221" s="163" t="s">
        <v>3758</v>
      </c>
      <c r="D221" s="339" t="s">
        <v>3759</v>
      </c>
      <c r="E221" s="189" t="s">
        <v>3760</v>
      </c>
      <c r="F221" s="368" t="s">
        <v>3761</v>
      </c>
      <c r="G221" s="225"/>
      <c r="H221" s="225"/>
      <c r="I221" s="340">
        <v>46116</v>
      </c>
      <c r="J221" s="340">
        <v>46449</v>
      </c>
      <c r="K221" s="164">
        <v>11</v>
      </c>
      <c r="L221"/>
      <c r="M221" s="44" t="s">
        <v>176</v>
      </c>
      <c r="N221" s="85"/>
      <c r="Q221" s="225" t="s">
        <v>3762</v>
      </c>
      <c r="R221" s="339" t="s">
        <v>3763</v>
      </c>
    </row>
    <row r="222" spans="1:23" s="161" customFormat="1" ht="48" customHeight="1">
      <c r="A222" s="139">
        <v>221</v>
      </c>
      <c r="B222" s="52" t="s">
        <v>227</v>
      </c>
      <c r="C222" s="133" t="s">
        <v>3764</v>
      </c>
      <c r="D222" s="147" t="s">
        <v>3765</v>
      </c>
      <c r="E222" s="145" t="s">
        <v>3766</v>
      </c>
      <c r="F222" s="207" t="s">
        <v>3767</v>
      </c>
      <c r="G222" s="143"/>
      <c r="H222" s="143"/>
      <c r="I222" s="161" t="s">
        <v>2469</v>
      </c>
      <c r="J222" s="161" t="s">
        <v>2470</v>
      </c>
      <c r="K222" s="161">
        <v>24</v>
      </c>
      <c r="L222"/>
      <c r="M222" s="7" t="s">
        <v>195</v>
      </c>
      <c r="N222" s="85"/>
      <c r="Q222" s="143" t="s">
        <v>3768</v>
      </c>
      <c r="R222" s="147" t="s">
        <v>3769</v>
      </c>
      <c r="S222" s="161" t="s">
        <v>513</v>
      </c>
    </row>
    <row r="223" spans="1:23" s="161" customFormat="1" ht="30.75" customHeight="1">
      <c r="A223" s="139">
        <v>222</v>
      </c>
      <c r="B223" s="52" t="s">
        <v>227</v>
      </c>
      <c r="C223" s="139" t="s">
        <v>2800</v>
      </c>
      <c r="D223" s="147" t="s">
        <v>3770</v>
      </c>
      <c r="E223" s="145" t="s">
        <v>3771</v>
      </c>
      <c r="F223" s="207" t="s">
        <v>3772</v>
      </c>
      <c r="G223" s="143"/>
      <c r="H223" s="143"/>
      <c r="I223" s="161" t="s">
        <v>2469</v>
      </c>
      <c r="J223" s="161" t="s">
        <v>2470</v>
      </c>
      <c r="K223" s="161">
        <v>11</v>
      </c>
      <c r="L223"/>
      <c r="M223" s="44" t="s">
        <v>176</v>
      </c>
      <c r="N223" s="85"/>
      <c r="Q223" s="143" t="s">
        <v>3773</v>
      </c>
      <c r="R223" s="147" t="s">
        <v>3774</v>
      </c>
      <c r="S223" s="161" t="s">
        <v>513</v>
      </c>
    </row>
    <row r="224" spans="1:23" s="161" customFormat="1" ht="69.75" hidden="1" customHeight="1">
      <c r="A224" s="139">
        <v>223</v>
      </c>
      <c r="B224" s="52" t="s">
        <v>227</v>
      </c>
      <c r="C224" s="133" t="s">
        <v>3775</v>
      </c>
      <c r="D224" s="147" t="s">
        <v>3776</v>
      </c>
      <c r="E224" s="145" t="s">
        <v>3777</v>
      </c>
      <c r="F224" s="207" t="s">
        <v>3778</v>
      </c>
      <c r="G224" s="143"/>
      <c r="H224" s="143"/>
      <c r="I224" s="161" t="s">
        <v>2469</v>
      </c>
      <c r="J224" s="161" t="s">
        <v>2470</v>
      </c>
      <c r="K224" s="161">
        <v>11</v>
      </c>
      <c r="L224"/>
      <c r="M224" s="44" t="s">
        <v>176</v>
      </c>
      <c r="N224" s="85"/>
      <c r="Q224" s="143" t="s">
        <v>3779</v>
      </c>
      <c r="R224" s="371" t="s">
        <v>3780</v>
      </c>
    </row>
    <row r="225" spans="1:20" s="161" customFormat="1" ht="55.5" hidden="1" customHeight="1">
      <c r="A225" s="22">
        <v>224</v>
      </c>
      <c r="B225" s="52" t="s">
        <v>227</v>
      </c>
      <c r="C225" s="44" t="s">
        <v>2831</v>
      </c>
      <c r="D225" s="46" t="s">
        <v>2832</v>
      </c>
      <c r="E225" s="46" t="s">
        <v>2833</v>
      </c>
      <c r="F225" s="43">
        <v>9620855526</v>
      </c>
      <c r="G225" s="43"/>
      <c r="H225" s="43" t="s">
        <v>268</v>
      </c>
      <c r="I225" s="42" t="s">
        <v>3781</v>
      </c>
      <c r="J225" s="42" t="s">
        <v>3782</v>
      </c>
      <c r="K225" s="43">
        <v>11</v>
      </c>
      <c r="L225" s="43"/>
      <c r="M225" s="7" t="s">
        <v>195</v>
      </c>
      <c r="N225" s="7"/>
      <c r="O225" s="22"/>
      <c r="P225" s="186" t="s">
        <v>243</v>
      </c>
      <c r="Q225" s="139" t="s">
        <v>3783</v>
      </c>
      <c r="R225" s="186" t="s">
        <v>243</v>
      </c>
    </row>
    <row r="226" spans="1:20" s="161" customFormat="1" ht="47.25" customHeight="1">
      <c r="A226" s="22">
        <v>225</v>
      </c>
      <c r="B226" s="52" t="s">
        <v>227</v>
      </c>
      <c r="C226" s="43" t="s">
        <v>2913</v>
      </c>
      <c r="D226" s="46" t="s">
        <v>2914</v>
      </c>
      <c r="E226" s="46" t="s">
        <v>2915</v>
      </c>
      <c r="F226" s="43">
        <v>9851590880</v>
      </c>
      <c r="G226" s="43"/>
      <c r="H226" s="43"/>
      <c r="I226" s="42">
        <v>46027</v>
      </c>
      <c r="J226" s="42" t="s">
        <v>3784</v>
      </c>
      <c r="K226" s="43">
        <v>11</v>
      </c>
      <c r="L226" s="43"/>
      <c r="M226" s="44" t="s">
        <v>176</v>
      </c>
      <c r="N226" s="44"/>
      <c r="O226" s="43"/>
      <c r="P226" s="161" t="s">
        <v>513</v>
      </c>
      <c r="Q226" s="139" t="s">
        <v>3785</v>
      </c>
      <c r="S226" s="161" t="s">
        <v>513</v>
      </c>
    </row>
    <row r="227" spans="1:20" s="161" customFormat="1" ht="30.75" hidden="1" customHeight="1">
      <c r="A227" s="139">
        <v>226</v>
      </c>
      <c r="B227" s="52" t="s">
        <v>227</v>
      </c>
      <c r="C227" s="133" t="s">
        <v>3786</v>
      </c>
      <c r="D227" s="147" t="s">
        <v>3787</v>
      </c>
      <c r="E227" s="145" t="s">
        <v>3788</v>
      </c>
      <c r="F227" s="143">
        <v>8092830533</v>
      </c>
      <c r="G227" s="143"/>
      <c r="H227" s="143"/>
      <c r="I227" s="161" t="s">
        <v>3789</v>
      </c>
      <c r="J227" s="161" t="s">
        <v>3790</v>
      </c>
      <c r="K227" s="43">
        <v>11</v>
      </c>
      <c r="L227" s="43"/>
      <c r="M227" s="44" t="s">
        <v>176</v>
      </c>
      <c r="N227" s="85"/>
      <c r="Q227" s="147" t="s">
        <v>3791</v>
      </c>
      <c r="R227" s="147" t="s">
        <v>3792</v>
      </c>
    </row>
    <row r="228" spans="1:20" s="161" customFormat="1" ht="42" hidden="1" customHeight="1">
      <c r="A228" s="22">
        <v>227</v>
      </c>
      <c r="B228" s="52" t="s">
        <v>227</v>
      </c>
      <c r="C228" s="22" t="s">
        <v>2854</v>
      </c>
      <c r="D228" s="126" t="s">
        <v>2855</v>
      </c>
      <c r="E228" s="46" t="s">
        <v>2856</v>
      </c>
      <c r="F228" s="43">
        <v>8451863065</v>
      </c>
      <c r="G228" s="43"/>
      <c r="H228" s="43" t="s">
        <v>268</v>
      </c>
      <c r="I228" s="42" t="s">
        <v>2446</v>
      </c>
      <c r="J228" s="42" t="s">
        <v>2447</v>
      </c>
      <c r="K228" s="43">
        <v>11</v>
      </c>
      <c r="L228" s="43"/>
      <c r="M228" s="7" t="s">
        <v>195</v>
      </c>
      <c r="N228" s="7"/>
      <c r="O228" s="22"/>
      <c r="P228" s="186" t="s">
        <v>243</v>
      </c>
      <c r="Q228" s="139" t="s">
        <v>3793</v>
      </c>
      <c r="R228" s="147" t="s">
        <v>1714</v>
      </c>
    </row>
    <row r="229" spans="1:20" s="161" customFormat="1" ht="15" hidden="1" customHeight="1">
      <c r="A229" s="139">
        <v>228</v>
      </c>
      <c r="B229" s="52" t="s">
        <v>227</v>
      </c>
      <c r="C229" s="147" t="s">
        <v>3794</v>
      </c>
      <c r="D229" s="147" t="s">
        <v>3794</v>
      </c>
      <c r="E229" s="141" t="s">
        <v>3795</v>
      </c>
      <c r="F229" s="143">
        <v>8792709886</v>
      </c>
      <c r="G229" s="143"/>
      <c r="H229" s="143"/>
      <c r="I229" s="161" t="s">
        <v>2484</v>
      </c>
      <c r="J229" s="161" t="s">
        <v>2485</v>
      </c>
      <c r="K229" s="143">
        <v>11</v>
      </c>
      <c r="L229" s="6"/>
      <c r="M229" s="44" t="s">
        <v>176</v>
      </c>
      <c r="N229" s="85"/>
      <c r="Q229" s="143" t="s">
        <v>3796</v>
      </c>
      <c r="R229" s="147" t="s">
        <v>3797</v>
      </c>
    </row>
    <row r="230" spans="1:20" s="161" customFormat="1" ht="30" hidden="1" customHeight="1">
      <c r="A230" s="22">
        <v>229</v>
      </c>
      <c r="B230" s="52" t="s">
        <v>227</v>
      </c>
      <c r="C230" s="22" t="s">
        <v>2847</v>
      </c>
      <c r="D230" s="46" t="s">
        <v>2848</v>
      </c>
      <c r="E230" s="46" t="s">
        <v>2849</v>
      </c>
      <c r="F230" s="43">
        <v>8147115179</v>
      </c>
      <c r="G230" s="43"/>
      <c r="H230" s="43" t="s">
        <v>268</v>
      </c>
      <c r="I230" s="42" t="s">
        <v>3798</v>
      </c>
      <c r="J230" s="42" t="s">
        <v>3799</v>
      </c>
      <c r="K230" s="43">
        <v>11</v>
      </c>
      <c r="L230" s="43"/>
      <c r="M230" s="7" t="s">
        <v>195</v>
      </c>
      <c r="N230" s="7"/>
      <c r="O230" s="22"/>
      <c r="P230" s="186" t="s">
        <v>243</v>
      </c>
      <c r="Q230" s="139" t="s">
        <v>3800</v>
      </c>
      <c r="R230" s="147" t="s">
        <v>243</v>
      </c>
      <c r="S230" s="147" t="s">
        <v>3801</v>
      </c>
    </row>
    <row r="231" spans="1:20" s="161" customFormat="1" ht="47.25" hidden="1" customHeight="1">
      <c r="A231" s="22">
        <v>230</v>
      </c>
      <c r="B231" s="52" t="s">
        <v>227</v>
      </c>
      <c r="C231" s="43" t="s">
        <v>2870</v>
      </c>
      <c r="D231" s="46" t="s">
        <v>2871</v>
      </c>
      <c r="E231" s="46" t="s">
        <v>2872</v>
      </c>
      <c r="F231" s="43">
        <v>9519072226</v>
      </c>
      <c r="G231" s="43"/>
      <c r="H231" s="43" t="s">
        <v>241</v>
      </c>
      <c r="I231" s="42" t="s">
        <v>118</v>
      </c>
      <c r="J231" s="42" t="s">
        <v>2501</v>
      </c>
      <c r="K231" s="43">
        <v>11</v>
      </c>
      <c r="L231" s="43"/>
      <c r="M231" s="7" t="s">
        <v>176</v>
      </c>
      <c r="N231" s="7"/>
      <c r="O231" s="22"/>
      <c r="P231" s="186"/>
      <c r="Q231" s="139" t="s">
        <v>3802</v>
      </c>
      <c r="R231" s="161" t="s">
        <v>513</v>
      </c>
      <c r="S231" s="147" t="s">
        <v>3803</v>
      </c>
    </row>
    <row r="232" spans="1:20" s="161" customFormat="1" ht="34.5" customHeight="1">
      <c r="A232" s="104">
        <v>231</v>
      </c>
      <c r="B232" s="52" t="s">
        <v>227</v>
      </c>
      <c r="C232" s="22" t="s">
        <v>2772</v>
      </c>
      <c r="D232" s="15" t="s">
        <v>2773</v>
      </c>
      <c r="E232" s="46" t="s">
        <v>2774</v>
      </c>
      <c r="F232" s="43">
        <v>9594436158</v>
      </c>
      <c r="G232" s="43"/>
      <c r="H232" s="44" t="s">
        <v>2767</v>
      </c>
      <c r="I232" s="42" t="s">
        <v>118</v>
      </c>
      <c r="J232" s="42" t="s">
        <v>2501</v>
      </c>
      <c r="K232" s="43">
        <v>11</v>
      </c>
      <c r="L232" s="43"/>
      <c r="M232" s="7" t="s">
        <v>176</v>
      </c>
      <c r="N232" s="7"/>
      <c r="O232" s="22"/>
      <c r="P232" s="97"/>
      <c r="Q232" s="143" t="s">
        <v>3804</v>
      </c>
      <c r="R232" s="371" t="s">
        <v>3805</v>
      </c>
      <c r="S232" s="161" t="s">
        <v>513</v>
      </c>
      <c r="T232"/>
    </row>
    <row r="233" spans="1:20" s="219" customFormat="1" ht="36.75" hidden="1" customHeight="1">
      <c r="A233" s="179">
        <v>232</v>
      </c>
      <c r="B233" s="299" t="s">
        <v>227</v>
      </c>
      <c r="C233" s="179" t="s">
        <v>3806</v>
      </c>
      <c r="D233" s="196" t="s">
        <v>3807</v>
      </c>
      <c r="E233" s="198" t="s">
        <v>3808</v>
      </c>
      <c r="F233" s="346">
        <v>7204600718</v>
      </c>
      <c r="G233" s="346"/>
      <c r="H233" s="346"/>
      <c r="I233" s="219" t="s">
        <v>3809</v>
      </c>
      <c r="J233" s="219" t="s">
        <v>3810</v>
      </c>
      <c r="K233" s="219">
        <v>11</v>
      </c>
      <c r="L233" s="174"/>
      <c r="M233" s="18" t="s">
        <v>176</v>
      </c>
      <c r="N233" s="219" t="s">
        <v>3811</v>
      </c>
      <c r="Q233" s="219" t="s">
        <v>3812</v>
      </c>
      <c r="R233" s="196" t="s">
        <v>3813</v>
      </c>
    </row>
    <row r="234" spans="1:20" s="161" customFormat="1" ht="38.25" customHeight="1">
      <c r="A234" s="139">
        <v>233</v>
      </c>
      <c r="B234" s="52" t="s">
        <v>227</v>
      </c>
      <c r="C234" s="139" t="s">
        <v>3814</v>
      </c>
      <c r="D234" s="147" t="s">
        <v>2761</v>
      </c>
      <c r="E234" s="145" t="s">
        <v>3815</v>
      </c>
      <c r="F234" s="143">
        <v>9820230612</v>
      </c>
      <c r="G234" s="143"/>
      <c r="H234" s="143"/>
      <c r="I234" s="250">
        <v>46178</v>
      </c>
      <c r="J234" s="250">
        <v>46511</v>
      </c>
      <c r="K234" s="161">
        <v>11</v>
      </c>
      <c r="L234"/>
      <c r="M234" s="7" t="s">
        <v>195</v>
      </c>
      <c r="Q234" s="143" t="s">
        <v>3816</v>
      </c>
      <c r="R234" s="147" t="s">
        <v>3817</v>
      </c>
      <c r="S234" s="161" t="s">
        <v>513</v>
      </c>
    </row>
    <row r="235" spans="1:20" s="161" customFormat="1" ht="46.5" customHeight="1">
      <c r="A235" s="104">
        <v>234</v>
      </c>
      <c r="B235" s="52" t="s">
        <v>227</v>
      </c>
      <c r="C235" s="43" t="s">
        <v>2947</v>
      </c>
      <c r="D235" s="46" t="s">
        <v>2948</v>
      </c>
      <c r="E235" s="46" t="s">
        <v>2949</v>
      </c>
      <c r="F235" s="43">
        <v>9008957226</v>
      </c>
      <c r="G235" s="43"/>
      <c r="H235" s="43"/>
      <c r="I235" s="42">
        <v>46331</v>
      </c>
      <c r="J235" s="42">
        <v>46664</v>
      </c>
      <c r="K235" s="43">
        <v>11</v>
      </c>
      <c r="L235" s="43"/>
      <c r="M235" s="7" t="s">
        <v>195</v>
      </c>
      <c r="N235" s="44"/>
      <c r="O235" s="43"/>
      <c r="P235" s="186"/>
      <c r="Q235" s="139" t="s">
        <v>3818</v>
      </c>
      <c r="R235" s="194" t="s">
        <v>3819</v>
      </c>
      <c r="S235" s="161" t="s">
        <v>513</v>
      </c>
      <c r="T235"/>
    </row>
    <row r="236" spans="1:20" s="161" customFormat="1" ht="38.25" customHeight="1">
      <c r="A236" s="139">
        <v>235</v>
      </c>
      <c r="B236" s="52" t="s">
        <v>227</v>
      </c>
      <c r="C236" s="43" t="s">
        <v>2959</v>
      </c>
      <c r="D236" s="46" t="s">
        <v>2960</v>
      </c>
      <c r="E236" s="46" t="s">
        <v>2961</v>
      </c>
      <c r="F236" s="43">
        <v>7011697796</v>
      </c>
      <c r="G236" s="43"/>
      <c r="H236" s="43"/>
      <c r="I236" s="42" t="s">
        <v>2533</v>
      </c>
      <c r="J236" s="42" t="s">
        <v>2534</v>
      </c>
      <c r="K236" s="43">
        <v>11</v>
      </c>
      <c r="L236" s="43"/>
      <c r="M236" s="7" t="s">
        <v>195</v>
      </c>
      <c r="N236" s="44"/>
      <c r="O236" s="43"/>
      <c r="P236" s="186"/>
      <c r="Q236" s="139" t="s">
        <v>3820</v>
      </c>
      <c r="R236" s="147" t="s">
        <v>3821</v>
      </c>
      <c r="S236" s="161" t="s">
        <v>513</v>
      </c>
      <c r="T236"/>
    </row>
    <row r="237" spans="1:20" s="164" customFormat="1" ht="36.75" customHeight="1">
      <c r="A237" s="104">
        <v>236</v>
      </c>
      <c r="B237" s="52" t="s">
        <v>227</v>
      </c>
      <c r="C237" s="43" t="s">
        <v>2897</v>
      </c>
      <c r="D237" s="46" t="s">
        <v>2898</v>
      </c>
      <c r="E237" s="46" t="s">
        <v>2899</v>
      </c>
      <c r="F237" s="43">
        <v>9987088071</v>
      </c>
      <c r="G237" s="43"/>
      <c r="H237" s="43" t="s">
        <v>354</v>
      </c>
      <c r="I237" s="42" t="s">
        <v>3822</v>
      </c>
      <c r="J237" s="42" t="s">
        <v>3823</v>
      </c>
      <c r="K237" s="43">
        <v>11</v>
      </c>
      <c r="L237" s="43"/>
      <c r="M237" s="44" t="s">
        <v>195</v>
      </c>
      <c r="N237" s="44"/>
      <c r="O237" s="43"/>
      <c r="P237" s="186"/>
      <c r="Q237" s="163" t="s">
        <v>3824</v>
      </c>
      <c r="R237" s="339" t="s">
        <v>3825</v>
      </c>
      <c r="S237" s="164" t="s">
        <v>513</v>
      </c>
      <c r="T237"/>
    </row>
    <row r="238" spans="1:20" s="219" customFormat="1" ht="45.75" customHeight="1">
      <c r="A238" s="139">
        <v>237</v>
      </c>
      <c r="B238" s="299" t="s">
        <v>227</v>
      </c>
      <c r="C238" s="192" t="s">
        <v>2990</v>
      </c>
      <c r="D238" s="253" t="s">
        <v>2991</v>
      </c>
      <c r="E238" s="253" t="s">
        <v>3826</v>
      </c>
      <c r="F238" s="177" t="s">
        <v>2993</v>
      </c>
      <c r="G238" s="192"/>
      <c r="H238" s="192"/>
      <c r="I238" s="257" t="s">
        <v>2527</v>
      </c>
      <c r="J238" s="257" t="s">
        <v>2528</v>
      </c>
      <c r="K238" s="192">
        <v>11</v>
      </c>
      <c r="L238" s="192"/>
      <c r="M238" s="18" t="s">
        <v>176</v>
      </c>
      <c r="N238" s="177"/>
      <c r="O238" s="192"/>
      <c r="P238" s="258"/>
      <c r="Q238" s="179" t="s">
        <v>2994</v>
      </c>
      <c r="R238" s="405" t="s">
        <v>3827</v>
      </c>
      <c r="S238" s="219" t="s">
        <v>243</v>
      </c>
      <c r="T238" s="174"/>
    </row>
    <row r="239" spans="1:20" s="161" customFormat="1" ht="43.5" customHeight="1">
      <c r="A239" s="104">
        <v>238</v>
      </c>
      <c r="B239" s="52" t="s">
        <v>227</v>
      </c>
      <c r="C239" s="139"/>
      <c r="D239" s="147" t="s">
        <v>3828</v>
      </c>
      <c r="E239" s="145" t="s">
        <v>3829</v>
      </c>
      <c r="F239" s="207" t="s">
        <v>3830</v>
      </c>
      <c r="G239" s="143"/>
      <c r="H239" s="143"/>
      <c r="I239" s="250">
        <v>46059</v>
      </c>
      <c r="J239" s="250">
        <v>46392</v>
      </c>
      <c r="K239" s="161">
        <v>11</v>
      </c>
      <c r="L239"/>
      <c r="M239" s="7" t="s">
        <v>176</v>
      </c>
      <c r="Q239" s="143" t="s">
        <v>3831</v>
      </c>
      <c r="R239" s="147" t="s">
        <v>3832</v>
      </c>
      <c r="S239" s="164" t="s">
        <v>513</v>
      </c>
    </row>
    <row r="240" spans="1:20" s="161" customFormat="1" ht="42.75" customHeight="1">
      <c r="A240" s="139">
        <v>239</v>
      </c>
      <c r="B240" s="52" t="s">
        <v>227</v>
      </c>
      <c r="C240" s="43" t="s">
        <v>2998</v>
      </c>
      <c r="D240" s="46" t="s">
        <v>2999</v>
      </c>
      <c r="E240" s="46" t="s">
        <v>3000</v>
      </c>
      <c r="F240" s="43">
        <v>9880713335</v>
      </c>
      <c r="G240" s="43"/>
      <c r="H240" s="43"/>
      <c r="I240" s="42">
        <v>46087</v>
      </c>
      <c r="J240" s="42">
        <v>46423</v>
      </c>
      <c r="K240" s="43">
        <v>11</v>
      </c>
      <c r="L240" s="43"/>
      <c r="M240" s="7" t="s">
        <v>176</v>
      </c>
      <c r="N240" s="44"/>
      <c r="O240" s="43"/>
      <c r="P240" s="186"/>
      <c r="Q240" s="207" t="s">
        <v>3833</v>
      </c>
      <c r="R240" s="147" t="s">
        <v>3834</v>
      </c>
      <c r="S240" s="161" t="s">
        <v>513</v>
      </c>
      <c r="T240"/>
    </row>
    <row r="241" spans="1:23" s="161" customFormat="1" ht="36" customHeight="1">
      <c r="A241" s="104">
        <v>240</v>
      </c>
      <c r="B241" s="52" t="s">
        <v>227</v>
      </c>
      <c r="C241" s="43" t="s">
        <v>3002</v>
      </c>
      <c r="D241" s="46" t="s">
        <v>3003</v>
      </c>
      <c r="E241" s="46" t="s">
        <v>3004</v>
      </c>
      <c r="F241" s="43">
        <v>9738107008</v>
      </c>
      <c r="G241" s="43"/>
      <c r="H241" s="43"/>
      <c r="I241" s="42">
        <v>46332</v>
      </c>
      <c r="J241" s="42">
        <v>46665</v>
      </c>
      <c r="K241" s="43">
        <v>11</v>
      </c>
      <c r="L241" s="43"/>
      <c r="M241" s="7" t="s">
        <v>176</v>
      </c>
      <c r="N241" s="44"/>
      <c r="O241" s="43"/>
      <c r="P241" s="186"/>
      <c r="Q241" s="161" t="s">
        <v>3835</v>
      </c>
      <c r="R241" s="278" t="s">
        <v>3836</v>
      </c>
      <c r="S241" s="161" t="s">
        <v>513</v>
      </c>
    </row>
    <row r="242" spans="1:23" s="143" customFormat="1" ht="15" hidden="1" customHeight="1">
      <c r="A242" s="139">
        <v>241</v>
      </c>
      <c r="B242" s="52" t="s">
        <v>227</v>
      </c>
      <c r="C242" s="139" t="s">
        <v>3837</v>
      </c>
      <c r="D242" s="207" t="s">
        <v>3838</v>
      </c>
      <c r="E242" s="139" t="s">
        <v>3839</v>
      </c>
      <c r="F242" s="409">
        <v>9880030061</v>
      </c>
      <c r="I242" s="197" t="s">
        <v>3840</v>
      </c>
      <c r="J242" s="197" t="s">
        <v>3841</v>
      </c>
      <c r="K242" s="43">
        <v>11</v>
      </c>
      <c r="L242" s="43"/>
      <c r="M242" s="7" t="s">
        <v>176</v>
      </c>
      <c r="Q242" s="409" t="s">
        <v>3842</v>
      </c>
      <c r="R242" s="207"/>
    </row>
    <row r="243" spans="1:23" s="161" customFormat="1" ht="15" customHeight="1">
      <c r="A243" s="104">
        <v>242</v>
      </c>
      <c r="B243" s="143" t="s">
        <v>227</v>
      </c>
      <c r="C243" s="139" t="s">
        <v>2986</v>
      </c>
      <c r="D243" s="468" t="s">
        <v>3843</v>
      </c>
      <c r="E243" s="371" t="s">
        <v>303</v>
      </c>
      <c r="F243" s="371">
        <v>7634015950</v>
      </c>
      <c r="G243" s="143"/>
      <c r="H243" s="143"/>
      <c r="I243" s="161" t="s">
        <v>3844</v>
      </c>
      <c r="J243" s="250">
        <v>46726</v>
      </c>
      <c r="K243" s="43">
        <v>11</v>
      </c>
      <c r="L243" s="43"/>
      <c r="M243" s="7" t="s">
        <v>195</v>
      </c>
      <c r="Q243" s="143"/>
      <c r="R243" s="371" t="s">
        <v>3845</v>
      </c>
      <c r="S243" s="161" t="s">
        <v>513</v>
      </c>
    </row>
    <row r="244" spans="1:23" s="161" customFormat="1" ht="39.75" customHeight="1">
      <c r="A244" s="139">
        <v>243</v>
      </c>
      <c r="B244" s="143" t="s">
        <v>227</v>
      </c>
      <c r="C244" s="43" t="s">
        <v>3846</v>
      </c>
      <c r="D244" s="46" t="s">
        <v>3006</v>
      </c>
      <c r="E244" s="46" t="s">
        <v>3007</v>
      </c>
      <c r="F244" s="43">
        <v>9849393072</v>
      </c>
      <c r="G244" s="43"/>
      <c r="H244" s="43"/>
      <c r="I244" s="42" t="s">
        <v>2638</v>
      </c>
      <c r="J244" s="42" t="s">
        <v>2639</v>
      </c>
      <c r="K244" s="43">
        <v>11</v>
      </c>
      <c r="L244" s="43"/>
      <c r="M244" s="7" t="s">
        <v>176</v>
      </c>
      <c r="N244" s="44"/>
      <c r="O244" s="43"/>
      <c r="Q244" s="139" t="s">
        <v>3008</v>
      </c>
      <c r="R244" s="467" t="s">
        <v>3847</v>
      </c>
      <c r="S244" s="161" t="s">
        <v>513</v>
      </c>
    </row>
    <row r="245" spans="1:23" s="451" customFormat="1" ht="34.5" customHeight="1">
      <c r="A245" s="104">
        <v>244</v>
      </c>
      <c r="B245" s="450" t="s">
        <v>227</v>
      </c>
      <c r="C245" s="427" t="s">
        <v>3120</v>
      </c>
      <c r="D245" s="476" t="s">
        <v>3848</v>
      </c>
      <c r="E245" s="464"/>
      <c r="F245" s="450">
        <v>7970463095</v>
      </c>
      <c r="G245" s="450"/>
      <c r="H245" s="450"/>
      <c r="I245" s="451" t="s">
        <v>3849</v>
      </c>
      <c r="J245" s="451" t="s">
        <v>3850</v>
      </c>
      <c r="K245" s="451">
        <v>11</v>
      </c>
      <c r="M245" s="177" t="s">
        <v>195</v>
      </c>
      <c r="Q245" s="450" t="s">
        <v>3851</v>
      </c>
      <c r="R245" s="476"/>
      <c r="S245" s="451" t="s">
        <v>513</v>
      </c>
    </row>
    <row r="246" spans="1:23" s="219" customFormat="1" ht="64.5" customHeight="1">
      <c r="A246" s="139">
        <v>245</v>
      </c>
      <c r="B246" s="139" t="s">
        <v>227</v>
      </c>
      <c r="C246" s="139" t="s">
        <v>3225</v>
      </c>
      <c r="D246" s="145" t="s">
        <v>3226</v>
      </c>
      <c r="E246" s="145" t="s">
        <v>3227</v>
      </c>
      <c r="F246" s="139">
        <v>9880017405</v>
      </c>
      <c r="G246" s="139" t="s">
        <v>3228</v>
      </c>
      <c r="H246" s="139" t="s">
        <v>1737</v>
      </c>
      <c r="I246" s="146">
        <v>45915</v>
      </c>
      <c r="J246" s="146">
        <v>46249</v>
      </c>
      <c r="K246" s="139">
        <v>11</v>
      </c>
      <c r="L246" s="139"/>
      <c r="M246" s="133" t="s">
        <v>176</v>
      </c>
      <c r="N246" s="133"/>
      <c r="O246" s="139"/>
      <c r="Q246" s="139" t="s">
        <v>3852</v>
      </c>
      <c r="R246" s="278" t="s">
        <v>3230</v>
      </c>
      <c r="S246" s="133" t="s">
        <v>1714</v>
      </c>
      <c r="T246" s="161"/>
      <c r="U246" s="161"/>
      <c r="V246" s="161"/>
      <c r="W246" s="161"/>
    </row>
    <row r="247" spans="1:23" s="161" customFormat="1" ht="64.5" customHeight="1">
      <c r="A247" s="104">
        <v>246</v>
      </c>
      <c r="B247" s="143" t="s">
        <v>227</v>
      </c>
      <c r="C247" s="473" t="s">
        <v>3853</v>
      </c>
      <c r="D247" s="288" t="s">
        <v>3193</v>
      </c>
      <c r="E247" s="473" t="s">
        <v>3854</v>
      </c>
      <c r="F247" s="473">
        <v>8825514461</v>
      </c>
      <c r="G247" s="143"/>
      <c r="H247" s="143"/>
      <c r="I247" s="146">
        <v>46089</v>
      </c>
      <c r="J247" s="146">
        <v>46425</v>
      </c>
      <c r="K247" s="139">
        <v>11</v>
      </c>
      <c r="L247" s="139"/>
      <c r="M247" s="133" t="s">
        <v>176</v>
      </c>
      <c r="Q247" s="474" t="s">
        <v>3855</v>
      </c>
      <c r="R247" s="473" t="s">
        <v>3856</v>
      </c>
      <c r="S247" s="161" t="s">
        <v>513</v>
      </c>
    </row>
    <row r="248" spans="1:23" s="161" customFormat="1" ht="64.5" customHeight="1">
      <c r="A248" s="139">
        <v>247</v>
      </c>
      <c r="B248" s="143" t="s">
        <v>227</v>
      </c>
      <c r="C248" s="473" t="s">
        <v>3857</v>
      </c>
      <c r="D248" s="288" t="s">
        <v>3184</v>
      </c>
      <c r="E248" s="473" t="s">
        <v>3858</v>
      </c>
      <c r="F248" s="473">
        <v>9704506686</v>
      </c>
      <c r="G248" s="143"/>
      <c r="H248" s="143"/>
      <c r="I248" s="161" t="s">
        <v>3859</v>
      </c>
      <c r="J248" s="161" t="s">
        <v>3860</v>
      </c>
      <c r="K248" s="161">
        <v>11</v>
      </c>
      <c r="M248" s="133" t="s">
        <v>195</v>
      </c>
      <c r="Q248" s="475" t="s">
        <v>3861</v>
      </c>
      <c r="R248" s="473" t="s">
        <v>3862</v>
      </c>
      <c r="S248" s="161" t="s">
        <v>513</v>
      </c>
    </row>
    <row r="249" spans="1:23" s="161" customFormat="1" ht="64.5" hidden="1" customHeight="1">
      <c r="A249" s="104">
        <v>248</v>
      </c>
      <c r="B249" s="143" t="s">
        <v>227</v>
      </c>
      <c r="C249" s="473" t="s">
        <v>3863</v>
      </c>
      <c r="D249" s="288" t="s">
        <v>3864</v>
      </c>
      <c r="E249" s="288" t="s">
        <v>3865</v>
      </c>
      <c r="F249" s="288" t="s">
        <v>3866</v>
      </c>
      <c r="G249" s="143"/>
      <c r="H249" s="143"/>
      <c r="I249" s="161" t="s">
        <v>3867</v>
      </c>
      <c r="J249" s="161" t="s">
        <v>3868</v>
      </c>
      <c r="K249" s="161">
        <v>11</v>
      </c>
      <c r="M249" s="133" t="s">
        <v>195</v>
      </c>
      <c r="Q249" s="475" t="s">
        <v>3869</v>
      </c>
      <c r="R249" s="288" t="s">
        <v>3870</v>
      </c>
    </row>
    <row r="250" spans="1:23" s="447" customFormat="1" ht="64.5" customHeight="1">
      <c r="A250" s="139">
        <v>249</v>
      </c>
      <c r="B250" s="445" t="s">
        <v>227</v>
      </c>
      <c r="C250" s="469" t="s">
        <v>2887</v>
      </c>
      <c r="D250" s="470" t="s">
        <v>2888</v>
      </c>
      <c r="E250" s="470" t="s">
        <v>2889</v>
      </c>
      <c r="F250" s="469">
        <v>8088453972</v>
      </c>
      <c r="G250" s="469"/>
      <c r="H250" s="469"/>
      <c r="I250" s="471">
        <v>45807</v>
      </c>
      <c r="J250" s="471"/>
      <c r="K250" s="469">
        <v>11</v>
      </c>
      <c r="L250" s="469"/>
      <c r="M250" s="159" t="s">
        <v>195</v>
      </c>
      <c r="N250" s="159"/>
      <c r="O250" s="469"/>
      <c r="P250" s="159"/>
      <c r="Q250" s="469" t="s">
        <v>3871</v>
      </c>
      <c r="R250" s="472"/>
      <c r="S250" s="447" t="s">
        <v>513</v>
      </c>
    </row>
    <row r="251" spans="1:23" s="219" customFormat="1" ht="64.5" customHeight="1">
      <c r="A251" s="369">
        <v>250</v>
      </c>
      <c r="B251" s="346" t="s">
        <v>227</v>
      </c>
      <c r="C251" s="478" t="s">
        <v>1693</v>
      </c>
      <c r="D251" s="479" t="s">
        <v>3208</v>
      </c>
      <c r="E251" s="478" t="s">
        <v>3872</v>
      </c>
      <c r="F251" s="478">
        <v>9580511210</v>
      </c>
      <c r="G251" s="346"/>
      <c r="H251" s="346"/>
      <c r="I251" s="265">
        <v>46273</v>
      </c>
      <c r="J251" s="265">
        <v>46606</v>
      </c>
      <c r="K251" s="179">
        <v>11</v>
      </c>
      <c r="M251" s="131" t="s">
        <v>195</v>
      </c>
      <c r="Q251" s="480" t="s">
        <v>3873</v>
      </c>
      <c r="R251" s="478" t="s">
        <v>3874</v>
      </c>
      <c r="S251" s="219" t="s">
        <v>513</v>
      </c>
    </row>
    <row r="252" spans="1:23" s="164" customFormat="1" ht="64.5" customHeight="1">
      <c r="A252" s="163">
        <v>251</v>
      </c>
      <c r="B252" s="225" t="s">
        <v>227</v>
      </c>
      <c r="C252" s="163" t="s">
        <v>3875</v>
      </c>
      <c r="D252" s="339" t="s">
        <v>3232</v>
      </c>
      <c r="E252" s="504" t="s">
        <v>3876</v>
      </c>
      <c r="F252" s="504">
        <v>9048997845</v>
      </c>
      <c r="G252" s="225"/>
      <c r="H252" s="225"/>
      <c r="I252" s="164" t="s">
        <v>3877</v>
      </c>
      <c r="J252" s="164" t="s">
        <v>3878</v>
      </c>
      <c r="K252" s="163">
        <v>11</v>
      </c>
      <c r="L252" s="163"/>
      <c r="M252" s="168" t="s">
        <v>176</v>
      </c>
      <c r="Q252" s="225" t="s">
        <v>3879</v>
      </c>
      <c r="R252" s="504" t="s">
        <v>3237</v>
      </c>
      <c r="S252" s="164" t="s">
        <v>513</v>
      </c>
    </row>
    <row r="253" spans="1:23" s="143" customFormat="1" ht="15" customHeight="1">
      <c r="A253" s="139">
        <v>252</v>
      </c>
      <c r="B253" s="143" t="s">
        <v>227</v>
      </c>
      <c r="C253" s="503" t="s">
        <v>3880</v>
      </c>
      <c r="D253" s="503" t="s">
        <v>3340</v>
      </c>
      <c r="E253" s="503" t="s">
        <v>3881</v>
      </c>
      <c r="F253" s="503">
        <v>7738695845</v>
      </c>
      <c r="I253" s="143" t="s">
        <v>3882</v>
      </c>
      <c r="J253" s="143" t="s">
        <v>3883</v>
      </c>
      <c r="K253" s="139">
        <v>11</v>
      </c>
      <c r="L253" s="139"/>
      <c r="M253" s="179" t="s">
        <v>195</v>
      </c>
      <c r="Q253" s="503" t="s">
        <v>3884</v>
      </c>
      <c r="R253" s="503" t="s">
        <v>3885</v>
      </c>
      <c r="S253" s="219" t="s">
        <v>513</v>
      </c>
    </row>
    <row r="254" spans="1:23" s="358" customFormat="1" ht="15" hidden="1" customHeight="1">
      <c r="A254" s="244">
        <v>253</v>
      </c>
      <c r="B254" s="356"/>
      <c r="C254" s="244"/>
      <c r="D254" s="357"/>
      <c r="E254" s="249"/>
      <c r="F254" s="356"/>
      <c r="G254" s="356"/>
      <c r="H254" s="356"/>
      <c r="Q254" s="356"/>
      <c r="R254" s="357"/>
    </row>
    <row r="255" spans="1:23" s="161" customFormat="1" ht="15" hidden="1" customHeight="1">
      <c r="A255" s="104">
        <v>254</v>
      </c>
      <c r="B255" s="143"/>
      <c r="C255" s="139"/>
      <c r="D255" s="147"/>
      <c r="E255" s="141"/>
      <c r="F255" s="143"/>
      <c r="G255" s="143"/>
      <c r="H255" s="143"/>
      <c r="Q255" s="143"/>
      <c r="R255" s="147"/>
    </row>
    <row r="256" spans="1:23" s="161" customFormat="1" ht="15" customHeight="1">
      <c r="A256" s="139"/>
      <c r="B256" s="143"/>
      <c r="C256" s="139"/>
      <c r="D256" s="147"/>
      <c r="E256" s="141"/>
      <c r="F256" s="143"/>
      <c r="G256" s="143"/>
      <c r="H256" s="143"/>
      <c r="Q256" s="143"/>
      <c r="R256" s="147"/>
    </row>
    <row r="257" spans="1:19" s="161" customFormat="1" ht="15" customHeight="1">
      <c r="A257" s="139"/>
      <c r="B257" s="143"/>
      <c r="C257" s="139"/>
      <c r="D257" s="147"/>
      <c r="E257" s="141"/>
      <c r="F257" s="143"/>
      <c r="G257" s="143"/>
      <c r="H257" s="143"/>
      <c r="Q257" s="143"/>
      <c r="R257" s="147"/>
    </row>
    <row r="258" spans="1:19" s="161" customFormat="1" ht="15" customHeight="1">
      <c r="A258" s="139"/>
      <c r="B258" s="143"/>
      <c r="C258" s="139"/>
      <c r="D258" s="147"/>
      <c r="E258" s="141"/>
      <c r="F258" s="143"/>
      <c r="G258" s="143"/>
      <c r="H258" s="143"/>
      <c r="Q258" s="143"/>
      <c r="R258" s="147"/>
    </row>
    <row r="259" spans="1:19" s="161" customFormat="1" ht="15" customHeight="1">
      <c r="A259" s="139"/>
      <c r="B259" s="143"/>
      <c r="C259" s="139"/>
      <c r="D259" s="147"/>
      <c r="E259" s="141"/>
      <c r="F259" s="143"/>
      <c r="G259" s="143"/>
      <c r="H259" s="143"/>
      <c r="Q259" s="143"/>
      <c r="R259" s="147"/>
    </row>
    <row r="260" spans="1:19" s="161" customFormat="1" ht="15" customHeight="1">
      <c r="A260" s="139"/>
      <c r="B260" s="143"/>
      <c r="C260" s="139"/>
      <c r="D260" s="147"/>
      <c r="E260" s="141"/>
      <c r="F260" s="143"/>
      <c r="G260" s="143"/>
      <c r="H260" s="143"/>
      <c r="Q260" s="143"/>
      <c r="R260" s="147"/>
    </row>
    <row r="261" spans="1:19" s="161" customFormat="1" ht="15" customHeight="1">
      <c r="A261" s="139"/>
      <c r="B261" s="143"/>
      <c r="C261" s="139"/>
      <c r="D261" s="147"/>
      <c r="E261" s="141"/>
      <c r="F261" s="143"/>
      <c r="G261" s="143"/>
      <c r="H261" s="143"/>
      <c r="Q261" s="143"/>
      <c r="R261" s="147"/>
    </row>
    <row r="262" spans="1:19" s="161" customFormat="1" ht="15" customHeight="1">
      <c r="A262" s="139"/>
      <c r="B262" s="143"/>
      <c r="C262" s="139"/>
      <c r="D262" s="147"/>
      <c r="E262" s="141"/>
      <c r="F262" s="143"/>
      <c r="G262" s="143"/>
      <c r="H262" s="143"/>
      <c r="Q262" s="143"/>
      <c r="R262" s="147"/>
    </row>
    <row r="263" spans="1:19" s="161" customFormat="1" ht="15" customHeight="1">
      <c r="A263" s="139"/>
      <c r="B263" s="143"/>
      <c r="C263" s="139"/>
      <c r="D263" s="147"/>
      <c r="E263" s="141"/>
      <c r="F263" s="143"/>
      <c r="G263" s="143"/>
      <c r="H263" s="143"/>
      <c r="Q263" s="143"/>
      <c r="R263" s="147"/>
    </row>
    <row r="264" spans="1:19" s="161" customFormat="1" ht="15" customHeight="1">
      <c r="A264" s="139"/>
      <c r="B264" s="143"/>
      <c r="C264" s="139"/>
      <c r="D264" s="147"/>
      <c r="E264" s="141"/>
      <c r="F264" s="143"/>
      <c r="G264" s="143"/>
      <c r="H264" s="143"/>
      <c r="Q264" s="143"/>
      <c r="R264" s="147"/>
    </row>
    <row r="265" spans="1:19" s="161" customFormat="1" ht="15" customHeight="1">
      <c r="A265" s="139"/>
      <c r="B265" s="143"/>
      <c r="C265" s="139"/>
      <c r="D265" s="147"/>
      <c r="E265" s="141"/>
      <c r="F265" s="143"/>
      <c r="G265" s="143"/>
      <c r="H265" s="143"/>
      <c r="Q265" s="143"/>
      <c r="R265" s="147"/>
    </row>
    <row r="266" spans="1:19" s="161" customFormat="1" ht="15" customHeight="1">
      <c r="A266" s="139"/>
      <c r="B266" s="143"/>
      <c r="C266" s="139"/>
      <c r="D266" s="147"/>
      <c r="E266" s="141"/>
      <c r="F266" s="143"/>
      <c r="G266" s="143"/>
      <c r="H266" s="143"/>
      <c r="Q266" s="143"/>
      <c r="R266" s="147"/>
    </row>
    <row r="267" spans="1:19" s="161" customFormat="1" ht="15" customHeight="1">
      <c r="A267" s="139"/>
      <c r="B267" s="143"/>
      <c r="C267" s="139"/>
      <c r="D267" s="147"/>
      <c r="E267" s="141"/>
      <c r="F267" s="143"/>
      <c r="G267" s="143"/>
      <c r="H267" s="143"/>
      <c r="Q267" s="143"/>
      <c r="R267" s="147"/>
    </row>
    <row r="268" spans="1:19" ht="15" customHeight="1">
      <c r="Q268" s="356"/>
      <c r="R268" s="357"/>
      <c r="S268" s="358"/>
    </row>
  </sheetData>
  <autoFilter ref="A1:W255" xr:uid="{59418B65-C6D0-44F7-ABD0-9929D4DE9950}">
    <filterColumn colId="18">
      <filters>
        <filter val="Renewal Done R1"/>
        <filter val="Renewal Done R1 Directly from customer"/>
        <filter val="Renewal Done R1(Directly from customer)"/>
        <filter val="Renewal R1  Done"/>
        <filter val="Renewal R1 Done"/>
      </filters>
    </filterColumn>
  </autoFilter>
  <dataValidations count="2">
    <dataValidation type="list" allowBlank="1" showInputMessage="1" showErrorMessage="1" sqref="M1:N48 M244:N244 M242:M243 M240:N241 M239 M235:N238 M233:M234 M183:N232 M178:N178 M175:N176 M173:N173 M169:N171 M166:N166 M162:N162 M152:N152 M155:N155 M157:N157 M159:N159 M50:N150 M247:M249 M250:N250 M245 M246:N246 M251:M253" xr:uid="{8A148DF1-BC31-42D4-8824-8D65EB694963}">
      <formula1>$V$2:$V$10</formula1>
    </dataValidation>
    <dataValidation type="list" allowBlank="1" showInputMessage="1" showErrorMessage="1" sqref="M151:N151 M179:N182 M177:N177 M174:N174 M167:N168 M163:N165 M153:N154 M156:N156 M158:N158 M160:N161" xr:uid="{192466AD-55DC-4DFC-8009-11053537C37D}">
      <formula1>$AA$2:$AA$10</formula1>
    </dataValidation>
  </dataValidations>
  <hyperlinks>
    <hyperlink ref="R125" r:id="rId1" xr:uid="{DD1A6634-62C5-48CE-AB26-F48391EBECC2}"/>
    <hyperlink ref="R124" r:id="rId2" xr:uid="{DDD75E90-2300-44AC-9EBF-F6AD1CB36187}"/>
    <hyperlink ref="R123" r:id="rId3" xr:uid="{EB392C1A-8687-4BCA-B7F7-9818803209C4}"/>
    <hyperlink ref="R129" r:id="rId4" xr:uid="{55FBB01C-9860-4230-AE2A-A648A12DDA0D}"/>
    <hyperlink ref="R130" r:id="rId5" xr:uid="{294C65B4-D978-4A45-9F73-B5A3BF353697}"/>
    <hyperlink ref="R144" r:id="rId6" xr:uid="{E7C59C0D-CA0C-42CD-B9A5-B2EAE2861A98}"/>
    <hyperlink ref="R146" r:id="rId7" xr:uid="{0416CF08-2551-48CC-A73D-0D589AD798B6}"/>
    <hyperlink ref="R145" r:id="rId8" xr:uid="{706E38BA-3663-49B8-AC38-E0355DBB6C66}"/>
    <hyperlink ref="R149" r:id="rId9" xr:uid="{E0DDDE04-C525-44A5-B9CE-9244CBDCA3CF}"/>
    <hyperlink ref="R150" r:id="rId10" xr:uid="{F4A5505E-BB2A-4B4E-9E7D-0B2A8D8FBA86}"/>
    <hyperlink ref="R140" r:id="rId11" xr:uid="{4F7DFC81-B138-4354-8804-9DE7CCB6336C}"/>
    <hyperlink ref="R139" r:id="rId12" xr:uid="{EAC94712-C974-459B-AC22-F1AFDA0EC189}"/>
    <hyperlink ref="R136" r:id="rId13" xr:uid="{6F70669C-409E-4A33-99C9-3AC9C83A576C}"/>
    <hyperlink ref="R135" r:id="rId14" xr:uid="{D73D722A-ECA7-4279-9501-60A3007727B8}"/>
    <hyperlink ref="R132" r:id="rId15" xr:uid="{5A79BC2A-6D3D-431C-B8D1-697C0EACCEEB}"/>
    <hyperlink ref="R133" r:id="rId16" xr:uid="{92FB7E17-6C9B-4147-BAB0-5E58866DD284}"/>
    <hyperlink ref="R152" r:id="rId17" xr:uid="{7ECD30D9-D28F-4B74-AC9C-FC65D5EDD373}"/>
    <hyperlink ref="R153" r:id="rId18" xr:uid="{4DF5E7ED-201D-40D2-8DCB-E81CABB9370A}"/>
    <hyperlink ref="R155" r:id="rId19" xr:uid="{E4EF05FA-6C10-444B-AC73-5D663E4868FA}"/>
    <hyperlink ref="R157" r:id="rId20" xr:uid="{C116FAE2-D82E-4F9F-B287-7B23087A0FC1}"/>
    <hyperlink ref="R159" r:id="rId21" xr:uid="{5F272768-E286-47BC-9947-02A7CEF6288D}"/>
    <hyperlink ref="R160" r:id="rId22" xr:uid="{148C6E71-F6DF-4C71-9F59-D9E3FFBB996C}"/>
    <hyperlink ref="R161" r:id="rId23" xr:uid="{69AD7304-329F-4C73-B770-A2A4216058A9}"/>
    <hyperlink ref="R162" r:id="rId24" xr:uid="{A74D5B2A-9B06-4693-AD1A-DFC5AF04F683}"/>
    <hyperlink ref="R163" r:id="rId25" xr:uid="{DF9F7827-3264-459E-9114-4122E1843D03}"/>
    <hyperlink ref="R166" r:id="rId26" xr:uid="{24AFE6DF-F034-4CD1-85F5-4E943A9921FF}"/>
    <hyperlink ref="R167" r:id="rId27" xr:uid="{0E4A0315-F1B8-4BEE-AD73-915D5A345CE2}"/>
    <hyperlink ref="R168" r:id="rId28" xr:uid="{14764424-F1A2-4CB8-A563-3513C3CAE082}"/>
    <hyperlink ref="R169" r:id="rId29" xr:uid="{3230C90F-1DAB-41E4-B806-093F42CA8C79}"/>
    <hyperlink ref="R170" r:id="rId30" xr:uid="{4F5D5789-4AD5-4543-B7AD-674481353A35}"/>
    <hyperlink ref="R177" r:id="rId31" xr:uid="{0BB18156-0665-4CD4-96B2-8E56D73EDAC8}"/>
    <hyperlink ref="R179" r:id="rId32" xr:uid="{655EF07C-0B8B-4299-A426-89EA48B88E12}"/>
    <hyperlink ref="R180" r:id="rId33" xr:uid="{5F00FED2-EC93-477B-91E6-0034932F839E}"/>
    <hyperlink ref="R181" r:id="rId34" xr:uid="{5C53F56C-DCA1-4EF2-8834-F06DF22DA322}"/>
    <hyperlink ref="R185" r:id="rId35" xr:uid="{D511465D-AB27-48B4-922F-1EECA8D97B1F}"/>
    <hyperlink ref="R186" r:id="rId36" xr:uid="{E7AE0794-5EA7-439D-A74C-E4C4BC7A0FD9}"/>
    <hyperlink ref="R189" r:id="rId37" xr:uid="{6AC063D3-EF1B-4EC8-8FBE-0BB648A5DAF3}"/>
    <hyperlink ref="R190" r:id="rId38" xr:uid="{684BFED8-C776-4228-B5A5-C4A37915A510}"/>
    <hyperlink ref="R196" r:id="rId39" xr:uid="{D048C14B-9454-40C9-8D5F-455696EC7C6B}"/>
    <hyperlink ref="R197" r:id="rId40" xr:uid="{9E5A5BA6-693D-4E90-B8EE-4BB092D0A6F0}"/>
    <hyperlink ref="R200" r:id="rId41" xr:uid="{BE774032-9EEA-4EBB-9620-F81C25373E26}"/>
    <hyperlink ref="R203" r:id="rId42" xr:uid="{29F8A45A-E38B-4345-A5DA-8C0923515FC3}"/>
    <hyperlink ref="R205" r:id="rId43" xr:uid="{02D0B457-1565-4382-AE77-D449CE071F33}"/>
    <hyperlink ref="R208" r:id="rId44" xr:uid="{8F433512-A63A-4793-8D24-ECA44A344006}"/>
    <hyperlink ref="R209" r:id="rId45" xr:uid="{BFBF44AB-839A-4950-9EED-EAD9BC506FA0}"/>
    <hyperlink ref="R210" r:id="rId46" xr:uid="{B0D60480-048F-4493-8912-EDA2514C97E6}"/>
    <hyperlink ref="R211" r:id="rId47" xr:uid="{98FE4857-A811-4F5E-8BC7-C094B666541C}"/>
    <hyperlink ref="R213" r:id="rId48" xr:uid="{9C6F3567-673B-43AF-B9DE-355FB023BBAE}"/>
    <hyperlink ref="R214" r:id="rId49" xr:uid="{F6848864-5E84-40AD-8C34-0EC69F0E38C3}"/>
    <hyperlink ref="R215" r:id="rId50" xr:uid="{6777A334-691C-4B96-9E14-1F1EFAF811E6}"/>
    <hyperlink ref="R218" r:id="rId51" xr:uid="{678F9457-C8A3-4763-9B1F-93B401B614D5}"/>
    <hyperlink ref="R219" r:id="rId52" xr:uid="{989FC1C7-9AFF-432E-BE56-2AB92C948557}"/>
    <hyperlink ref="R235" r:id="rId53" xr:uid="{E73307B2-F417-455B-8702-AF86D2782A97}"/>
    <hyperlink ref="R238" r:id="rId54" xr:uid="{55F9BFBA-726B-48FE-A211-2E1962B3390D}"/>
    <hyperlink ref="R241" r:id="rId55" xr:uid="{0D232546-FDA8-4572-9958-56ED48CDB8E0}"/>
    <hyperlink ref="R244" r:id="rId56" xr:uid="{4B0E83FB-9CB5-45D2-A988-B2CF5E87F93F}"/>
    <hyperlink ref="R246" r:id="rId57" xr:uid="{E03463EB-C587-4224-B336-3C0B9AE1D2ED}"/>
  </hyperlinks>
  <pageMargins left="0.7" right="0.7" top="0.75" bottom="0.75" header="0.3" footer="0.3"/>
  <pageSetup paperSize="11" orientation="portrait" horizontalDpi="4294967293" r:id="rId5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F3F7-920C-4400-A25E-1B7EECC122B6}">
  <dimension ref="A1:AF62"/>
  <sheetViews>
    <sheetView topLeftCell="G14" workbookViewId="0">
      <selection activeCell="L17" sqref="L17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22.140625" style="57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1.42578125" bestFit="1" customWidth="1"/>
    <col min="14" max="14" width="10.28515625" customWidth="1"/>
    <col min="15" max="15" width="14.28515625" customWidth="1"/>
    <col min="16" max="16" width="17.140625" customWidth="1"/>
    <col min="17" max="17" width="25.85546875" customWidth="1"/>
    <col min="18" max="18" width="23.85546875" style="161" customWidth="1"/>
    <col min="19" max="19" width="26.5703125" style="161" customWidth="1"/>
    <col min="20" max="22" width="9.140625" style="161"/>
    <col min="23" max="23" width="23.7109375" style="161" bestFit="1" customWidth="1"/>
    <col min="24" max="31" width="9.140625" style="161"/>
  </cols>
  <sheetData>
    <row r="1" spans="1:32" ht="30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2"/>
      <c r="Q1" s="96" t="s">
        <v>164</v>
      </c>
      <c r="R1" s="131" t="s">
        <v>2692</v>
      </c>
      <c r="S1" s="131" t="s">
        <v>3886</v>
      </c>
    </row>
    <row r="2" spans="1:32" ht="38.450000000000003" customHeight="1">
      <c r="A2" s="7">
        <v>1</v>
      </c>
      <c r="B2" s="7"/>
      <c r="C2" s="79" t="s">
        <v>3887</v>
      </c>
      <c r="D2" s="55" t="s">
        <v>3888</v>
      </c>
      <c r="E2" s="80" t="s">
        <v>3889</v>
      </c>
      <c r="F2" s="21">
        <v>8197033332</v>
      </c>
      <c r="G2" s="21" t="s">
        <v>3890</v>
      </c>
      <c r="H2" s="7" t="s">
        <v>1737</v>
      </c>
      <c r="I2" s="7" t="s">
        <v>3891</v>
      </c>
      <c r="J2" s="7" t="s">
        <v>3892</v>
      </c>
      <c r="K2" s="81">
        <v>9871001142</v>
      </c>
      <c r="L2" s="8">
        <v>45661</v>
      </c>
      <c r="M2" s="8">
        <v>46056</v>
      </c>
      <c r="N2" s="7">
        <v>12</v>
      </c>
      <c r="O2" s="7" t="s">
        <v>176</v>
      </c>
      <c r="P2" s="7"/>
      <c r="Q2" s="82" t="s">
        <v>3893</v>
      </c>
      <c r="R2" s="352"/>
      <c r="U2" s="161">
        <v>100</v>
      </c>
    </row>
    <row r="3" spans="1:32" s="174" customFormat="1" ht="45.75">
      <c r="A3" s="18">
        <v>2</v>
      </c>
      <c r="B3" s="18"/>
      <c r="C3" s="18" t="s">
        <v>3894</v>
      </c>
      <c r="D3" s="18" t="s">
        <v>3895</v>
      </c>
      <c r="E3" s="351" t="s">
        <v>3896</v>
      </c>
      <c r="F3" s="284">
        <v>8073561552</v>
      </c>
      <c r="G3" s="284" t="s">
        <v>3897</v>
      </c>
      <c r="H3" s="18" t="s">
        <v>1737</v>
      </c>
      <c r="I3" s="18" t="s">
        <v>3891</v>
      </c>
      <c r="J3" s="18" t="s">
        <v>3892</v>
      </c>
      <c r="K3" s="218">
        <v>9871001142</v>
      </c>
      <c r="L3" s="322">
        <v>45772</v>
      </c>
      <c r="M3" s="322">
        <v>45740</v>
      </c>
      <c r="N3" s="18">
        <v>11</v>
      </c>
      <c r="O3" s="18" t="s">
        <v>176</v>
      </c>
      <c r="P3" s="18"/>
      <c r="Q3" s="276" t="s">
        <v>3898</v>
      </c>
      <c r="R3" s="219"/>
      <c r="S3" s="219" t="s">
        <v>243</v>
      </c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</row>
    <row r="4" spans="1:32" s="174" customFormat="1" ht="66.75">
      <c r="A4" s="342">
        <v>3</v>
      </c>
      <c r="B4" s="283"/>
      <c r="C4" s="18" t="s">
        <v>3899</v>
      </c>
      <c r="D4" s="18" t="s">
        <v>3900</v>
      </c>
      <c r="E4" s="343" t="s">
        <v>3901</v>
      </c>
      <c r="F4" s="218">
        <v>8971965556</v>
      </c>
      <c r="G4" s="344" t="s">
        <v>3902</v>
      </c>
      <c r="H4" s="18" t="s">
        <v>1737</v>
      </c>
      <c r="I4" s="18" t="s">
        <v>3891</v>
      </c>
      <c r="J4" s="18" t="s">
        <v>3892</v>
      </c>
      <c r="K4" s="218" t="s">
        <v>3903</v>
      </c>
      <c r="L4" s="275">
        <v>45827</v>
      </c>
      <c r="M4" s="275">
        <v>45795</v>
      </c>
      <c r="N4" s="18">
        <v>12</v>
      </c>
      <c r="O4" s="18" t="s">
        <v>176</v>
      </c>
      <c r="P4" s="218"/>
      <c r="Q4" s="276" t="s">
        <v>3904</v>
      </c>
      <c r="R4" s="131"/>
      <c r="S4" s="219" t="s">
        <v>243</v>
      </c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</row>
    <row r="5" spans="1:32" ht="55.5">
      <c r="A5" s="23">
        <v>4</v>
      </c>
      <c r="B5" s="24"/>
      <c r="C5" s="22" t="s">
        <v>3905</v>
      </c>
      <c r="D5" s="7" t="s">
        <v>3906</v>
      </c>
      <c r="E5" s="25" t="s">
        <v>3907</v>
      </c>
      <c r="F5" s="22">
        <v>7975333951</v>
      </c>
      <c r="G5" s="22" t="s">
        <v>3908</v>
      </c>
      <c r="H5" s="22" t="s">
        <v>603</v>
      </c>
      <c r="I5" s="7" t="s">
        <v>3891</v>
      </c>
      <c r="J5" s="7" t="s">
        <v>3892</v>
      </c>
      <c r="K5" s="22" t="s">
        <v>3903</v>
      </c>
      <c r="L5" s="27">
        <v>45827</v>
      </c>
      <c r="M5" s="27">
        <v>45795</v>
      </c>
      <c r="N5" s="7">
        <v>12</v>
      </c>
      <c r="O5" s="7" t="s">
        <v>176</v>
      </c>
      <c r="P5" s="22"/>
      <c r="Q5" s="97" t="s">
        <v>3909</v>
      </c>
      <c r="R5" s="133"/>
    </row>
    <row r="6" spans="1:32" s="29" customFormat="1" ht="55.5">
      <c r="A6" s="23">
        <v>5</v>
      </c>
      <c r="B6" s="24" t="s">
        <v>227</v>
      </c>
      <c r="C6" s="22" t="s">
        <v>3910</v>
      </c>
      <c r="D6" s="7" t="s">
        <v>3911</v>
      </c>
      <c r="E6" s="25" t="s">
        <v>3912</v>
      </c>
      <c r="F6" s="22">
        <v>9833312778</v>
      </c>
      <c r="G6" s="22" t="s">
        <v>3913</v>
      </c>
      <c r="H6" s="22" t="s">
        <v>354</v>
      </c>
      <c r="I6" s="22" t="s">
        <v>3914</v>
      </c>
      <c r="J6" s="7" t="s">
        <v>3892</v>
      </c>
      <c r="K6" s="22">
        <v>9871018004</v>
      </c>
      <c r="L6" s="27">
        <v>45883</v>
      </c>
      <c r="M6" s="27">
        <v>46217</v>
      </c>
      <c r="N6" s="22">
        <v>11</v>
      </c>
      <c r="O6" s="44" t="s">
        <v>195</v>
      </c>
      <c r="P6" s="22"/>
      <c r="Q6" s="97" t="s">
        <v>3915</v>
      </c>
      <c r="R6" s="133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</row>
    <row r="7" spans="1:32" ht="45.75">
      <c r="A7" s="23">
        <v>6</v>
      </c>
      <c r="B7" s="24" t="s">
        <v>227</v>
      </c>
      <c r="C7" s="22" t="s">
        <v>3916</v>
      </c>
      <c r="D7" s="7" t="s">
        <v>3917</v>
      </c>
      <c r="E7" s="25" t="s">
        <v>3918</v>
      </c>
      <c r="F7" s="22">
        <v>9106544313</v>
      </c>
      <c r="G7" s="22" t="s">
        <v>3919</v>
      </c>
      <c r="H7" s="22" t="s">
        <v>3920</v>
      </c>
      <c r="I7" s="22" t="s">
        <v>3921</v>
      </c>
      <c r="J7" s="7" t="s">
        <v>3892</v>
      </c>
      <c r="K7" s="26">
        <v>9871074611</v>
      </c>
      <c r="L7" s="27">
        <v>45926</v>
      </c>
      <c r="M7" s="27">
        <v>45895</v>
      </c>
      <c r="N7" s="22">
        <v>11</v>
      </c>
      <c r="O7" s="44" t="s">
        <v>195</v>
      </c>
      <c r="P7" s="22"/>
      <c r="Q7" s="97" t="s">
        <v>3922</v>
      </c>
      <c r="R7" s="133"/>
      <c r="W7" s="145"/>
    </row>
    <row r="8" spans="1:32" ht="60.75">
      <c r="A8" s="22">
        <v>7</v>
      </c>
      <c r="B8" s="24" t="s">
        <v>227</v>
      </c>
      <c r="C8" s="22" t="s">
        <v>3923</v>
      </c>
      <c r="D8" s="7" t="s">
        <v>3924</v>
      </c>
      <c r="E8" s="31" t="s">
        <v>3925</v>
      </c>
      <c r="F8" s="22">
        <v>8904314658</v>
      </c>
      <c r="G8" s="22" t="s">
        <v>3926</v>
      </c>
      <c r="H8" s="22" t="s">
        <v>1737</v>
      </c>
      <c r="I8" s="22" t="s">
        <v>3921</v>
      </c>
      <c r="J8" s="7" t="s">
        <v>3892</v>
      </c>
      <c r="K8" s="22">
        <v>9871074611</v>
      </c>
      <c r="L8" s="27">
        <v>45926</v>
      </c>
      <c r="M8" s="27">
        <v>45895</v>
      </c>
      <c r="N8" s="7">
        <v>11</v>
      </c>
      <c r="O8" s="7" t="s">
        <v>176</v>
      </c>
      <c r="P8" s="22"/>
      <c r="Q8" s="98" t="s">
        <v>3927</v>
      </c>
      <c r="R8" s="139"/>
    </row>
    <row r="9" spans="1:32" ht="106.5">
      <c r="A9" s="22">
        <v>8</v>
      </c>
      <c r="B9" s="24" t="s">
        <v>227</v>
      </c>
      <c r="C9" s="7" t="s">
        <v>3928</v>
      </c>
      <c r="D9" s="7" t="s">
        <v>3929</v>
      </c>
      <c r="E9" s="31" t="s">
        <v>3930</v>
      </c>
      <c r="F9" s="22">
        <v>9738683405</v>
      </c>
      <c r="G9" s="22" t="s">
        <v>3931</v>
      </c>
      <c r="H9" s="22" t="s">
        <v>1737</v>
      </c>
      <c r="I9" s="7" t="s">
        <v>3891</v>
      </c>
      <c r="J9" s="7" t="s">
        <v>3892</v>
      </c>
      <c r="K9" s="22" t="s">
        <v>3903</v>
      </c>
      <c r="L9" s="27">
        <v>45934</v>
      </c>
      <c r="M9" s="27">
        <v>46269</v>
      </c>
      <c r="N9" s="7">
        <v>11</v>
      </c>
      <c r="O9" s="7" t="s">
        <v>176</v>
      </c>
      <c r="P9" s="22"/>
      <c r="Q9" s="97"/>
      <c r="R9" s="133" t="s">
        <v>3932</v>
      </c>
    </row>
    <row r="10" spans="1:32" ht="30.75">
      <c r="A10" s="22">
        <v>9</v>
      </c>
      <c r="B10" s="24" t="s">
        <v>227</v>
      </c>
      <c r="C10" s="7" t="s">
        <v>3933</v>
      </c>
      <c r="D10" s="7" t="s">
        <v>3934</v>
      </c>
      <c r="E10" s="7" t="s">
        <v>3935</v>
      </c>
      <c r="F10" s="49">
        <v>8319064370</v>
      </c>
      <c r="G10" s="7"/>
      <c r="H10" s="7" t="s">
        <v>3023</v>
      </c>
      <c r="I10" s="7" t="s">
        <v>3936</v>
      </c>
      <c r="J10" s="7" t="s">
        <v>3892</v>
      </c>
      <c r="K10" s="36" t="s">
        <v>3937</v>
      </c>
      <c r="L10" s="27">
        <v>45967</v>
      </c>
      <c r="M10" s="27">
        <v>46331</v>
      </c>
      <c r="N10" s="22">
        <v>11</v>
      </c>
      <c r="O10" s="22" t="s">
        <v>3938</v>
      </c>
      <c r="P10" s="22"/>
      <c r="Q10" s="205" t="s">
        <v>3939</v>
      </c>
      <c r="R10" s="207"/>
    </row>
    <row r="11" spans="1:32" ht="69.75" customHeight="1">
      <c r="A11" s="22">
        <v>10</v>
      </c>
      <c r="B11" s="24" t="s">
        <v>227</v>
      </c>
      <c r="C11" s="22" t="s">
        <v>3940</v>
      </c>
      <c r="D11" s="7" t="s">
        <v>3941</v>
      </c>
      <c r="E11" s="31" t="s">
        <v>3942</v>
      </c>
      <c r="F11" s="7"/>
      <c r="G11" s="7" t="s">
        <v>3943</v>
      </c>
      <c r="H11" s="7" t="s">
        <v>529</v>
      </c>
      <c r="I11" s="22" t="s">
        <v>3921</v>
      </c>
      <c r="J11" s="7" t="s">
        <v>3892</v>
      </c>
      <c r="K11" s="22">
        <v>9871074611</v>
      </c>
      <c r="L11" s="27">
        <v>45972</v>
      </c>
      <c r="M11" s="27">
        <v>46306</v>
      </c>
      <c r="N11" s="22">
        <v>11</v>
      </c>
      <c r="O11" s="44" t="s">
        <v>195</v>
      </c>
      <c r="P11" s="22"/>
      <c r="Q11" s="97" t="s">
        <v>3944</v>
      </c>
      <c r="R11" s="133"/>
    </row>
    <row r="12" spans="1:32" s="29" customFormat="1" ht="45.75">
      <c r="A12" s="23">
        <v>11</v>
      </c>
      <c r="B12" s="24" t="s">
        <v>227</v>
      </c>
      <c r="C12" s="22"/>
      <c r="D12" s="7" t="s">
        <v>3945</v>
      </c>
      <c r="E12" s="31"/>
      <c r="F12" s="22"/>
      <c r="G12" s="22"/>
      <c r="H12" s="22"/>
      <c r="I12" s="22"/>
      <c r="J12" s="7"/>
      <c r="K12" s="17"/>
      <c r="L12" s="27" t="s">
        <v>2196</v>
      </c>
      <c r="M12" s="27" t="s">
        <v>2197</v>
      </c>
      <c r="N12" s="22">
        <v>11</v>
      </c>
      <c r="O12" s="7" t="s">
        <v>176</v>
      </c>
      <c r="P12" s="22"/>
      <c r="Q12" s="97" t="s">
        <v>3946</v>
      </c>
      <c r="R12" s="133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</row>
    <row r="13" spans="1:32" s="29" customFormat="1" ht="45.75">
      <c r="A13" s="23">
        <v>12</v>
      </c>
      <c r="B13" s="24" t="s">
        <v>227</v>
      </c>
      <c r="C13" s="22" t="s">
        <v>3947</v>
      </c>
      <c r="D13" s="7" t="s">
        <v>3948</v>
      </c>
      <c r="E13" s="31"/>
      <c r="F13" s="22"/>
      <c r="G13" s="22"/>
      <c r="H13" s="22"/>
      <c r="I13" s="7"/>
      <c r="J13" s="7"/>
      <c r="K13" s="36"/>
      <c r="L13" s="27" t="s">
        <v>3949</v>
      </c>
      <c r="M13" s="27" t="s">
        <v>3950</v>
      </c>
      <c r="N13" s="22">
        <v>11</v>
      </c>
      <c r="O13" s="44" t="s">
        <v>195</v>
      </c>
      <c r="P13" s="22"/>
      <c r="Q13" s="97" t="s">
        <v>3951</v>
      </c>
      <c r="R13" s="133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</row>
    <row r="14" spans="1:32" s="29" customFormat="1" ht="45.75">
      <c r="A14" s="23">
        <v>13</v>
      </c>
      <c r="B14" s="24" t="s">
        <v>227</v>
      </c>
      <c r="C14" s="22" t="s">
        <v>3952</v>
      </c>
      <c r="D14" s="7" t="s">
        <v>3953</v>
      </c>
      <c r="E14" s="31"/>
      <c r="F14" s="22"/>
      <c r="G14" s="22"/>
      <c r="H14" s="22"/>
      <c r="I14" s="22"/>
      <c r="J14" s="7"/>
      <c r="K14" s="17"/>
      <c r="L14" s="27" t="s">
        <v>3585</v>
      </c>
      <c r="M14" s="27" t="s">
        <v>3586</v>
      </c>
      <c r="N14" s="22">
        <v>11</v>
      </c>
      <c r="O14" s="44" t="s">
        <v>195</v>
      </c>
      <c r="P14" s="22"/>
      <c r="Q14" s="97" t="s">
        <v>3954</v>
      </c>
      <c r="R14" s="133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</row>
    <row r="15" spans="1:32" s="29" customFormat="1" ht="45.75">
      <c r="A15" s="23">
        <v>14</v>
      </c>
      <c r="B15" s="24" t="s">
        <v>227</v>
      </c>
      <c r="C15" s="22" t="s">
        <v>3955</v>
      </c>
      <c r="D15" s="7" t="s">
        <v>3956</v>
      </c>
      <c r="E15" s="31"/>
      <c r="F15" s="22"/>
      <c r="G15" s="22"/>
      <c r="H15" s="22"/>
      <c r="I15" s="7"/>
      <c r="J15" s="7"/>
      <c r="K15" s="36"/>
      <c r="L15" s="27" t="s">
        <v>2341</v>
      </c>
      <c r="M15" s="27" t="s">
        <v>2342</v>
      </c>
      <c r="N15" s="22">
        <v>11</v>
      </c>
      <c r="O15" s="44" t="s">
        <v>195</v>
      </c>
      <c r="P15" s="22"/>
      <c r="Q15" s="97" t="s">
        <v>3957</v>
      </c>
      <c r="R15" s="133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</row>
    <row r="16" spans="1:32" s="29" customFormat="1" ht="45.75">
      <c r="A16" s="7">
        <v>15</v>
      </c>
      <c r="B16" s="24" t="s">
        <v>227</v>
      </c>
      <c r="C16" s="7" t="s">
        <v>3894</v>
      </c>
      <c r="D16" s="7" t="s">
        <v>3895</v>
      </c>
      <c r="E16" s="20" t="s">
        <v>3896</v>
      </c>
      <c r="F16" s="21">
        <v>8073561552</v>
      </c>
      <c r="G16" s="21" t="s">
        <v>3897</v>
      </c>
      <c r="H16" s="7" t="s">
        <v>1737</v>
      </c>
      <c r="I16" s="7" t="s">
        <v>3891</v>
      </c>
      <c r="J16" s="7" t="s">
        <v>3892</v>
      </c>
      <c r="K16" s="22">
        <v>9871001142</v>
      </c>
      <c r="L16" s="8" t="s">
        <v>107</v>
      </c>
      <c r="M16" s="8" t="s">
        <v>3720</v>
      </c>
      <c r="N16" s="7">
        <v>11</v>
      </c>
      <c r="O16" s="7" t="s">
        <v>176</v>
      </c>
      <c r="P16" s="7"/>
      <c r="Q16" s="97" t="s">
        <v>3958</v>
      </c>
      <c r="R16" s="161"/>
      <c r="S16" s="161" t="s">
        <v>243</v>
      </c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/>
    </row>
    <row r="17" spans="1:31" s="174" customFormat="1" ht="66.75">
      <c r="A17" s="342">
        <v>16</v>
      </c>
      <c r="B17" s="283" t="s">
        <v>227</v>
      </c>
      <c r="C17" s="18" t="s">
        <v>3899</v>
      </c>
      <c r="D17" s="18" t="s">
        <v>3900</v>
      </c>
      <c r="E17" s="343" t="s">
        <v>3901</v>
      </c>
      <c r="F17" s="218">
        <v>8971965556</v>
      </c>
      <c r="G17" s="344" t="s">
        <v>3902</v>
      </c>
      <c r="H17" s="18" t="s">
        <v>1737</v>
      </c>
      <c r="I17" s="18" t="s">
        <v>3891</v>
      </c>
      <c r="J17" s="18" t="s">
        <v>3892</v>
      </c>
      <c r="K17" s="218" t="s">
        <v>3903</v>
      </c>
      <c r="L17" s="275" t="s">
        <v>3959</v>
      </c>
      <c r="M17" s="275" t="s">
        <v>3960</v>
      </c>
      <c r="N17" s="18">
        <v>12</v>
      </c>
      <c r="O17" s="18" t="s">
        <v>176</v>
      </c>
      <c r="P17" s="218"/>
      <c r="Q17" s="276" t="s">
        <v>3961</v>
      </c>
      <c r="R17" s="131"/>
      <c r="S17" s="219" t="s">
        <v>243</v>
      </c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</row>
    <row r="18" spans="1:31">
      <c r="A18" s="39"/>
      <c r="B18" s="52"/>
      <c r="C18" s="45"/>
      <c r="D18" s="46"/>
      <c r="E18" s="46"/>
      <c r="F18" s="43"/>
      <c r="G18" s="43"/>
      <c r="H18" s="44"/>
      <c r="I18" s="22"/>
      <c r="J18" s="7"/>
      <c r="K18" s="17"/>
      <c r="L18" s="42"/>
      <c r="M18" s="42"/>
      <c r="N18" s="43"/>
      <c r="O18" s="7"/>
      <c r="P18" s="22"/>
      <c r="Q18" s="97"/>
      <c r="R18" s="133"/>
    </row>
    <row r="19" spans="1:31">
      <c r="A19" s="39"/>
      <c r="B19" s="52"/>
      <c r="C19" s="45"/>
      <c r="D19" s="46"/>
      <c r="E19" s="46"/>
      <c r="F19" s="43"/>
      <c r="G19" s="43"/>
      <c r="H19" s="44"/>
      <c r="I19" s="22"/>
      <c r="J19" s="7"/>
      <c r="K19" s="17"/>
      <c r="L19" s="42"/>
      <c r="M19" s="42"/>
      <c r="N19" s="43"/>
      <c r="O19" s="7"/>
      <c r="P19" s="22"/>
      <c r="Q19" s="97"/>
      <c r="R19" s="133"/>
    </row>
    <row r="20" spans="1:31">
      <c r="A20" s="39"/>
      <c r="B20" s="52"/>
      <c r="C20" s="46"/>
      <c r="D20" s="44"/>
      <c r="E20" s="46"/>
      <c r="F20" s="43"/>
      <c r="G20" s="43"/>
      <c r="H20" s="44"/>
      <c r="I20" s="44"/>
      <c r="J20" s="44"/>
      <c r="K20" s="53"/>
      <c r="L20" s="42"/>
      <c r="M20" s="42"/>
      <c r="N20" s="43"/>
      <c r="O20" s="7"/>
      <c r="P20" s="22"/>
      <c r="Q20" s="98"/>
      <c r="R20" s="139"/>
    </row>
    <row r="21" spans="1:31">
      <c r="A21" s="39"/>
      <c r="B21" s="52"/>
      <c r="C21" s="45"/>
      <c r="D21" s="46"/>
      <c r="E21" s="41"/>
      <c r="F21" s="45"/>
      <c r="G21" s="45"/>
      <c r="H21" s="43"/>
      <c r="I21" s="22"/>
      <c r="J21" s="7"/>
      <c r="K21" s="17"/>
      <c r="L21" s="42"/>
      <c r="M21" s="42"/>
      <c r="N21" s="43"/>
      <c r="O21" s="7"/>
      <c r="P21" s="22"/>
      <c r="Q21" s="186"/>
      <c r="R21" s="133"/>
    </row>
    <row r="22" spans="1:31">
      <c r="A22" s="39"/>
      <c r="B22" s="52"/>
      <c r="C22" s="40"/>
      <c r="D22" s="41"/>
      <c r="E22" s="41"/>
      <c r="F22" s="50"/>
      <c r="G22" s="50"/>
      <c r="H22" s="43"/>
      <c r="I22" s="22"/>
      <c r="J22" s="7"/>
      <c r="K22" s="17"/>
      <c r="L22" s="42"/>
      <c r="M22" s="42"/>
      <c r="N22" s="43"/>
      <c r="O22" s="7"/>
      <c r="P22" s="22"/>
      <c r="Q22" s="186"/>
      <c r="R22" s="133"/>
    </row>
    <row r="23" spans="1:31">
      <c r="A23" s="61"/>
      <c r="B23" s="62"/>
      <c r="C23" s="63"/>
      <c r="D23" s="64"/>
      <c r="E23" s="65"/>
      <c r="F23" s="66"/>
      <c r="G23" s="66"/>
      <c r="H23" s="66"/>
      <c r="I23" s="68"/>
      <c r="J23" s="67"/>
      <c r="K23" s="69"/>
      <c r="L23" s="70"/>
      <c r="M23" s="70"/>
      <c r="N23" s="66"/>
      <c r="O23" s="71"/>
      <c r="P23" s="68"/>
      <c r="Q23" s="293"/>
      <c r="R23" s="150"/>
    </row>
    <row r="24" spans="1:31">
      <c r="A24" s="39"/>
      <c r="B24" s="52"/>
      <c r="C24" s="59"/>
      <c r="D24" s="58"/>
      <c r="E24" s="41"/>
      <c r="F24" s="50"/>
      <c r="G24" s="50"/>
      <c r="H24" s="43"/>
      <c r="I24" s="22"/>
      <c r="J24" s="7"/>
      <c r="K24" s="17"/>
      <c r="L24" s="42"/>
      <c r="M24" s="42"/>
      <c r="N24" s="43"/>
      <c r="O24" s="44"/>
      <c r="P24" s="22"/>
      <c r="Q24" s="186"/>
      <c r="R24" s="133"/>
    </row>
    <row r="25" spans="1:31">
      <c r="A25" s="39"/>
      <c r="B25" s="52"/>
      <c r="C25" s="45"/>
      <c r="D25" s="58"/>
      <c r="E25" s="41"/>
      <c r="F25" s="50"/>
      <c r="G25" s="50"/>
      <c r="H25" s="43"/>
      <c r="I25" s="7"/>
      <c r="J25" s="7"/>
      <c r="K25" s="36"/>
      <c r="L25" s="42"/>
      <c r="M25" s="42"/>
      <c r="N25" s="43"/>
      <c r="O25" s="44"/>
      <c r="P25" s="22"/>
      <c r="Q25" s="186"/>
      <c r="R25" s="133"/>
    </row>
    <row r="26" spans="1:31">
      <c r="A26" s="39"/>
      <c r="B26" s="52"/>
      <c r="C26" s="45"/>
      <c r="D26" s="46"/>
      <c r="E26" s="41"/>
      <c r="F26" s="50"/>
      <c r="G26" s="50"/>
      <c r="H26" s="43"/>
      <c r="I26" s="7"/>
      <c r="J26" s="7"/>
      <c r="K26" s="36"/>
      <c r="L26" s="42"/>
      <c r="M26" s="42"/>
      <c r="N26" s="43"/>
      <c r="O26" s="44"/>
      <c r="P26" s="22"/>
      <c r="Q26" s="186"/>
      <c r="R26" s="133"/>
    </row>
    <row r="27" spans="1:31">
      <c r="A27" s="39"/>
      <c r="B27" s="52"/>
      <c r="C27" s="45"/>
      <c r="D27" s="46"/>
      <c r="E27" s="41"/>
      <c r="F27" s="43"/>
      <c r="G27" s="43"/>
      <c r="H27" s="43"/>
      <c r="I27" s="22"/>
      <c r="J27" s="7"/>
      <c r="K27" s="17"/>
      <c r="L27" s="42"/>
      <c r="M27" s="42"/>
      <c r="N27" s="43"/>
      <c r="O27" s="44"/>
      <c r="P27" s="22"/>
      <c r="Q27" s="186"/>
      <c r="R27" s="133"/>
    </row>
    <row r="28" spans="1:31">
      <c r="A28" s="39"/>
      <c r="B28" s="52"/>
      <c r="C28" s="45"/>
      <c r="D28" s="46"/>
      <c r="E28" s="41"/>
      <c r="F28" s="43"/>
      <c r="G28" s="43"/>
      <c r="H28" s="43"/>
      <c r="I28" s="7"/>
      <c r="J28" s="7"/>
      <c r="K28" s="36"/>
      <c r="L28" s="42"/>
      <c r="M28" s="42"/>
      <c r="N28" s="43"/>
      <c r="O28" s="44"/>
      <c r="P28" s="22"/>
      <c r="Q28" s="186"/>
      <c r="R28" s="133"/>
    </row>
    <row r="29" spans="1:31">
      <c r="A29" s="39"/>
      <c r="B29" s="52"/>
      <c r="C29" s="45"/>
      <c r="D29" s="46"/>
      <c r="E29" s="41"/>
      <c r="F29" s="43"/>
      <c r="G29" s="43"/>
      <c r="H29" s="43"/>
      <c r="I29" s="7"/>
      <c r="J29" s="7"/>
      <c r="K29" s="36"/>
      <c r="L29" s="42"/>
      <c r="M29" s="42"/>
      <c r="N29" s="43"/>
      <c r="O29" s="44"/>
      <c r="P29" s="22"/>
      <c r="Q29" s="186"/>
      <c r="R29" s="133"/>
    </row>
    <row r="30" spans="1:31">
      <c r="A30" s="39"/>
      <c r="B30" s="52"/>
      <c r="C30" s="46"/>
      <c r="D30" s="46"/>
      <c r="E30" s="41"/>
      <c r="F30" s="43"/>
      <c r="G30" s="43"/>
      <c r="H30" s="43"/>
      <c r="I30" s="7"/>
      <c r="J30" s="7"/>
      <c r="K30" s="36"/>
      <c r="L30" s="42"/>
      <c r="M30" s="42"/>
      <c r="N30" s="43"/>
      <c r="O30" s="44"/>
      <c r="P30" s="22"/>
      <c r="Q30" s="186"/>
      <c r="R30" s="133"/>
    </row>
    <row r="31" spans="1:31">
      <c r="A31" s="39"/>
      <c r="B31" s="52"/>
      <c r="C31" s="45"/>
      <c r="D31" s="46"/>
      <c r="E31" s="41"/>
      <c r="F31" s="43"/>
      <c r="G31" s="43"/>
      <c r="H31" s="43"/>
      <c r="I31" s="7"/>
      <c r="J31" s="7"/>
      <c r="K31" s="36"/>
      <c r="L31" s="42"/>
      <c r="M31" s="42"/>
      <c r="N31" s="43"/>
      <c r="O31" s="44"/>
      <c r="P31" s="22"/>
      <c r="Q31" s="186"/>
      <c r="R31" s="133"/>
    </row>
    <row r="32" spans="1:31">
      <c r="A32" s="39"/>
      <c r="B32" s="52"/>
      <c r="C32" s="46"/>
      <c r="D32" s="46"/>
      <c r="E32" s="41"/>
      <c r="F32" s="43"/>
      <c r="G32" s="43"/>
      <c r="H32" s="43"/>
      <c r="I32" s="7"/>
      <c r="J32" s="7"/>
      <c r="K32" s="36"/>
      <c r="L32" s="42"/>
      <c r="M32" s="42"/>
      <c r="N32" s="43"/>
      <c r="O32" s="44"/>
      <c r="P32" s="22"/>
      <c r="Q32" s="186"/>
      <c r="R32" s="133"/>
    </row>
    <row r="33" spans="1:18">
      <c r="A33" s="39"/>
      <c r="B33" s="52"/>
      <c r="C33" s="46"/>
      <c r="D33" s="45"/>
      <c r="E33" s="46"/>
      <c r="F33" s="43"/>
      <c r="G33" s="43"/>
      <c r="H33" s="43"/>
      <c r="I33" s="7"/>
      <c r="J33" s="7"/>
      <c r="K33" s="36"/>
      <c r="L33" s="42"/>
      <c r="M33" s="42"/>
      <c r="N33" s="43"/>
      <c r="O33" s="44"/>
      <c r="P33" s="22"/>
      <c r="Q33" s="186"/>
      <c r="R33" s="133"/>
    </row>
    <row r="34" spans="1:18">
      <c r="A34" s="39"/>
      <c r="B34" s="52"/>
      <c r="C34" s="45"/>
      <c r="D34" s="46"/>
      <c r="E34" s="41"/>
      <c r="F34" s="43"/>
      <c r="G34" s="43"/>
      <c r="H34" s="43"/>
      <c r="I34" s="7"/>
      <c r="J34" s="7"/>
      <c r="K34" s="36"/>
      <c r="L34" s="42"/>
      <c r="M34" s="42"/>
      <c r="N34" s="43"/>
      <c r="O34" s="44"/>
      <c r="P34" s="22"/>
      <c r="Q34" s="186"/>
      <c r="R34" s="133"/>
    </row>
    <row r="35" spans="1:18">
      <c r="A35" s="39"/>
      <c r="B35" s="52"/>
      <c r="C35" s="45"/>
      <c r="D35" s="46"/>
      <c r="E35" s="41"/>
      <c r="F35" s="43"/>
      <c r="G35" s="43"/>
      <c r="H35" s="43"/>
      <c r="I35" s="7"/>
      <c r="J35" s="7"/>
      <c r="K35" s="36"/>
      <c r="L35" s="42"/>
      <c r="M35" s="42"/>
      <c r="N35" s="43"/>
      <c r="O35" s="44"/>
      <c r="P35" s="22"/>
      <c r="Q35" s="186"/>
      <c r="R35" s="133"/>
    </row>
    <row r="36" spans="1:18">
      <c r="A36" s="39"/>
      <c r="B36" s="52"/>
      <c r="C36" s="45"/>
      <c r="D36" s="46"/>
      <c r="E36" s="41"/>
      <c r="F36" s="43"/>
      <c r="G36" s="43"/>
      <c r="H36" s="43"/>
      <c r="I36" s="7"/>
      <c r="J36" s="7"/>
      <c r="K36" s="36"/>
      <c r="L36" s="42"/>
      <c r="M36" s="42"/>
      <c r="N36" s="43"/>
      <c r="O36" s="44"/>
      <c r="P36" s="22"/>
      <c r="Q36" s="186"/>
      <c r="R36" s="133"/>
    </row>
    <row r="37" spans="1:18">
      <c r="A37" s="39"/>
      <c r="B37" s="52"/>
      <c r="C37" s="45"/>
      <c r="D37" s="46"/>
      <c r="E37" s="46"/>
      <c r="F37" s="43"/>
      <c r="G37" s="43"/>
      <c r="H37" s="43"/>
      <c r="I37" s="7"/>
      <c r="J37" s="7"/>
      <c r="K37" s="36"/>
      <c r="L37" s="42"/>
      <c r="M37" s="42"/>
      <c r="N37" s="43"/>
      <c r="O37" s="44"/>
      <c r="P37" s="22"/>
      <c r="Q37" s="186"/>
      <c r="R37" s="133"/>
    </row>
    <row r="38" spans="1:18">
      <c r="A38" s="39"/>
      <c r="B38" s="52"/>
      <c r="C38" s="76"/>
      <c r="D38" s="46"/>
      <c r="E38" s="46"/>
      <c r="G38" s="43"/>
      <c r="H38" s="43"/>
      <c r="I38" s="7"/>
      <c r="J38" s="7"/>
      <c r="K38" s="36"/>
      <c r="L38" s="42"/>
      <c r="M38" s="42"/>
      <c r="N38" s="43"/>
      <c r="O38" s="44"/>
      <c r="P38" s="22"/>
      <c r="Q38" s="186"/>
      <c r="R38" s="133"/>
    </row>
    <row r="39" spans="1:18">
      <c r="A39" s="39"/>
      <c r="B39" s="52"/>
      <c r="C39" s="76"/>
      <c r="D39" s="46"/>
      <c r="E39" s="46"/>
      <c r="F39" s="43"/>
      <c r="G39" s="43"/>
      <c r="H39" s="43"/>
      <c r="I39" s="7"/>
      <c r="J39" s="7"/>
      <c r="K39" s="36"/>
      <c r="L39" s="42"/>
      <c r="M39" s="42"/>
      <c r="N39" s="43"/>
      <c r="O39" s="44"/>
      <c r="P39" s="22"/>
      <c r="Q39" s="186"/>
      <c r="R39" s="133"/>
    </row>
    <row r="40" spans="1:18">
      <c r="A40" s="39"/>
      <c r="B40" s="52"/>
      <c r="C40" s="45"/>
      <c r="D40" s="46"/>
      <c r="E40" s="46"/>
      <c r="F40" s="43"/>
      <c r="G40" s="43"/>
      <c r="H40" s="43"/>
      <c r="I40" s="7"/>
      <c r="J40" s="7"/>
      <c r="K40" s="36"/>
      <c r="L40" s="42"/>
      <c r="M40" s="42"/>
      <c r="N40" s="43"/>
      <c r="O40" s="44"/>
      <c r="P40" s="22"/>
      <c r="Q40" s="186"/>
      <c r="R40" s="133"/>
    </row>
    <row r="41" spans="1:18">
      <c r="A41" s="39"/>
      <c r="B41" s="52"/>
      <c r="C41" s="45"/>
      <c r="D41" s="46"/>
      <c r="E41" s="46"/>
      <c r="F41" s="43"/>
      <c r="G41" s="43"/>
      <c r="H41" s="43"/>
      <c r="I41" s="44"/>
      <c r="J41" s="7"/>
      <c r="K41" s="53"/>
      <c r="L41" s="42"/>
      <c r="M41" s="42"/>
      <c r="N41" s="43"/>
      <c r="O41" s="44"/>
      <c r="P41" s="22"/>
      <c r="Q41" s="186"/>
      <c r="R41" s="133"/>
    </row>
    <row r="42" spans="1:18">
      <c r="A42" s="39"/>
      <c r="B42" s="52"/>
      <c r="C42" s="45"/>
      <c r="D42" s="46"/>
      <c r="E42" s="46"/>
      <c r="F42" s="43"/>
      <c r="G42" s="43"/>
      <c r="H42" s="43"/>
      <c r="I42" s="44"/>
      <c r="J42" s="7"/>
      <c r="K42" s="53"/>
      <c r="L42" s="42"/>
      <c r="M42" s="42"/>
      <c r="N42" s="43"/>
      <c r="O42" s="44"/>
      <c r="P42" s="22"/>
      <c r="Q42" s="186"/>
      <c r="R42" s="133"/>
    </row>
    <row r="43" spans="1:18">
      <c r="A43" s="39"/>
      <c r="B43" s="52"/>
      <c r="C43" s="45"/>
      <c r="D43" s="46"/>
      <c r="E43" s="46"/>
      <c r="F43" s="43"/>
      <c r="G43" s="43"/>
      <c r="H43" s="43"/>
      <c r="I43" s="44"/>
      <c r="J43" s="7"/>
      <c r="K43" s="77"/>
      <c r="L43" s="42"/>
      <c r="M43" s="42"/>
      <c r="N43" s="43"/>
      <c r="O43" s="44"/>
      <c r="P43" s="22"/>
      <c r="Q43" s="186"/>
      <c r="R43" s="133"/>
    </row>
    <row r="44" spans="1:18">
      <c r="A44" s="39"/>
      <c r="B44" s="52"/>
      <c r="C44" s="45"/>
      <c r="D44" s="46"/>
      <c r="E44" s="46"/>
      <c r="F44" s="43"/>
      <c r="G44" s="43"/>
      <c r="H44" s="43"/>
      <c r="I44" s="44"/>
      <c r="J44" s="7"/>
      <c r="K44" s="53"/>
      <c r="L44" s="42"/>
      <c r="M44" s="42"/>
      <c r="N44" s="43"/>
      <c r="O44" s="44"/>
      <c r="P44" s="22"/>
      <c r="Q44" s="186"/>
      <c r="R44" s="133"/>
    </row>
    <row r="45" spans="1:18">
      <c r="A45" s="39"/>
      <c r="B45" s="52"/>
      <c r="C45" s="45"/>
      <c r="D45" s="46"/>
      <c r="E45" s="46"/>
      <c r="F45" s="43"/>
      <c r="G45" s="43"/>
      <c r="H45" s="43"/>
      <c r="I45" s="44"/>
      <c r="J45" s="44"/>
      <c r="K45" s="53"/>
      <c r="L45" s="42"/>
      <c r="M45" s="42"/>
      <c r="N45" s="43"/>
      <c r="O45" s="44"/>
      <c r="P45" s="43"/>
      <c r="Q45" s="186"/>
      <c r="R45" s="133"/>
    </row>
    <row r="46" spans="1:18">
      <c r="A46" s="39"/>
      <c r="B46" s="52"/>
      <c r="C46" s="45"/>
      <c r="D46" s="46"/>
      <c r="E46" s="41"/>
      <c r="F46" s="43"/>
      <c r="G46" s="43"/>
      <c r="H46" s="43"/>
      <c r="I46" s="43"/>
      <c r="J46" s="44"/>
      <c r="K46" s="74"/>
      <c r="L46" s="42"/>
      <c r="M46" s="42"/>
      <c r="N46" s="43"/>
      <c r="O46" s="44"/>
      <c r="P46" s="43"/>
      <c r="Q46" s="186"/>
      <c r="R46" s="133"/>
    </row>
    <row r="47" spans="1:18">
      <c r="A47" s="39"/>
      <c r="B47" s="52"/>
      <c r="C47" s="45"/>
      <c r="D47" s="46"/>
      <c r="E47" s="41"/>
      <c r="F47" s="43"/>
      <c r="G47" s="43"/>
      <c r="H47" s="43"/>
      <c r="I47" s="43"/>
      <c r="J47" s="44"/>
      <c r="K47" s="74"/>
      <c r="L47" s="42"/>
      <c r="M47" s="42"/>
      <c r="N47" s="43"/>
      <c r="O47" s="44"/>
      <c r="P47" s="43"/>
      <c r="Q47" s="186"/>
      <c r="R47" s="133"/>
    </row>
    <row r="48" spans="1:18">
      <c r="A48" s="39"/>
      <c r="B48" s="52"/>
      <c r="C48" s="45"/>
      <c r="D48" s="46"/>
      <c r="E48" s="41"/>
      <c r="F48" s="43"/>
      <c r="G48" s="43"/>
      <c r="H48" s="43"/>
      <c r="I48" s="43"/>
      <c r="J48" s="44"/>
      <c r="K48" s="74"/>
      <c r="L48" s="42"/>
      <c r="M48" s="42"/>
      <c r="N48" s="43"/>
      <c r="O48" s="44"/>
      <c r="P48" s="43"/>
      <c r="Q48" s="186"/>
      <c r="R48" s="133"/>
    </row>
    <row r="49" spans="1:21">
      <c r="A49" s="39"/>
      <c r="B49" s="52"/>
      <c r="C49" s="45"/>
      <c r="D49" s="46"/>
      <c r="E49" s="41"/>
      <c r="F49" s="43"/>
      <c r="G49" s="43"/>
      <c r="H49" s="43"/>
      <c r="I49" s="43"/>
      <c r="J49" s="44"/>
      <c r="K49" s="74"/>
      <c r="L49" s="42"/>
      <c r="M49" s="42"/>
      <c r="N49" s="43"/>
      <c r="O49" s="44"/>
      <c r="P49" s="43"/>
      <c r="Q49" s="186"/>
      <c r="R49" s="133"/>
    </row>
    <row r="50" spans="1:21">
      <c r="A50" s="39"/>
      <c r="B50" s="52"/>
      <c r="C50" s="45"/>
      <c r="D50" s="46"/>
      <c r="E50" s="41"/>
      <c r="F50" s="43"/>
      <c r="G50" s="43"/>
      <c r="H50" s="43"/>
      <c r="I50" s="43"/>
      <c r="J50" s="44"/>
      <c r="K50" s="74"/>
      <c r="L50" s="42"/>
      <c r="M50" s="42"/>
      <c r="N50" s="43"/>
      <c r="O50" s="44"/>
      <c r="P50" s="43"/>
      <c r="Q50" s="186"/>
      <c r="R50" s="133"/>
    </row>
    <row r="51" spans="1:21">
      <c r="A51" s="39">
        <v>40</v>
      </c>
      <c r="B51" s="52"/>
      <c r="C51" s="45"/>
      <c r="D51" s="46"/>
      <c r="E51" s="41"/>
      <c r="F51" s="43"/>
      <c r="G51" s="43"/>
      <c r="H51" s="43"/>
      <c r="I51" s="43"/>
      <c r="J51" s="44"/>
      <c r="K51" s="74"/>
      <c r="L51" s="42"/>
      <c r="M51" s="42"/>
      <c r="N51" s="43"/>
      <c r="O51" s="44"/>
      <c r="P51" s="43"/>
      <c r="Q51" s="186"/>
      <c r="R51" s="133"/>
    </row>
    <row r="52" spans="1:21">
      <c r="A52" s="39">
        <v>41</v>
      </c>
      <c r="B52" s="13"/>
      <c r="C52" s="4"/>
      <c r="D52" s="56"/>
      <c r="E52" s="4"/>
      <c r="F52" s="51"/>
      <c r="G52" s="51"/>
      <c r="H52" s="51"/>
      <c r="I52" s="51"/>
      <c r="J52" s="51"/>
      <c r="K52" s="4"/>
      <c r="L52" s="4"/>
      <c r="M52" s="4"/>
      <c r="N52" s="4"/>
      <c r="O52" s="4"/>
      <c r="P52" s="4"/>
      <c r="Q52" s="100"/>
    </row>
    <row r="53" spans="1:21">
      <c r="A53" s="39">
        <v>42</v>
      </c>
      <c r="U53" s="178">
        <f>SUM(U2:U52)</f>
        <v>100</v>
      </c>
    </row>
    <row r="54" spans="1:21">
      <c r="A54" s="39">
        <v>43</v>
      </c>
    </row>
    <row r="55" spans="1:21">
      <c r="A55" s="39">
        <v>44</v>
      </c>
    </row>
    <row r="56" spans="1:21">
      <c r="A56" s="39">
        <v>45</v>
      </c>
    </row>
    <row r="57" spans="1:21">
      <c r="A57" s="39">
        <v>46</v>
      </c>
    </row>
    <row r="58" spans="1:21">
      <c r="A58" s="39">
        <v>47</v>
      </c>
      <c r="N58" s="14"/>
    </row>
    <row r="59" spans="1:21">
      <c r="A59" s="39">
        <v>48</v>
      </c>
    </row>
    <row r="60" spans="1:21">
      <c r="A60" s="39">
        <v>49</v>
      </c>
    </row>
    <row r="62" spans="1:21"/>
  </sheetData>
  <dataValidations count="1">
    <dataValidation type="list" allowBlank="1" showInputMessage="1" showErrorMessage="1" sqref="O1:O9 O11:O51" xr:uid="{E7699CA6-564C-4463-9EA4-5514260DCB73}">
      <formula1>$W$2:$W$10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9836-713B-4417-BBA4-AF33CF5485DE}">
  <dimension ref="A1:W61"/>
  <sheetViews>
    <sheetView topLeftCell="E22" workbookViewId="0">
      <selection activeCell="L26" sqref="L26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13.7109375" style="57" customWidth="1"/>
    <col min="4" max="4" width="24.28515625" style="57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1.42578125" bestFit="1" customWidth="1"/>
    <col min="14" max="14" width="10.28515625" customWidth="1"/>
    <col min="15" max="16" width="14.28515625" customWidth="1"/>
    <col min="17" max="17" width="25.85546875" customWidth="1"/>
    <col min="18" max="18" width="24.7109375" bestFit="1" customWidth="1"/>
    <col min="23" max="23" width="23.7109375" bestFit="1" customWidth="1"/>
  </cols>
  <sheetData>
    <row r="1" spans="1:23" ht="30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382"/>
      <c r="Q1" s="3" t="s">
        <v>164</v>
      </c>
      <c r="R1" s="3" t="s">
        <v>2692</v>
      </c>
      <c r="S1" s="18" t="s">
        <v>3886</v>
      </c>
    </row>
    <row r="2" spans="1:23" s="174" customFormat="1" ht="38.450000000000003" customHeight="1">
      <c r="A2" s="18">
        <v>1</v>
      </c>
      <c r="B2" s="18" t="s">
        <v>211</v>
      </c>
      <c r="C2" s="391" t="s">
        <v>3962</v>
      </c>
      <c r="D2" s="392" t="s">
        <v>3963</v>
      </c>
      <c r="E2" s="393" t="s">
        <v>3964</v>
      </c>
      <c r="F2" s="284">
        <v>9943975770</v>
      </c>
      <c r="G2" s="284" t="s">
        <v>3965</v>
      </c>
      <c r="H2" s="18" t="s">
        <v>348</v>
      </c>
      <c r="I2" s="18" t="s">
        <v>3966</v>
      </c>
      <c r="J2" s="18" t="s">
        <v>3967</v>
      </c>
      <c r="K2" s="321">
        <v>9266826157</v>
      </c>
      <c r="L2" s="322">
        <v>45661</v>
      </c>
      <c r="M2" s="322">
        <v>46056</v>
      </c>
      <c r="N2" s="18">
        <v>11</v>
      </c>
      <c r="O2" s="18" t="s">
        <v>176</v>
      </c>
      <c r="P2" s="113"/>
      <c r="Q2" s="394" t="s">
        <v>3968</v>
      </c>
      <c r="R2" s="395" t="s">
        <v>243</v>
      </c>
      <c r="T2" s="174">
        <v>100</v>
      </c>
    </row>
    <row r="3" spans="1:23" ht="55.5">
      <c r="A3" s="23">
        <v>2</v>
      </c>
      <c r="B3" s="24" t="s">
        <v>227</v>
      </c>
      <c r="C3" s="7" t="s">
        <v>3969</v>
      </c>
      <c r="D3" s="7" t="s">
        <v>3970</v>
      </c>
      <c r="E3" s="25" t="s">
        <v>3971</v>
      </c>
      <c r="F3" s="22">
        <v>9740387775</v>
      </c>
      <c r="G3" s="48" t="s">
        <v>3972</v>
      </c>
      <c r="H3" s="7" t="s">
        <v>416</v>
      </c>
      <c r="I3" s="7" t="s">
        <v>3966</v>
      </c>
      <c r="J3" s="7" t="s">
        <v>3967</v>
      </c>
      <c r="K3" s="81">
        <v>9266826157</v>
      </c>
      <c r="L3" s="27">
        <v>45733</v>
      </c>
      <c r="M3" s="27"/>
      <c r="N3" s="22">
        <v>11</v>
      </c>
      <c r="O3" s="7" t="s">
        <v>176</v>
      </c>
      <c r="P3" s="97"/>
      <c r="Q3" s="9" t="s">
        <v>2701</v>
      </c>
      <c r="R3" s="9"/>
      <c r="T3">
        <v>100</v>
      </c>
    </row>
    <row r="4" spans="1:23" ht="44.25">
      <c r="A4" s="23">
        <v>3</v>
      </c>
      <c r="B4" s="24" t="s">
        <v>227</v>
      </c>
      <c r="C4" s="7" t="s">
        <v>3973</v>
      </c>
      <c r="D4" s="7" t="s">
        <v>3974</v>
      </c>
      <c r="E4" s="25" t="s">
        <v>3975</v>
      </c>
      <c r="F4" s="22"/>
      <c r="G4" s="22"/>
      <c r="H4" s="22" t="s">
        <v>290</v>
      </c>
      <c r="I4" s="7" t="s">
        <v>3966</v>
      </c>
      <c r="J4" s="7" t="s">
        <v>3967</v>
      </c>
      <c r="K4" s="81">
        <v>9266826157</v>
      </c>
      <c r="L4" s="27">
        <v>45759</v>
      </c>
      <c r="M4" s="27"/>
      <c r="N4" s="22">
        <v>12</v>
      </c>
      <c r="O4" s="44" t="s">
        <v>203</v>
      </c>
      <c r="P4" s="186"/>
      <c r="Q4" s="9" t="s">
        <v>3976</v>
      </c>
      <c r="R4" s="9"/>
    </row>
    <row r="5" spans="1:23" s="239" customFormat="1" ht="55.5">
      <c r="A5" s="342">
        <v>4</v>
      </c>
      <c r="B5" s="283" t="s">
        <v>227</v>
      </c>
      <c r="C5" s="18" t="s">
        <v>3977</v>
      </c>
      <c r="D5" s="18" t="s">
        <v>3978</v>
      </c>
      <c r="E5" s="343" t="s">
        <v>3979</v>
      </c>
      <c r="F5" s="218">
        <v>9542565609</v>
      </c>
      <c r="G5" s="218" t="s">
        <v>3980</v>
      </c>
      <c r="H5" s="218" t="s">
        <v>3981</v>
      </c>
      <c r="I5" s="218" t="s">
        <v>3982</v>
      </c>
      <c r="J5" s="18" t="s">
        <v>3967</v>
      </c>
      <c r="K5" s="321">
        <v>9266826157</v>
      </c>
      <c r="L5" s="275">
        <v>45798</v>
      </c>
      <c r="M5" s="275"/>
      <c r="N5" s="218">
        <v>11</v>
      </c>
      <c r="O5" s="18" t="s">
        <v>176</v>
      </c>
      <c r="P5" s="276"/>
      <c r="Q5" s="221" t="s">
        <v>3983</v>
      </c>
      <c r="R5" s="221" t="s">
        <v>243</v>
      </c>
    </row>
    <row r="6" spans="1:23" ht="55.5">
      <c r="A6" s="23">
        <v>5</v>
      </c>
      <c r="B6" s="24"/>
      <c r="C6" s="7"/>
      <c r="D6" s="31" t="s">
        <v>3984</v>
      </c>
      <c r="E6" s="25" t="s">
        <v>3985</v>
      </c>
      <c r="F6" s="10">
        <v>9820844412</v>
      </c>
      <c r="G6" s="10" t="s">
        <v>1368</v>
      </c>
      <c r="H6" s="10" t="s">
        <v>3986</v>
      </c>
      <c r="I6" s="22" t="s">
        <v>3982</v>
      </c>
      <c r="J6" s="7" t="s">
        <v>3967</v>
      </c>
      <c r="K6" s="81">
        <v>9266826157</v>
      </c>
      <c r="L6" s="27">
        <v>45828</v>
      </c>
      <c r="M6" s="27"/>
      <c r="N6" s="22">
        <v>11</v>
      </c>
      <c r="O6" s="7" t="s">
        <v>176</v>
      </c>
      <c r="P6" s="97"/>
      <c r="Q6" s="9" t="s">
        <v>3987</v>
      </c>
      <c r="R6" s="9"/>
      <c r="W6" s="16"/>
    </row>
    <row r="7" spans="1:23" ht="76.5">
      <c r="A7" s="22">
        <v>6</v>
      </c>
      <c r="B7" s="22"/>
      <c r="C7" s="7"/>
      <c r="D7" s="15" t="s">
        <v>3988</v>
      </c>
      <c r="E7" s="31" t="s">
        <v>3989</v>
      </c>
      <c r="F7" s="22">
        <v>8962110250</v>
      </c>
      <c r="G7" s="22" t="s">
        <v>3990</v>
      </c>
      <c r="H7" s="22" t="s">
        <v>3991</v>
      </c>
      <c r="I7" s="22" t="s">
        <v>3982</v>
      </c>
      <c r="J7" s="7" t="s">
        <v>3967</v>
      </c>
      <c r="K7" s="81">
        <v>9266826157</v>
      </c>
      <c r="L7" s="27">
        <v>45833</v>
      </c>
      <c r="M7" s="27"/>
      <c r="N7" s="22">
        <v>11</v>
      </c>
      <c r="O7" s="7" t="s">
        <v>176</v>
      </c>
      <c r="P7" s="97"/>
      <c r="Q7" s="30" t="s">
        <v>3992</v>
      </c>
      <c r="R7" s="30"/>
    </row>
    <row r="8" spans="1:23" ht="106.5">
      <c r="A8" s="22">
        <v>7</v>
      </c>
      <c r="B8" s="22"/>
      <c r="C8" s="7"/>
      <c r="D8" s="15" t="s">
        <v>3993</v>
      </c>
      <c r="E8" s="33" t="s">
        <v>3994</v>
      </c>
      <c r="F8" s="22">
        <v>7204972213</v>
      </c>
      <c r="G8" s="22" t="s">
        <v>3995</v>
      </c>
      <c r="H8" s="22" t="s">
        <v>268</v>
      </c>
      <c r="I8" s="22" t="s">
        <v>3982</v>
      </c>
      <c r="J8" s="7" t="s">
        <v>3967</v>
      </c>
      <c r="K8" s="81">
        <v>9266826157</v>
      </c>
      <c r="L8" s="27">
        <v>45832</v>
      </c>
      <c r="M8" s="27"/>
      <c r="N8" s="22">
        <v>11</v>
      </c>
      <c r="O8" s="44" t="s">
        <v>195</v>
      </c>
      <c r="P8" s="186"/>
      <c r="Q8" s="9" t="s">
        <v>3996</v>
      </c>
      <c r="R8" s="9"/>
    </row>
    <row r="9" spans="1:23" ht="91.5">
      <c r="A9" s="22">
        <v>8</v>
      </c>
      <c r="B9" s="22"/>
      <c r="C9" s="7"/>
      <c r="D9" s="7" t="s">
        <v>3997</v>
      </c>
      <c r="E9" s="32" t="s">
        <v>3998</v>
      </c>
      <c r="F9" s="49">
        <v>6202159166</v>
      </c>
      <c r="G9" s="7" t="s">
        <v>3999</v>
      </c>
      <c r="H9" s="22" t="s">
        <v>268</v>
      </c>
      <c r="I9" s="22" t="s">
        <v>3982</v>
      </c>
      <c r="J9" s="7" t="s">
        <v>3967</v>
      </c>
      <c r="K9" s="81">
        <v>9266826157</v>
      </c>
      <c r="L9" s="27">
        <v>45842</v>
      </c>
      <c r="M9" s="27"/>
      <c r="N9" s="22">
        <v>11</v>
      </c>
      <c r="O9" s="7" t="s">
        <v>176</v>
      </c>
      <c r="P9" s="97"/>
      <c r="Q9" s="35" t="s">
        <v>4000</v>
      </c>
      <c r="R9" s="35"/>
    </row>
    <row r="10" spans="1:23" ht="45.75">
      <c r="A10" s="22">
        <v>9</v>
      </c>
      <c r="B10" s="22" t="s">
        <v>227</v>
      </c>
      <c r="C10" s="7" t="s">
        <v>4001</v>
      </c>
      <c r="D10" s="7" t="s">
        <v>4002</v>
      </c>
      <c r="E10" s="33" t="s">
        <v>4003</v>
      </c>
      <c r="F10" s="7">
        <v>9207080991</v>
      </c>
      <c r="G10" s="7" t="s">
        <v>4004</v>
      </c>
      <c r="H10" s="7" t="s">
        <v>202</v>
      </c>
      <c r="I10" s="7" t="s">
        <v>4005</v>
      </c>
      <c r="J10" s="7" t="s">
        <v>3967</v>
      </c>
      <c r="K10" s="81">
        <v>9266826157</v>
      </c>
      <c r="L10" s="27">
        <v>45882</v>
      </c>
      <c r="M10" s="27">
        <v>45851</v>
      </c>
      <c r="N10" s="22">
        <v>11</v>
      </c>
      <c r="O10" s="7" t="s">
        <v>176</v>
      </c>
      <c r="P10" s="97"/>
      <c r="Q10" s="35" t="s">
        <v>4006</v>
      </c>
      <c r="R10" s="35"/>
    </row>
    <row r="11" spans="1:23" s="174" customFormat="1" ht="45.75">
      <c r="A11" s="283"/>
      <c r="B11" s="218"/>
      <c r="C11" s="18"/>
      <c r="D11" s="18" t="s">
        <v>4007</v>
      </c>
      <c r="E11" s="273"/>
      <c r="F11" s="18"/>
      <c r="G11" s="18"/>
      <c r="H11" s="18"/>
      <c r="I11" s="18"/>
      <c r="J11" s="18"/>
      <c r="K11" s="321"/>
      <c r="L11" s="275">
        <v>45757</v>
      </c>
      <c r="M11" s="275">
        <v>46090</v>
      </c>
      <c r="N11" s="218">
        <v>11</v>
      </c>
      <c r="O11" s="18" t="s">
        <v>176</v>
      </c>
      <c r="P11" s="276"/>
      <c r="Q11" s="501"/>
      <c r="R11" s="501" t="s">
        <v>243</v>
      </c>
    </row>
    <row r="12" spans="1:23" s="239" customFormat="1" ht="45.75">
      <c r="A12" s="342">
        <v>10</v>
      </c>
      <c r="B12" s="218" t="s">
        <v>227</v>
      </c>
      <c r="C12" s="18" t="s">
        <v>4008</v>
      </c>
      <c r="D12" s="18" t="s">
        <v>4009</v>
      </c>
      <c r="E12" s="88" t="s">
        <v>4010</v>
      </c>
      <c r="F12" s="218">
        <v>7056131675</v>
      </c>
      <c r="G12" s="218" t="s">
        <v>4011</v>
      </c>
      <c r="H12" s="218" t="s">
        <v>261</v>
      </c>
      <c r="I12" s="18" t="s">
        <v>4005</v>
      </c>
      <c r="J12" s="18" t="s">
        <v>3967</v>
      </c>
      <c r="K12" s="321">
        <v>9266826157</v>
      </c>
      <c r="L12" s="275">
        <v>45939</v>
      </c>
      <c r="M12" s="275">
        <v>46274</v>
      </c>
      <c r="N12" s="218">
        <v>11</v>
      </c>
      <c r="O12" s="18" t="s">
        <v>176</v>
      </c>
      <c r="P12" s="276"/>
      <c r="Q12" s="221" t="s">
        <v>4012</v>
      </c>
      <c r="R12" s="220" t="s">
        <v>4013</v>
      </c>
      <c r="S12" s="221" t="s">
        <v>4014</v>
      </c>
    </row>
    <row r="13" spans="1:23" s="239" customFormat="1" ht="60.75">
      <c r="A13" s="342">
        <v>11</v>
      </c>
      <c r="B13" s="218" t="s">
        <v>227</v>
      </c>
      <c r="C13" s="18" t="s">
        <v>4015</v>
      </c>
      <c r="D13" s="18" t="s">
        <v>4016</v>
      </c>
      <c r="E13" s="88" t="s">
        <v>4017</v>
      </c>
      <c r="F13" s="218">
        <v>9900496316</v>
      </c>
      <c r="G13" s="218" t="s">
        <v>4018</v>
      </c>
      <c r="H13" s="218" t="s">
        <v>268</v>
      </c>
      <c r="I13" s="18" t="s">
        <v>4005</v>
      </c>
      <c r="J13" s="18" t="s">
        <v>3967</v>
      </c>
      <c r="K13" s="321">
        <v>9266826157</v>
      </c>
      <c r="L13" s="275">
        <v>45934</v>
      </c>
      <c r="M13" s="275">
        <v>46269</v>
      </c>
      <c r="N13" s="218">
        <v>11</v>
      </c>
      <c r="O13" s="18" t="s">
        <v>176</v>
      </c>
      <c r="P13" s="276"/>
      <c r="Q13" s="221" t="s">
        <v>4019</v>
      </c>
      <c r="R13" s="221" t="s">
        <v>243</v>
      </c>
    </row>
    <row r="14" spans="1:23" s="29" customFormat="1" ht="76.5">
      <c r="A14" s="23">
        <v>12</v>
      </c>
      <c r="B14" s="22" t="s">
        <v>227</v>
      </c>
      <c r="C14" s="7" t="s">
        <v>4020</v>
      </c>
      <c r="D14" s="7" t="s">
        <v>4021</v>
      </c>
      <c r="E14" s="31" t="s">
        <v>4022</v>
      </c>
      <c r="F14" s="22">
        <v>9986772113</v>
      </c>
      <c r="G14" s="22" t="s">
        <v>4023</v>
      </c>
      <c r="H14" s="22" t="s">
        <v>4024</v>
      </c>
      <c r="I14" s="7" t="s">
        <v>4005</v>
      </c>
      <c r="J14" s="7" t="s">
        <v>3967</v>
      </c>
      <c r="K14" s="81">
        <v>9266826157</v>
      </c>
      <c r="L14" s="27">
        <v>45966</v>
      </c>
      <c r="M14" s="27">
        <v>46300</v>
      </c>
      <c r="N14" s="22">
        <v>11</v>
      </c>
      <c r="O14" s="7" t="s">
        <v>176</v>
      </c>
      <c r="P14" s="97"/>
      <c r="Q14" s="9" t="s">
        <v>4025</v>
      </c>
      <c r="R14" s="9"/>
    </row>
    <row r="15" spans="1:23" s="29" customFormat="1" ht="60.75">
      <c r="A15" s="23">
        <v>13</v>
      </c>
      <c r="B15" s="22" t="s">
        <v>211</v>
      </c>
      <c r="C15" s="15" t="s">
        <v>4026</v>
      </c>
      <c r="D15" s="46" t="s">
        <v>4027</v>
      </c>
      <c r="E15" s="15" t="s">
        <v>4028</v>
      </c>
      <c r="F15" s="22">
        <v>9561677690</v>
      </c>
      <c r="G15" s="22"/>
      <c r="H15" s="22" t="s">
        <v>354</v>
      </c>
      <c r="I15" s="7" t="s">
        <v>4005</v>
      </c>
      <c r="J15" s="7" t="s">
        <v>3967</v>
      </c>
      <c r="K15" s="81">
        <v>9266826157</v>
      </c>
      <c r="L15" s="37">
        <v>45982</v>
      </c>
      <c r="M15" s="37">
        <v>46316</v>
      </c>
      <c r="N15" s="22">
        <v>11</v>
      </c>
      <c r="O15" s="44" t="s">
        <v>203</v>
      </c>
      <c r="P15" s="186"/>
      <c r="Q15" s="30" t="s">
        <v>4029</v>
      </c>
      <c r="R15" s="30"/>
    </row>
    <row r="16" spans="1:23" ht="45.75">
      <c r="A16" s="39">
        <v>14</v>
      </c>
      <c r="B16" s="22" t="s">
        <v>211</v>
      </c>
      <c r="C16" s="46" t="s">
        <v>4030</v>
      </c>
      <c r="D16" s="46" t="s">
        <v>4031</v>
      </c>
      <c r="E16" s="46"/>
      <c r="F16" s="43"/>
      <c r="G16" s="43"/>
      <c r="H16" s="44"/>
      <c r="I16" s="7"/>
      <c r="J16" s="7"/>
      <c r="K16" s="36"/>
      <c r="L16" s="42" t="s">
        <v>101</v>
      </c>
      <c r="M16" s="42" t="s">
        <v>2293</v>
      </c>
      <c r="N16" s="43">
        <v>11</v>
      </c>
      <c r="O16" s="44" t="s">
        <v>195</v>
      </c>
      <c r="P16" s="186"/>
      <c r="Q16" s="9" t="s">
        <v>4032</v>
      </c>
      <c r="R16" s="9"/>
    </row>
    <row r="17" spans="1:23" ht="45.75">
      <c r="A17" s="39">
        <v>15</v>
      </c>
      <c r="B17" s="22" t="s">
        <v>211</v>
      </c>
      <c r="C17" s="46" t="s">
        <v>4033</v>
      </c>
      <c r="D17" s="46" t="s">
        <v>4034</v>
      </c>
      <c r="E17" s="46" t="s">
        <v>4035</v>
      </c>
      <c r="F17" s="43">
        <v>9810851515</v>
      </c>
      <c r="G17" s="43"/>
      <c r="H17" s="44"/>
      <c r="I17" s="22"/>
      <c r="J17" s="7"/>
      <c r="K17" s="17"/>
      <c r="L17" s="42">
        <v>46358</v>
      </c>
      <c r="M17" s="42">
        <v>46692</v>
      </c>
      <c r="N17" s="43">
        <v>11</v>
      </c>
      <c r="O17" s="44" t="s">
        <v>195</v>
      </c>
      <c r="P17" s="186"/>
      <c r="Q17" s="9" t="s">
        <v>4036</v>
      </c>
      <c r="R17" s="9"/>
    </row>
    <row r="18" spans="1:23" ht="45.75">
      <c r="A18" s="39">
        <v>16</v>
      </c>
      <c r="B18" s="52" t="s">
        <v>4037</v>
      </c>
      <c r="C18" s="46" t="s">
        <v>4038</v>
      </c>
      <c r="D18" s="46" t="s">
        <v>4039</v>
      </c>
      <c r="E18" s="46"/>
      <c r="F18" s="43"/>
      <c r="G18" s="43"/>
      <c r="H18" s="44"/>
      <c r="I18" s="22"/>
      <c r="J18" s="7"/>
      <c r="K18" s="17"/>
      <c r="L18" s="42" t="s">
        <v>2330</v>
      </c>
      <c r="M18" s="42" t="s">
        <v>2331</v>
      </c>
      <c r="N18" s="43">
        <v>11</v>
      </c>
      <c r="O18" s="44" t="s">
        <v>195</v>
      </c>
      <c r="P18" s="186"/>
      <c r="Q18" s="9" t="s">
        <v>4040</v>
      </c>
      <c r="R18" s="9"/>
    </row>
    <row r="19" spans="1:23" ht="45.75">
      <c r="A19" s="39">
        <v>17</v>
      </c>
      <c r="B19" s="52" t="s">
        <v>4037</v>
      </c>
      <c r="C19" s="46" t="s">
        <v>4041</v>
      </c>
      <c r="D19" s="44" t="s">
        <v>4042</v>
      </c>
      <c r="E19" s="46"/>
      <c r="F19" s="43"/>
      <c r="G19" s="43"/>
      <c r="H19" s="44"/>
      <c r="I19" s="44"/>
      <c r="J19" s="44"/>
      <c r="K19" s="53"/>
      <c r="L19" s="42" t="s">
        <v>2330</v>
      </c>
      <c r="M19" s="42" t="s">
        <v>2331</v>
      </c>
      <c r="N19" s="43">
        <v>11</v>
      </c>
      <c r="O19" s="44" t="s">
        <v>195</v>
      </c>
      <c r="P19" s="186"/>
      <c r="Q19" s="30" t="s">
        <v>4043</v>
      </c>
      <c r="R19" s="30"/>
    </row>
    <row r="20" spans="1:23" ht="45.75">
      <c r="A20" s="39">
        <v>18</v>
      </c>
      <c r="B20" s="52" t="s">
        <v>4037</v>
      </c>
      <c r="C20" s="46" t="s">
        <v>4044</v>
      </c>
      <c r="D20" s="46" t="s">
        <v>4045</v>
      </c>
      <c r="E20" s="41"/>
      <c r="F20" s="45"/>
      <c r="G20" s="45"/>
      <c r="H20" s="43"/>
      <c r="I20" s="22"/>
      <c r="J20" s="7"/>
      <c r="K20" s="17"/>
      <c r="L20" s="42" t="s">
        <v>3731</v>
      </c>
      <c r="M20" s="42" t="s">
        <v>3732</v>
      </c>
      <c r="N20" s="43">
        <v>11</v>
      </c>
      <c r="O20" s="44" t="s">
        <v>195</v>
      </c>
      <c r="P20" s="186"/>
      <c r="Q20" s="54" t="s">
        <v>4046</v>
      </c>
      <c r="R20" s="54"/>
    </row>
    <row r="21" spans="1:23" ht="45.75">
      <c r="A21" s="39">
        <v>19</v>
      </c>
      <c r="B21" s="52" t="s">
        <v>4037</v>
      </c>
      <c r="C21" s="41" t="s">
        <v>4047</v>
      </c>
      <c r="D21" s="41" t="s">
        <v>4048</v>
      </c>
      <c r="E21" s="41"/>
      <c r="F21" s="50"/>
      <c r="G21" s="50"/>
      <c r="H21" s="43"/>
      <c r="I21" s="22"/>
      <c r="J21" s="7"/>
      <c r="K21" s="17"/>
      <c r="L21" s="42">
        <v>46116</v>
      </c>
      <c r="M21" s="42">
        <v>46449</v>
      </c>
      <c r="N21" s="43">
        <v>11</v>
      </c>
      <c r="O21" s="44" t="s">
        <v>195</v>
      </c>
      <c r="P21" s="186"/>
      <c r="Q21" s="54" t="s">
        <v>4049</v>
      </c>
      <c r="R21" s="54"/>
    </row>
    <row r="22" spans="1:23" s="378" customFormat="1" ht="45.75">
      <c r="A22" s="376">
        <v>20</v>
      </c>
      <c r="B22" s="52" t="s">
        <v>4037</v>
      </c>
      <c r="C22" s="310" t="s">
        <v>4050</v>
      </c>
      <c r="D22" s="310" t="s">
        <v>4051</v>
      </c>
      <c r="E22" s="311"/>
      <c r="F22" s="312"/>
      <c r="G22" s="312"/>
      <c r="H22" s="312"/>
      <c r="I22" s="315"/>
      <c r="J22" s="350"/>
      <c r="K22" s="313"/>
      <c r="L22" s="314" t="s">
        <v>4052</v>
      </c>
      <c r="M22" s="314" t="s">
        <v>4053</v>
      </c>
      <c r="N22" s="312">
        <v>11</v>
      </c>
      <c r="O22" s="7" t="s">
        <v>176</v>
      </c>
      <c r="P22" s="186"/>
      <c r="Q22" s="377" t="s">
        <v>4054</v>
      </c>
      <c r="R22" s="377"/>
    </row>
    <row r="23" spans="1:23" ht="55.5">
      <c r="A23" s="23">
        <v>21</v>
      </c>
      <c r="B23" s="24" t="s">
        <v>227</v>
      </c>
      <c r="C23" s="7" t="s">
        <v>3977</v>
      </c>
      <c r="D23" s="7" t="s">
        <v>3978</v>
      </c>
      <c r="E23" s="25" t="s">
        <v>3979</v>
      </c>
      <c r="F23" s="22">
        <v>9542565609</v>
      </c>
      <c r="G23" s="22" t="s">
        <v>3980</v>
      </c>
      <c r="H23" s="22" t="s">
        <v>3981</v>
      </c>
      <c r="I23" s="22" t="s">
        <v>3982</v>
      </c>
      <c r="J23" s="7" t="s">
        <v>3967</v>
      </c>
      <c r="K23" s="81">
        <v>9266826157</v>
      </c>
      <c r="L23" s="27" t="s">
        <v>3809</v>
      </c>
      <c r="M23" s="27" t="s">
        <v>3810</v>
      </c>
      <c r="N23" s="22">
        <v>11</v>
      </c>
      <c r="O23" s="7" t="s">
        <v>176</v>
      </c>
      <c r="P23" s="97"/>
      <c r="Q23" s="9" t="s">
        <v>4055</v>
      </c>
      <c r="R23" s="9" t="s">
        <v>243</v>
      </c>
      <c r="S23" s="29"/>
      <c r="T23" s="29"/>
      <c r="U23" s="29"/>
      <c r="V23" s="29"/>
      <c r="W23" s="29"/>
    </row>
    <row r="24" spans="1:23" ht="55.5">
      <c r="A24" s="7">
        <v>22</v>
      </c>
      <c r="B24" s="7" t="s">
        <v>211</v>
      </c>
      <c r="C24" s="79" t="s">
        <v>3962</v>
      </c>
      <c r="D24" s="19" t="s">
        <v>3963</v>
      </c>
      <c r="E24" s="80" t="s">
        <v>3964</v>
      </c>
      <c r="F24" s="21">
        <v>9943975770</v>
      </c>
      <c r="G24" s="21" t="s">
        <v>3965</v>
      </c>
      <c r="H24" s="7" t="s">
        <v>348</v>
      </c>
      <c r="I24" s="7" t="s">
        <v>3966</v>
      </c>
      <c r="J24" s="7" t="s">
        <v>3967</v>
      </c>
      <c r="K24" s="81">
        <v>9266826157</v>
      </c>
      <c r="L24" s="8">
        <v>45661</v>
      </c>
      <c r="M24" s="8">
        <v>46056</v>
      </c>
      <c r="N24" s="7">
        <v>11</v>
      </c>
      <c r="O24" s="7" t="s">
        <v>176</v>
      </c>
      <c r="P24" s="85"/>
      <c r="Q24" s="217" t="s">
        <v>4056</v>
      </c>
      <c r="R24" s="82" t="s">
        <v>243</v>
      </c>
      <c r="T24">
        <v>100</v>
      </c>
    </row>
    <row r="25" spans="1:23" ht="42.75" customHeight="1">
      <c r="A25" s="39">
        <v>23</v>
      </c>
      <c r="B25" s="7" t="s">
        <v>211</v>
      </c>
      <c r="C25" s="46"/>
      <c r="D25" s="46" t="s">
        <v>4057</v>
      </c>
      <c r="E25" s="41"/>
      <c r="F25" s="50"/>
      <c r="G25" s="50"/>
      <c r="H25" s="43"/>
      <c r="I25" s="7"/>
      <c r="J25" s="7"/>
      <c r="K25" s="36"/>
      <c r="L25" s="42" t="s">
        <v>4058</v>
      </c>
      <c r="M25" s="42" t="s">
        <v>4059</v>
      </c>
      <c r="N25" s="43">
        <v>11</v>
      </c>
      <c r="O25" s="57" t="s">
        <v>4060</v>
      </c>
      <c r="P25" s="186"/>
      <c r="Q25" s="54" t="s">
        <v>4061</v>
      </c>
      <c r="R25" s="54"/>
    </row>
    <row r="26" spans="1:23" ht="60.75">
      <c r="A26" s="23">
        <v>24</v>
      </c>
      <c r="B26" s="22" t="s">
        <v>227</v>
      </c>
      <c r="C26" s="7" t="s">
        <v>4015</v>
      </c>
      <c r="D26" s="7" t="s">
        <v>4016</v>
      </c>
      <c r="E26" s="31" t="s">
        <v>4017</v>
      </c>
      <c r="F26" s="22">
        <v>9900496316</v>
      </c>
      <c r="G26" s="22" t="s">
        <v>4018</v>
      </c>
      <c r="H26" s="22" t="s">
        <v>268</v>
      </c>
      <c r="I26" s="7" t="s">
        <v>4005</v>
      </c>
      <c r="J26" s="7" t="s">
        <v>3967</v>
      </c>
      <c r="K26" s="81">
        <v>9266826157</v>
      </c>
      <c r="L26" s="27">
        <v>46269</v>
      </c>
      <c r="M26" s="27">
        <v>46602</v>
      </c>
      <c r="N26" s="22">
        <v>11</v>
      </c>
      <c r="O26" s="7" t="s">
        <v>176</v>
      </c>
      <c r="P26" s="97"/>
      <c r="Q26" s="9" t="s">
        <v>4062</v>
      </c>
      <c r="R26" s="9" t="s">
        <v>243</v>
      </c>
      <c r="S26" s="29"/>
      <c r="T26" s="29"/>
      <c r="U26" s="29"/>
      <c r="V26" s="29"/>
      <c r="W26" s="29"/>
    </row>
    <row r="27" spans="1:23" ht="45.75">
      <c r="A27" s="39">
        <v>25</v>
      </c>
      <c r="B27" s="22" t="s">
        <v>227</v>
      </c>
      <c r="C27" s="46"/>
      <c r="D27" s="46" t="s">
        <v>4007</v>
      </c>
      <c r="E27" s="41"/>
      <c r="F27" s="43"/>
      <c r="G27" s="43"/>
      <c r="H27" s="43"/>
      <c r="I27" s="7"/>
      <c r="J27" s="7"/>
      <c r="K27" s="36"/>
      <c r="L27" s="42">
        <v>46090</v>
      </c>
      <c r="M27" s="42">
        <v>46426</v>
      </c>
      <c r="N27" s="43">
        <v>11</v>
      </c>
      <c r="O27" s="7" t="s">
        <v>176</v>
      </c>
      <c r="P27" s="186"/>
      <c r="Q27" s="54"/>
      <c r="R27" s="9" t="s">
        <v>243</v>
      </c>
    </row>
    <row r="28" spans="1:23">
      <c r="A28" s="39"/>
      <c r="B28" s="52"/>
      <c r="C28" s="46"/>
      <c r="D28" s="46"/>
      <c r="E28" s="41"/>
      <c r="F28" s="43"/>
      <c r="G28" s="43"/>
      <c r="H28" s="43"/>
      <c r="I28" s="7"/>
      <c r="J28" s="7"/>
      <c r="K28" s="36"/>
      <c r="L28" s="42"/>
      <c r="M28" s="42"/>
      <c r="N28" s="43"/>
      <c r="O28" s="44"/>
      <c r="P28" s="186"/>
      <c r="Q28" s="54"/>
      <c r="R28" s="54"/>
    </row>
    <row r="29" spans="1:23">
      <c r="A29" s="39"/>
      <c r="B29" s="52"/>
      <c r="C29" s="46"/>
      <c r="D29" s="46"/>
      <c r="E29" s="41"/>
      <c r="F29" s="43"/>
      <c r="G29" s="43"/>
      <c r="H29" s="43"/>
      <c r="I29" s="7"/>
      <c r="J29" s="7"/>
      <c r="K29" s="36"/>
      <c r="L29" s="42"/>
      <c r="M29" s="42"/>
      <c r="N29" s="43"/>
      <c r="O29" s="44"/>
      <c r="P29" s="186"/>
      <c r="Q29" s="54"/>
      <c r="R29" s="54"/>
    </row>
    <row r="30" spans="1:23">
      <c r="A30" s="39"/>
      <c r="B30" s="52"/>
      <c r="C30" s="46"/>
      <c r="D30" s="46"/>
      <c r="E30" s="41"/>
      <c r="F30" s="43"/>
      <c r="G30" s="43"/>
      <c r="H30" s="43"/>
      <c r="I30" s="7"/>
      <c r="J30" s="7"/>
      <c r="K30" s="36"/>
      <c r="L30" s="42"/>
      <c r="M30" s="42"/>
      <c r="N30" s="43"/>
      <c r="O30" s="44"/>
      <c r="P30" s="186"/>
      <c r="Q30" s="54"/>
      <c r="R30" s="54"/>
    </row>
    <row r="31" spans="1:23">
      <c r="A31" s="39"/>
      <c r="B31" s="52"/>
      <c r="C31" s="46"/>
      <c r="D31" s="46"/>
      <c r="E31" s="41"/>
      <c r="F31" s="43"/>
      <c r="G31" s="43"/>
      <c r="H31" s="43"/>
      <c r="I31" s="7"/>
      <c r="J31" s="7"/>
      <c r="K31" s="36"/>
      <c r="L31" s="42"/>
      <c r="M31" s="42"/>
      <c r="N31" s="43"/>
      <c r="O31" s="44"/>
      <c r="P31" s="186"/>
      <c r="Q31" s="54"/>
      <c r="R31" s="54"/>
    </row>
    <row r="32" spans="1:23">
      <c r="A32" s="39"/>
      <c r="B32" s="52"/>
      <c r="C32" s="46"/>
      <c r="D32" s="45"/>
      <c r="E32" s="46"/>
      <c r="F32" s="43"/>
      <c r="G32" s="43"/>
      <c r="H32" s="43"/>
      <c r="I32" s="7"/>
      <c r="J32" s="7"/>
      <c r="K32" s="36"/>
      <c r="L32" s="42"/>
      <c r="M32" s="42"/>
      <c r="N32" s="43"/>
      <c r="O32" s="44"/>
      <c r="P32" s="186"/>
      <c r="Q32" s="54"/>
      <c r="R32" s="54"/>
    </row>
    <row r="33" spans="1:18">
      <c r="A33" s="39"/>
      <c r="B33" s="52"/>
      <c r="C33" s="46"/>
      <c r="D33" s="46"/>
      <c r="E33" s="41"/>
      <c r="F33" s="43"/>
      <c r="G33" s="43"/>
      <c r="H33" s="43"/>
      <c r="I33" s="7"/>
      <c r="J33" s="7"/>
      <c r="K33" s="36"/>
      <c r="L33" s="42"/>
      <c r="M33" s="42"/>
      <c r="N33" s="43"/>
      <c r="O33" s="44"/>
      <c r="P33" s="186"/>
      <c r="Q33" s="54"/>
      <c r="R33" s="54"/>
    </row>
    <row r="34" spans="1:18">
      <c r="A34" s="39"/>
      <c r="B34" s="52"/>
      <c r="C34" s="46"/>
      <c r="D34" s="46"/>
      <c r="E34" s="41"/>
      <c r="F34" s="43"/>
      <c r="G34" s="43"/>
      <c r="H34" s="43"/>
      <c r="I34" s="7"/>
      <c r="J34" s="7"/>
      <c r="K34" s="36"/>
      <c r="L34" s="42"/>
      <c r="M34" s="42"/>
      <c r="N34" s="43"/>
      <c r="O34" s="44"/>
      <c r="P34" s="186"/>
      <c r="Q34" s="54"/>
      <c r="R34" s="54"/>
    </row>
    <row r="35" spans="1:18">
      <c r="A35" s="39"/>
      <c r="B35" s="52"/>
      <c r="C35" s="46"/>
      <c r="D35" s="46"/>
      <c r="E35" s="41"/>
      <c r="F35" s="43"/>
      <c r="G35" s="43"/>
      <c r="H35" s="43"/>
      <c r="I35" s="7"/>
      <c r="J35" s="7"/>
      <c r="K35" s="36"/>
      <c r="L35" s="42"/>
      <c r="M35" s="42"/>
      <c r="N35" s="43"/>
      <c r="O35" s="44"/>
      <c r="P35" s="186"/>
      <c r="Q35" s="54"/>
      <c r="R35" s="54"/>
    </row>
    <row r="36" spans="1:18">
      <c r="A36" s="39"/>
      <c r="B36" s="52"/>
      <c r="C36" s="46"/>
      <c r="D36" s="46"/>
      <c r="E36" s="46"/>
      <c r="F36" s="43"/>
      <c r="G36" s="43"/>
      <c r="H36" s="43"/>
      <c r="I36" s="7"/>
      <c r="J36" s="7"/>
      <c r="K36" s="36"/>
      <c r="L36" s="42"/>
      <c r="M36" s="42"/>
      <c r="N36" s="43"/>
      <c r="O36" s="44"/>
      <c r="P36" s="186"/>
      <c r="Q36" s="54"/>
      <c r="R36" s="54"/>
    </row>
    <row r="37" spans="1:18">
      <c r="A37" s="39"/>
      <c r="B37" s="52"/>
      <c r="C37" s="171"/>
      <c r="D37" s="46"/>
      <c r="E37" s="46"/>
      <c r="G37" s="43"/>
      <c r="H37" s="43"/>
      <c r="I37" s="7"/>
      <c r="J37" s="7"/>
      <c r="K37" s="36"/>
      <c r="L37" s="42"/>
      <c r="M37" s="42"/>
      <c r="N37" s="43"/>
      <c r="O37" s="44"/>
      <c r="P37" s="186"/>
      <c r="Q37" s="54"/>
      <c r="R37" s="54"/>
    </row>
    <row r="38" spans="1:18">
      <c r="A38" s="39"/>
      <c r="B38" s="52"/>
      <c r="C38" s="171"/>
      <c r="D38" s="46"/>
      <c r="E38" s="46"/>
      <c r="F38" s="43"/>
      <c r="G38" s="43"/>
      <c r="H38" s="43"/>
      <c r="I38" s="7"/>
      <c r="J38" s="7"/>
      <c r="K38" s="36"/>
      <c r="L38" s="42"/>
      <c r="M38" s="42"/>
      <c r="N38" s="43"/>
      <c r="O38" s="44"/>
      <c r="P38" s="186"/>
      <c r="Q38" s="54"/>
      <c r="R38" s="54"/>
    </row>
    <row r="39" spans="1:18">
      <c r="A39" s="39"/>
      <c r="B39" s="52"/>
      <c r="C39" s="46"/>
      <c r="D39" s="46"/>
      <c r="E39" s="46"/>
      <c r="F39" s="43"/>
      <c r="G39" s="43"/>
      <c r="H39" s="43"/>
      <c r="I39" s="7"/>
      <c r="J39" s="7"/>
      <c r="K39" s="36"/>
      <c r="L39" s="42"/>
      <c r="M39" s="42"/>
      <c r="N39" s="43"/>
      <c r="O39" s="44"/>
      <c r="P39" s="186"/>
      <c r="Q39" s="54"/>
      <c r="R39" s="54"/>
    </row>
    <row r="40" spans="1:18">
      <c r="A40" s="39"/>
      <c r="B40" s="52"/>
      <c r="C40" s="46"/>
      <c r="D40" s="46"/>
      <c r="E40" s="46"/>
      <c r="F40" s="43"/>
      <c r="G40" s="43"/>
      <c r="H40" s="43"/>
      <c r="I40" s="44"/>
      <c r="J40" s="7"/>
      <c r="K40" s="53"/>
      <c r="L40" s="42"/>
      <c r="M40" s="42"/>
      <c r="N40" s="43"/>
      <c r="O40" s="44"/>
      <c r="P40" s="186"/>
      <c r="Q40" s="54"/>
      <c r="R40" s="54"/>
    </row>
    <row r="41" spans="1:18">
      <c r="A41" s="39"/>
      <c r="B41" s="52"/>
      <c r="C41" s="46"/>
      <c r="D41" s="46"/>
      <c r="E41" s="46"/>
      <c r="F41" s="43"/>
      <c r="G41" s="43"/>
      <c r="H41" s="43"/>
      <c r="I41" s="44"/>
      <c r="J41" s="7"/>
      <c r="K41" s="53"/>
      <c r="L41" s="42"/>
      <c r="M41" s="42"/>
      <c r="N41" s="43"/>
      <c r="O41" s="44"/>
      <c r="P41" s="186"/>
      <c r="Q41" s="54"/>
      <c r="R41" s="54"/>
    </row>
    <row r="42" spans="1:18">
      <c r="A42" s="39"/>
      <c r="B42" s="52"/>
      <c r="C42" s="46"/>
      <c r="D42" s="46"/>
      <c r="E42" s="46"/>
      <c r="F42" s="43"/>
      <c r="G42" s="43"/>
      <c r="H42" s="43"/>
      <c r="I42" s="44"/>
      <c r="J42" s="7"/>
      <c r="K42" s="77"/>
      <c r="L42" s="42"/>
      <c r="M42" s="42"/>
      <c r="N42" s="43"/>
      <c r="O42" s="44"/>
      <c r="P42" s="186"/>
      <c r="Q42" s="54"/>
      <c r="R42" s="54"/>
    </row>
    <row r="43" spans="1:18">
      <c r="A43" s="39"/>
      <c r="B43" s="52"/>
      <c r="C43" s="46"/>
      <c r="D43" s="46"/>
      <c r="E43" s="46"/>
      <c r="F43" s="43"/>
      <c r="G43" s="43"/>
      <c r="H43" s="43"/>
      <c r="I43" s="44"/>
      <c r="J43" s="7"/>
      <c r="K43" s="53"/>
      <c r="L43" s="42"/>
      <c r="M43" s="42"/>
      <c r="N43" s="43"/>
      <c r="O43" s="44"/>
      <c r="P43" s="186"/>
      <c r="Q43" s="54"/>
      <c r="R43" s="54"/>
    </row>
    <row r="44" spans="1:18">
      <c r="A44" s="39"/>
      <c r="B44" s="52"/>
      <c r="C44" s="46"/>
      <c r="D44" s="46"/>
      <c r="E44" s="46"/>
      <c r="F44" s="43"/>
      <c r="G44" s="43"/>
      <c r="H44" s="43"/>
      <c r="I44" s="44"/>
      <c r="J44" s="44"/>
      <c r="K44" s="53"/>
      <c r="L44" s="42"/>
      <c r="M44" s="42"/>
      <c r="N44" s="43"/>
      <c r="O44" s="44"/>
      <c r="P44" s="186"/>
      <c r="Q44" s="54"/>
      <c r="R44" s="54"/>
    </row>
    <row r="45" spans="1:18">
      <c r="A45" s="39"/>
      <c r="B45" s="52"/>
      <c r="C45" s="46"/>
      <c r="D45" s="46"/>
      <c r="E45" s="41"/>
      <c r="F45" s="43"/>
      <c r="G45" s="43"/>
      <c r="H45" s="43"/>
      <c r="I45" s="43"/>
      <c r="J45" s="44"/>
      <c r="K45" s="74"/>
      <c r="L45" s="42"/>
      <c r="M45" s="42"/>
      <c r="N45" s="43"/>
      <c r="O45" s="44"/>
      <c r="P45" s="186"/>
      <c r="Q45" s="54"/>
      <c r="R45" s="54"/>
    </row>
    <row r="46" spans="1:18">
      <c r="A46" s="39"/>
      <c r="B46" s="52"/>
      <c r="C46" s="46"/>
      <c r="D46" s="46"/>
      <c r="E46" s="41"/>
      <c r="F46" s="43"/>
      <c r="G46" s="43"/>
      <c r="H46" s="43"/>
      <c r="I46" s="43"/>
      <c r="J46" s="44"/>
      <c r="K46" s="74"/>
      <c r="L46" s="42"/>
      <c r="M46" s="42"/>
      <c r="N46" s="43"/>
      <c r="O46" s="44"/>
      <c r="P46" s="186"/>
      <c r="Q46" s="54"/>
      <c r="R46" s="54"/>
    </row>
    <row r="47" spans="1:18">
      <c r="A47" s="39"/>
      <c r="B47" s="52"/>
      <c r="C47" s="46"/>
      <c r="D47" s="46"/>
      <c r="E47" s="41"/>
      <c r="F47" s="43"/>
      <c r="G47" s="43"/>
      <c r="H47" s="43"/>
      <c r="I47" s="43"/>
      <c r="J47" s="44"/>
      <c r="K47" s="74"/>
      <c r="L47" s="42"/>
      <c r="M47" s="42"/>
      <c r="N47" s="43"/>
      <c r="O47" s="44"/>
      <c r="P47" s="186"/>
      <c r="Q47" s="54"/>
      <c r="R47" s="54"/>
    </row>
    <row r="48" spans="1:18">
      <c r="A48" s="39"/>
      <c r="B48" s="52"/>
      <c r="C48" s="46"/>
      <c r="D48" s="46"/>
      <c r="E48" s="41"/>
      <c r="F48" s="43"/>
      <c r="G48" s="43"/>
      <c r="H48" s="43"/>
      <c r="I48" s="43"/>
      <c r="J48" s="44"/>
      <c r="K48" s="74"/>
      <c r="L48" s="42"/>
      <c r="M48" s="42"/>
      <c r="N48" s="43"/>
      <c r="O48" s="44"/>
      <c r="P48" s="186"/>
      <c r="Q48" s="54"/>
      <c r="R48" s="54"/>
    </row>
    <row r="49" spans="1:20">
      <c r="A49" s="39"/>
      <c r="B49" s="52"/>
      <c r="C49" s="46"/>
      <c r="D49" s="46"/>
      <c r="E49" s="41"/>
      <c r="F49" s="43"/>
      <c r="G49" s="43"/>
      <c r="H49" s="43"/>
      <c r="I49" s="43"/>
      <c r="J49" s="44"/>
      <c r="K49" s="74"/>
      <c r="L49" s="42"/>
      <c r="M49" s="42"/>
      <c r="N49" s="43"/>
      <c r="O49" s="44"/>
      <c r="P49" s="186"/>
      <c r="Q49" s="54"/>
      <c r="R49" s="54"/>
    </row>
    <row r="50" spans="1:20">
      <c r="A50" s="39">
        <v>40</v>
      </c>
      <c r="B50" s="52"/>
      <c r="C50" s="46"/>
      <c r="D50" s="46"/>
      <c r="E50" s="41"/>
      <c r="F50" s="43"/>
      <c r="G50" s="43"/>
      <c r="H50" s="43"/>
      <c r="I50" s="43"/>
      <c r="J50" s="44"/>
      <c r="K50" s="74"/>
      <c r="L50" s="42"/>
      <c r="M50" s="42"/>
      <c r="N50" s="43"/>
      <c r="O50" s="44"/>
      <c r="P50" s="186"/>
      <c r="Q50" s="54"/>
      <c r="R50" s="54"/>
    </row>
    <row r="51" spans="1:20">
      <c r="A51" s="39">
        <v>41</v>
      </c>
      <c r="B51" s="13"/>
      <c r="C51" s="56"/>
      <c r="D51" s="56"/>
      <c r="E51" s="4"/>
      <c r="F51" s="51"/>
      <c r="G51" s="51"/>
      <c r="H51" s="51"/>
      <c r="I51" s="51"/>
      <c r="J51" s="51"/>
      <c r="K51" s="4"/>
      <c r="L51" s="4"/>
      <c r="M51" s="4"/>
      <c r="N51" s="4"/>
      <c r="O51" s="4"/>
      <c r="P51" s="100"/>
      <c r="Q51" s="5"/>
      <c r="R51" s="5"/>
    </row>
    <row r="52" spans="1:20">
      <c r="A52" s="39">
        <v>42</v>
      </c>
      <c r="T52" s="47">
        <f>SUM(T2:T51)</f>
        <v>300</v>
      </c>
    </row>
    <row r="53" spans="1:20">
      <c r="A53" s="39">
        <v>43</v>
      </c>
    </row>
    <row r="54" spans="1:20">
      <c r="A54" s="39">
        <v>44</v>
      </c>
    </row>
    <row r="55" spans="1:20">
      <c r="A55" s="39">
        <v>45</v>
      </c>
    </row>
    <row r="56" spans="1:20">
      <c r="A56" s="39">
        <v>46</v>
      </c>
    </row>
    <row r="57" spans="1:20">
      <c r="A57" s="39">
        <v>47</v>
      </c>
      <c r="N57" s="14"/>
    </row>
    <row r="58" spans="1:20">
      <c r="A58" s="39">
        <v>48</v>
      </c>
    </row>
    <row r="59" spans="1:20">
      <c r="A59" s="39">
        <v>49</v>
      </c>
    </row>
    <row r="61" spans="1:20"/>
  </sheetData>
  <dataValidations count="2">
    <dataValidation type="list" allowBlank="1" showInputMessage="1" showErrorMessage="1" sqref="O5:P14 O1:P3 O16:P50" xr:uid="{F21BD842-43CA-4F3D-A247-A88AF0BBA2E9}">
      <formula1>$W$2:$W$9</formula1>
    </dataValidation>
    <dataValidation type="list" allowBlank="1" showInputMessage="1" showErrorMessage="1" sqref="O4:P4 O15:P15" xr:uid="{8DA87D38-E749-44B2-8734-D51CC3FA7ADE}">
      <formula1>$AA$2:$AA$9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A62B-9B6F-4384-A118-679CB00CBE32}">
  <dimension ref="A1:X223"/>
  <sheetViews>
    <sheetView workbookViewId="0">
      <pane xSplit="2" ySplit="1" topLeftCell="K216" activePane="bottomRight" state="frozen"/>
      <selection pane="bottomRight" activeCell="T219" sqref="T219"/>
      <selection pane="bottomLeft" activeCell="A9" sqref="A9"/>
      <selection pane="topRight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32.42578125" style="57" customWidth="1"/>
    <col min="5" max="5" width="32" customWidth="1"/>
    <col min="6" max="6" width="14.28515625" style="6" customWidth="1"/>
    <col min="7" max="7" width="14.85546875" style="6" customWidth="1"/>
    <col min="8" max="8" width="18.42578125" style="6" customWidth="1"/>
    <col min="9" max="9" width="18.7109375" style="6" customWidth="1"/>
    <col min="10" max="10" width="16.5703125" customWidth="1"/>
    <col min="11" max="12" width="11.42578125" bestFit="1" customWidth="1"/>
    <col min="13" max="14" width="10.28515625" style="6" customWidth="1"/>
    <col min="15" max="15" width="18.42578125" customWidth="1"/>
    <col min="16" max="16" width="10.28515625" customWidth="1"/>
    <col min="17" max="17" width="29.85546875" customWidth="1"/>
    <col min="18" max="18" width="33.85546875" customWidth="1"/>
    <col min="19" max="19" width="30.85546875" bestFit="1" customWidth="1"/>
    <col min="20" max="20" width="33.5703125" bestFit="1" customWidth="1"/>
    <col min="24" max="24" width="23.7109375" bestFit="1" customWidth="1"/>
  </cols>
  <sheetData>
    <row r="1" spans="1:24" ht="30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157</v>
      </c>
      <c r="J1" s="2" t="s">
        <v>158</v>
      </c>
      <c r="K1" s="2" t="s">
        <v>159</v>
      </c>
      <c r="L1" s="2" t="s">
        <v>160</v>
      </c>
      <c r="M1" s="2" t="s">
        <v>161</v>
      </c>
      <c r="N1" s="28"/>
      <c r="O1" s="28" t="s">
        <v>162</v>
      </c>
      <c r="P1" s="2"/>
      <c r="Q1" s="96" t="s">
        <v>164</v>
      </c>
      <c r="R1" s="131" t="s">
        <v>2692</v>
      </c>
      <c r="S1" s="161"/>
      <c r="T1" s="161"/>
    </row>
    <row r="2" spans="1:24" ht="38.450000000000003" customHeight="1">
      <c r="A2" s="7">
        <v>1</v>
      </c>
      <c r="B2" s="7" t="s">
        <v>227</v>
      </c>
      <c r="C2" s="79" t="s">
        <v>4063</v>
      </c>
      <c r="D2" s="55" t="s">
        <v>4064</v>
      </c>
      <c r="E2" s="80"/>
      <c r="F2" s="21">
        <v>9212029247</v>
      </c>
      <c r="G2" s="21"/>
      <c r="H2" s="7"/>
      <c r="I2" s="7" t="s">
        <v>1709</v>
      </c>
      <c r="J2" s="91">
        <v>8178581997</v>
      </c>
      <c r="K2" s="8">
        <v>45694</v>
      </c>
      <c r="L2" s="8">
        <v>46058</v>
      </c>
      <c r="M2" s="7">
        <v>12</v>
      </c>
      <c r="N2" s="44"/>
      <c r="O2" s="44" t="s">
        <v>195</v>
      </c>
      <c r="P2" s="7"/>
      <c r="Q2" s="84" t="s">
        <v>4065</v>
      </c>
      <c r="R2" s="193"/>
      <c r="S2" s="161"/>
      <c r="T2" s="161" t="s">
        <v>2701</v>
      </c>
    </row>
    <row r="3" spans="1:24" ht="45.75">
      <c r="A3" s="7">
        <v>2</v>
      </c>
      <c r="B3" s="7" t="s">
        <v>211</v>
      </c>
      <c r="C3" s="7" t="s">
        <v>4066</v>
      </c>
      <c r="D3" s="7" t="s">
        <v>4067</v>
      </c>
      <c r="E3" s="20"/>
      <c r="F3" s="21">
        <v>9819663075</v>
      </c>
      <c r="G3" s="21"/>
      <c r="H3" s="7"/>
      <c r="I3" s="7" t="s">
        <v>1709</v>
      </c>
      <c r="J3" s="91">
        <v>8178581997</v>
      </c>
      <c r="K3" s="8">
        <v>45694</v>
      </c>
      <c r="L3" s="8"/>
      <c r="M3" s="7">
        <v>12</v>
      </c>
      <c r="N3" s="44"/>
      <c r="O3" s="44" t="s">
        <v>195</v>
      </c>
      <c r="P3" s="7"/>
      <c r="Q3" s="97" t="s">
        <v>4068</v>
      </c>
      <c r="R3" s="133"/>
      <c r="S3" s="194" t="s">
        <v>4069</v>
      </c>
      <c r="T3" s="161" t="s">
        <v>2701</v>
      </c>
    </row>
    <row r="4" spans="1:24" ht="45.75">
      <c r="A4" s="7">
        <v>3</v>
      </c>
      <c r="B4" s="7" t="s">
        <v>227</v>
      </c>
      <c r="C4" s="7" t="s">
        <v>4070</v>
      </c>
      <c r="D4" s="7" t="s">
        <v>4071</v>
      </c>
      <c r="E4" s="25"/>
      <c r="F4" s="22">
        <v>7378211111</v>
      </c>
      <c r="G4" s="48"/>
      <c r="H4" s="7"/>
      <c r="I4" s="7" t="s">
        <v>1709</v>
      </c>
      <c r="J4" s="91">
        <v>8178581997</v>
      </c>
      <c r="K4" s="8">
        <v>45694</v>
      </c>
      <c r="L4" s="27"/>
      <c r="M4" s="22">
        <v>12</v>
      </c>
      <c r="N4" s="43"/>
      <c r="O4" s="44" t="s">
        <v>195</v>
      </c>
      <c r="P4" s="22"/>
      <c r="Q4" s="97" t="s">
        <v>4072</v>
      </c>
      <c r="R4" s="133"/>
      <c r="S4" s="179" t="s">
        <v>4073</v>
      </c>
      <c r="T4" s="179" t="s">
        <v>4073</v>
      </c>
      <c r="U4" s="179" t="s">
        <v>4073</v>
      </c>
    </row>
    <row r="5" spans="1:24" ht="55.5">
      <c r="A5" s="7">
        <v>4</v>
      </c>
      <c r="B5" s="7" t="s">
        <v>227</v>
      </c>
      <c r="C5" s="22" t="s">
        <v>4074</v>
      </c>
      <c r="D5" s="7" t="s">
        <v>4075</v>
      </c>
      <c r="E5" s="25" t="s">
        <v>4076</v>
      </c>
      <c r="F5" s="22">
        <v>8874522222</v>
      </c>
      <c r="G5" s="22" t="s">
        <v>4077</v>
      </c>
      <c r="H5" s="22" t="s">
        <v>241</v>
      </c>
      <c r="I5" s="7" t="s">
        <v>1709</v>
      </c>
      <c r="J5" s="91">
        <v>8178581997</v>
      </c>
      <c r="K5" s="27">
        <v>45696</v>
      </c>
      <c r="L5" s="27"/>
      <c r="M5" s="22">
        <v>12</v>
      </c>
      <c r="N5" s="43"/>
      <c r="O5" s="44" t="s">
        <v>195</v>
      </c>
      <c r="P5" s="22"/>
      <c r="Q5" s="97" t="s">
        <v>4078</v>
      </c>
      <c r="R5" s="133"/>
      <c r="S5" s="194" t="s">
        <v>4079</v>
      </c>
      <c r="T5" s="161" t="s">
        <v>2701</v>
      </c>
    </row>
    <row r="6" spans="1:24" s="29" customFormat="1" ht="45.75">
      <c r="A6" s="7">
        <v>5</v>
      </c>
      <c r="B6" s="7" t="s">
        <v>227</v>
      </c>
      <c r="C6" s="22" t="s">
        <v>4080</v>
      </c>
      <c r="D6" s="7" t="s">
        <v>4081</v>
      </c>
      <c r="E6" s="25"/>
      <c r="F6" s="22"/>
      <c r="G6" s="22"/>
      <c r="H6" s="22"/>
      <c r="I6" s="7" t="s">
        <v>1709</v>
      </c>
      <c r="J6" s="91">
        <v>8178581997</v>
      </c>
      <c r="K6" s="27">
        <v>45698</v>
      </c>
      <c r="L6" s="27"/>
      <c r="M6" s="22">
        <v>12</v>
      </c>
      <c r="N6" s="22"/>
      <c r="O6" s="7" t="s">
        <v>176</v>
      </c>
      <c r="P6" s="22"/>
      <c r="Q6" s="97" t="s">
        <v>4082</v>
      </c>
      <c r="R6" s="133"/>
      <c r="S6" s="179" t="s">
        <v>4073</v>
      </c>
      <c r="T6" s="179" t="s">
        <v>4073</v>
      </c>
      <c r="U6" s="179" t="s">
        <v>4073</v>
      </c>
      <c r="V6"/>
    </row>
    <row r="7" spans="1:24" s="174" customFormat="1" ht="45.75">
      <c r="A7" s="18">
        <v>6</v>
      </c>
      <c r="B7" s="18" t="s">
        <v>227</v>
      </c>
      <c r="C7" s="218" t="s">
        <v>4083</v>
      </c>
      <c r="D7" s="18" t="s">
        <v>4084</v>
      </c>
      <c r="E7" s="343" t="s">
        <v>4085</v>
      </c>
      <c r="F7" s="348" t="s">
        <v>4086</v>
      </c>
      <c r="G7" s="348" t="s">
        <v>4087</v>
      </c>
      <c r="H7" s="348" t="s">
        <v>202</v>
      </c>
      <c r="I7" s="18" t="s">
        <v>1709</v>
      </c>
      <c r="J7" s="274">
        <v>8178581997</v>
      </c>
      <c r="K7" s="275">
        <v>45699</v>
      </c>
      <c r="L7" s="275"/>
      <c r="M7" s="218">
        <v>12</v>
      </c>
      <c r="N7" s="218"/>
      <c r="O7" s="18" t="s">
        <v>176</v>
      </c>
      <c r="P7" s="218"/>
      <c r="Q7" s="276" t="s">
        <v>4088</v>
      </c>
      <c r="R7" s="131"/>
      <c r="S7" s="179" t="s">
        <v>4073</v>
      </c>
      <c r="T7" s="219" t="s">
        <v>2701</v>
      </c>
      <c r="X7" s="220"/>
    </row>
    <row r="8" spans="1:24" s="174" customFormat="1" ht="76.5">
      <c r="A8" s="7">
        <v>7</v>
      </c>
      <c r="B8" s="18" t="s">
        <v>227</v>
      </c>
      <c r="C8" s="218" t="s">
        <v>4089</v>
      </c>
      <c r="D8" s="18" t="s">
        <v>4090</v>
      </c>
      <c r="E8" s="88" t="s">
        <v>4091</v>
      </c>
      <c r="F8" s="218">
        <v>9606106666</v>
      </c>
      <c r="G8" s="218" t="s">
        <v>4092</v>
      </c>
      <c r="H8" s="218" t="s">
        <v>348</v>
      </c>
      <c r="I8" s="18" t="s">
        <v>1709</v>
      </c>
      <c r="J8" s="274">
        <v>8178581997</v>
      </c>
      <c r="K8" s="275">
        <v>45700</v>
      </c>
      <c r="L8" s="275"/>
      <c r="M8" s="218">
        <v>12</v>
      </c>
      <c r="N8" s="218"/>
      <c r="O8" s="18" t="s">
        <v>176</v>
      </c>
      <c r="P8" s="218"/>
      <c r="Q8" s="276" t="s">
        <v>4093</v>
      </c>
      <c r="R8" s="131"/>
      <c r="S8" s="179" t="s">
        <v>4073</v>
      </c>
      <c r="T8" s="179" t="s">
        <v>4073</v>
      </c>
      <c r="U8" s="179" t="s">
        <v>4073</v>
      </c>
    </row>
    <row r="9" spans="1:24" s="174" customFormat="1" ht="91.5">
      <c r="A9" s="7">
        <v>8</v>
      </c>
      <c r="B9" s="218" t="s">
        <v>639</v>
      </c>
      <c r="C9" s="18" t="s">
        <v>4094</v>
      </c>
      <c r="D9" s="18" t="s">
        <v>4095</v>
      </c>
      <c r="E9" s="273" t="s">
        <v>4096</v>
      </c>
      <c r="F9" s="218">
        <v>9820642345</v>
      </c>
      <c r="G9" s="218" t="s">
        <v>4097</v>
      </c>
      <c r="H9" s="218" t="s">
        <v>529</v>
      </c>
      <c r="I9" s="18" t="s">
        <v>4098</v>
      </c>
      <c r="J9" s="274">
        <v>8882527369</v>
      </c>
      <c r="K9" s="275">
        <v>45708</v>
      </c>
      <c r="L9" s="275"/>
      <c r="M9" s="218">
        <v>12</v>
      </c>
      <c r="N9" s="218"/>
      <c r="O9" s="18" t="s">
        <v>176</v>
      </c>
      <c r="P9" s="218"/>
      <c r="Q9" s="276" t="s">
        <v>4099</v>
      </c>
      <c r="R9" s="131"/>
      <c r="S9" s="179" t="s">
        <v>4073</v>
      </c>
      <c r="T9" s="179" t="s">
        <v>4073</v>
      </c>
      <c r="U9" s="179" t="s">
        <v>4073</v>
      </c>
    </row>
    <row r="10" spans="1:24" ht="76.5">
      <c r="A10" s="7">
        <v>9</v>
      </c>
      <c r="B10" s="22" t="s">
        <v>167</v>
      </c>
      <c r="C10" s="7" t="s">
        <v>4100</v>
      </c>
      <c r="D10" s="7" t="s">
        <v>4101</v>
      </c>
      <c r="E10" s="33" t="s">
        <v>4102</v>
      </c>
      <c r="F10" s="49">
        <v>7349080249</v>
      </c>
      <c r="G10" s="7" t="s">
        <v>4103</v>
      </c>
      <c r="H10" s="7" t="s">
        <v>512</v>
      </c>
      <c r="I10" s="7" t="s">
        <v>4098</v>
      </c>
      <c r="J10" s="91">
        <v>8882527369</v>
      </c>
      <c r="K10" s="27">
        <v>45708</v>
      </c>
      <c r="L10" s="27"/>
      <c r="M10" s="22">
        <v>12</v>
      </c>
      <c r="N10" s="43"/>
      <c r="O10" s="44" t="s">
        <v>195</v>
      </c>
      <c r="P10" s="22"/>
      <c r="Q10" s="97" t="s">
        <v>4104</v>
      </c>
      <c r="R10" s="133"/>
      <c r="S10" s="161"/>
      <c r="T10" s="161" t="s">
        <v>2701</v>
      </c>
    </row>
    <row r="11" spans="1:24" s="174" customFormat="1" ht="106.5">
      <c r="A11" s="7">
        <v>10</v>
      </c>
      <c r="B11" s="218" t="s">
        <v>167</v>
      </c>
      <c r="C11" s="18" t="s">
        <v>4105</v>
      </c>
      <c r="D11" s="18" t="s">
        <v>4106</v>
      </c>
      <c r="E11" s="273" t="s">
        <v>4107</v>
      </c>
      <c r="F11" s="18">
        <v>9538292728</v>
      </c>
      <c r="G11" s="18" t="s">
        <v>4108</v>
      </c>
      <c r="H11" s="18" t="s">
        <v>395</v>
      </c>
      <c r="I11" s="18" t="s">
        <v>4098</v>
      </c>
      <c r="J11" s="274">
        <v>8882527369</v>
      </c>
      <c r="K11" s="275">
        <v>45709</v>
      </c>
      <c r="L11" s="275"/>
      <c r="M11" s="218">
        <v>12</v>
      </c>
      <c r="N11" s="218"/>
      <c r="O11" s="18" t="s">
        <v>176</v>
      </c>
      <c r="P11" s="218"/>
      <c r="Q11" s="276" t="s">
        <v>4109</v>
      </c>
      <c r="R11" s="131"/>
      <c r="S11" s="219" t="s">
        <v>4073</v>
      </c>
      <c r="T11" s="219" t="s">
        <v>4073</v>
      </c>
      <c r="U11" s="219" t="s">
        <v>4073</v>
      </c>
    </row>
    <row r="12" spans="1:24" s="29" customFormat="1" ht="76.5">
      <c r="A12" s="7">
        <v>11</v>
      </c>
      <c r="B12" s="24" t="s">
        <v>167</v>
      </c>
      <c r="C12" s="22" t="s">
        <v>4110</v>
      </c>
      <c r="D12" s="7" t="s">
        <v>4111</v>
      </c>
      <c r="E12" s="31" t="s">
        <v>4112</v>
      </c>
      <c r="F12" s="22">
        <v>9998955053</v>
      </c>
      <c r="G12" s="22" t="s">
        <v>4113</v>
      </c>
      <c r="H12" s="22" t="s">
        <v>365</v>
      </c>
      <c r="I12" s="7" t="s">
        <v>4098</v>
      </c>
      <c r="J12" s="17"/>
      <c r="K12" s="27">
        <v>45715</v>
      </c>
      <c r="L12" s="27"/>
      <c r="M12" s="22">
        <v>12</v>
      </c>
      <c r="N12" s="43"/>
      <c r="O12" s="44" t="s">
        <v>195</v>
      </c>
      <c r="P12" s="22"/>
      <c r="Q12" s="97" t="s">
        <v>4114</v>
      </c>
      <c r="R12" s="133"/>
      <c r="S12" s="141"/>
      <c r="T12" s="141"/>
      <c r="V12"/>
    </row>
    <row r="13" spans="1:24" s="29" customFormat="1" ht="60.75">
      <c r="A13" s="7">
        <v>12</v>
      </c>
      <c r="B13" s="24" t="s">
        <v>167</v>
      </c>
      <c r="C13" s="22" t="s">
        <v>4115</v>
      </c>
      <c r="D13" s="7" t="s">
        <v>4116</v>
      </c>
      <c r="E13" s="31" t="s">
        <v>4117</v>
      </c>
      <c r="F13" s="7" t="s">
        <v>4118</v>
      </c>
      <c r="G13" s="22" t="s">
        <v>4119</v>
      </c>
      <c r="H13" s="22" t="s">
        <v>492</v>
      </c>
      <c r="I13" s="7" t="s">
        <v>4098</v>
      </c>
      <c r="J13" s="36"/>
      <c r="K13" s="27">
        <v>45720</v>
      </c>
      <c r="L13" s="27"/>
      <c r="M13" s="22">
        <v>12</v>
      </c>
      <c r="N13" s="22"/>
      <c r="O13" s="7" t="s">
        <v>176</v>
      </c>
      <c r="P13" s="22"/>
      <c r="Q13" s="97" t="s">
        <v>4120</v>
      </c>
      <c r="R13" s="141" t="s">
        <v>4073</v>
      </c>
      <c r="S13" s="141" t="s">
        <v>4073</v>
      </c>
      <c r="T13" s="141" t="s">
        <v>4073</v>
      </c>
      <c r="V13"/>
    </row>
    <row r="14" spans="1:24" s="29" customFormat="1" ht="60.75">
      <c r="A14" s="7">
        <v>13</v>
      </c>
      <c r="B14" s="24" t="s">
        <v>211</v>
      </c>
      <c r="C14" s="22" t="s">
        <v>4121</v>
      </c>
      <c r="D14" s="7" t="s">
        <v>4122</v>
      </c>
      <c r="E14" s="31" t="s">
        <v>4123</v>
      </c>
      <c r="F14" s="7">
        <v>9108216921</v>
      </c>
      <c r="G14" s="22" t="s">
        <v>4124</v>
      </c>
      <c r="H14" s="22" t="s">
        <v>492</v>
      </c>
      <c r="I14" s="7" t="s">
        <v>4098</v>
      </c>
      <c r="J14" s="17"/>
      <c r="K14" s="27">
        <v>45719</v>
      </c>
      <c r="L14" s="27"/>
      <c r="M14" s="22">
        <v>12</v>
      </c>
      <c r="N14" s="22"/>
      <c r="O14" s="7" t="s">
        <v>176</v>
      </c>
      <c r="P14" s="22"/>
      <c r="Q14" s="97" t="s">
        <v>4125</v>
      </c>
      <c r="R14" s="133"/>
      <c r="S14" s="141"/>
      <c r="T14" s="141"/>
      <c r="V14"/>
    </row>
    <row r="15" spans="1:24" s="239" customFormat="1" ht="106.5">
      <c r="A15" s="18">
        <v>14</v>
      </c>
      <c r="B15" s="283" t="s">
        <v>211</v>
      </c>
      <c r="C15" s="218" t="s">
        <v>4126</v>
      </c>
      <c r="D15" s="18" t="s">
        <v>4127</v>
      </c>
      <c r="E15" s="88" t="s">
        <v>4128</v>
      </c>
      <c r="F15" s="192" t="s">
        <v>4129</v>
      </c>
      <c r="G15" s="344" t="s">
        <v>4130</v>
      </c>
      <c r="H15" s="218" t="s">
        <v>4131</v>
      </c>
      <c r="I15" s="18" t="s">
        <v>4098</v>
      </c>
      <c r="J15" s="256"/>
      <c r="K15" s="275">
        <v>45720</v>
      </c>
      <c r="L15" s="275"/>
      <c r="M15" s="218">
        <v>12</v>
      </c>
      <c r="N15" s="218"/>
      <c r="O15" s="18" t="s">
        <v>176</v>
      </c>
      <c r="P15" s="218"/>
      <c r="Q15" s="276" t="s">
        <v>4132</v>
      </c>
      <c r="R15" s="131"/>
      <c r="S15" s="198" t="s">
        <v>4073</v>
      </c>
      <c r="T15" s="198" t="s">
        <v>4073</v>
      </c>
      <c r="V15" s="174"/>
    </row>
    <row r="16" spans="1:24" s="29" customFormat="1" ht="76.5">
      <c r="A16" s="7">
        <v>15</v>
      </c>
      <c r="B16" s="24" t="s">
        <v>227</v>
      </c>
      <c r="C16" s="38" t="s">
        <v>4133</v>
      </c>
      <c r="D16" s="15" t="s">
        <v>4134</v>
      </c>
      <c r="E16" s="15" t="s">
        <v>4135</v>
      </c>
      <c r="F16" s="21">
        <v>7977235953</v>
      </c>
      <c r="G16" s="21" t="s">
        <v>4136</v>
      </c>
      <c r="H16" s="22" t="s">
        <v>354</v>
      </c>
      <c r="I16" s="7" t="s">
        <v>4098</v>
      </c>
      <c r="J16" s="38"/>
      <c r="K16" s="37">
        <v>45721</v>
      </c>
      <c r="L16" s="37"/>
      <c r="M16" s="22">
        <v>12</v>
      </c>
      <c r="N16" s="22"/>
      <c r="O16" s="7" t="s">
        <v>176</v>
      </c>
      <c r="P16" s="22"/>
      <c r="Q16" s="97" t="s">
        <v>4132</v>
      </c>
      <c r="R16" s="133"/>
      <c r="S16" s="141"/>
      <c r="T16" s="141"/>
      <c r="V16"/>
    </row>
    <row r="17" spans="1:24" s="174" customFormat="1" ht="91.5">
      <c r="A17" s="18">
        <v>16</v>
      </c>
      <c r="B17" s="283" t="s">
        <v>227</v>
      </c>
      <c r="C17" s="252" t="s">
        <v>4137</v>
      </c>
      <c r="D17" s="253" t="s">
        <v>4138</v>
      </c>
      <c r="E17" s="253" t="s">
        <v>4139</v>
      </c>
      <c r="F17" s="284" t="s">
        <v>4140</v>
      </c>
      <c r="G17" s="284" t="s">
        <v>4141</v>
      </c>
      <c r="H17" s="177" t="s">
        <v>492</v>
      </c>
      <c r="I17" s="18" t="s">
        <v>4098</v>
      </c>
      <c r="J17" s="256"/>
      <c r="K17" s="285">
        <v>45721</v>
      </c>
      <c r="L17" s="257"/>
      <c r="M17" s="218">
        <v>12</v>
      </c>
      <c r="N17" s="218"/>
      <c r="O17" s="18" t="s">
        <v>176</v>
      </c>
      <c r="P17" s="218"/>
      <c r="Q17" s="276" t="s">
        <v>4142</v>
      </c>
      <c r="R17" s="131"/>
      <c r="S17" s="219" t="s">
        <v>4073</v>
      </c>
      <c r="T17" s="219" t="s">
        <v>4073</v>
      </c>
      <c r="U17" s="219" t="s">
        <v>4073</v>
      </c>
    </row>
    <row r="18" spans="1:24" ht="45.75">
      <c r="A18" s="7">
        <v>17</v>
      </c>
      <c r="B18" s="24" t="s">
        <v>227</v>
      </c>
      <c r="C18" s="45" t="s">
        <v>4143</v>
      </c>
      <c r="D18" s="46" t="s">
        <v>4144</v>
      </c>
      <c r="E18" s="46" t="s">
        <v>4145</v>
      </c>
      <c r="F18" s="21">
        <v>9108340444</v>
      </c>
      <c r="G18" s="21" t="s">
        <v>4146</v>
      </c>
      <c r="H18" s="44" t="s">
        <v>1794</v>
      </c>
      <c r="I18" s="7" t="s">
        <v>4098</v>
      </c>
      <c r="J18" s="36"/>
      <c r="K18" s="42">
        <v>45721</v>
      </c>
      <c r="L18" s="42"/>
      <c r="M18" s="22">
        <v>12</v>
      </c>
      <c r="N18" s="22"/>
      <c r="O18" s="7" t="s">
        <v>176</v>
      </c>
      <c r="P18" s="22"/>
      <c r="Q18" s="97" t="s">
        <v>4142</v>
      </c>
      <c r="R18" s="133"/>
      <c r="S18" s="161"/>
      <c r="T18" s="161"/>
    </row>
    <row r="19" spans="1:24" s="174" customFormat="1" ht="45.75">
      <c r="A19" s="18">
        <v>18</v>
      </c>
      <c r="B19" s="283" t="s">
        <v>227</v>
      </c>
      <c r="C19" s="252" t="s">
        <v>4147</v>
      </c>
      <c r="D19" s="253" t="s">
        <v>4148</v>
      </c>
      <c r="E19" s="253" t="s">
        <v>4149</v>
      </c>
      <c r="F19" s="192">
        <v>9315952299</v>
      </c>
      <c r="G19" s="192" t="s">
        <v>4150</v>
      </c>
      <c r="H19" s="177" t="s">
        <v>194</v>
      </c>
      <c r="I19" s="18" t="s">
        <v>4098</v>
      </c>
      <c r="J19" s="297"/>
      <c r="K19" s="257">
        <v>45723</v>
      </c>
      <c r="L19" s="257"/>
      <c r="M19" s="218">
        <v>12</v>
      </c>
      <c r="N19" s="192"/>
      <c r="O19" s="177" t="s">
        <v>195</v>
      </c>
      <c r="P19" s="218"/>
      <c r="Q19" s="276" t="s">
        <v>4151</v>
      </c>
      <c r="R19" s="131"/>
      <c r="S19" s="219" t="s">
        <v>4073</v>
      </c>
      <c r="T19" s="219" t="s">
        <v>4073</v>
      </c>
    </row>
    <row r="20" spans="1:24" s="174" customFormat="1" ht="76.5">
      <c r="A20" s="18">
        <v>19</v>
      </c>
      <c r="B20" s="283" t="s">
        <v>227</v>
      </c>
      <c r="C20" s="253" t="s">
        <v>4152</v>
      </c>
      <c r="D20" s="177" t="s">
        <v>4153</v>
      </c>
      <c r="E20" s="253" t="s">
        <v>4154</v>
      </c>
      <c r="F20" s="192" t="s">
        <v>4155</v>
      </c>
      <c r="G20" s="192" t="s">
        <v>4156</v>
      </c>
      <c r="H20" s="177" t="s">
        <v>202</v>
      </c>
      <c r="I20" s="18" t="s">
        <v>4098</v>
      </c>
      <c r="J20" s="347"/>
      <c r="K20" s="257">
        <v>45723</v>
      </c>
      <c r="L20" s="257"/>
      <c r="M20" s="218">
        <v>12</v>
      </c>
      <c r="N20" s="218"/>
      <c r="O20" s="18" t="s">
        <v>176</v>
      </c>
      <c r="P20" s="218"/>
      <c r="Q20" s="276" t="s">
        <v>4157</v>
      </c>
      <c r="R20" s="131"/>
      <c r="S20" s="219" t="s">
        <v>4073</v>
      </c>
      <c r="T20" s="219" t="s">
        <v>4073</v>
      </c>
    </row>
    <row r="21" spans="1:24" ht="76.5">
      <c r="A21" s="7">
        <v>20</v>
      </c>
      <c r="B21" s="117" t="s">
        <v>227</v>
      </c>
      <c r="C21" s="45" t="s">
        <v>4158</v>
      </c>
      <c r="D21" s="46" t="s">
        <v>4159</v>
      </c>
      <c r="E21" s="41" t="s">
        <v>4160</v>
      </c>
      <c r="F21" s="45">
        <v>8883373183</v>
      </c>
      <c r="G21" s="45" t="s">
        <v>4161</v>
      </c>
      <c r="H21" s="43" t="s">
        <v>348</v>
      </c>
      <c r="I21" s="7" t="s">
        <v>4098</v>
      </c>
      <c r="J21" s="17"/>
      <c r="K21" s="42">
        <v>45723</v>
      </c>
      <c r="L21" s="42"/>
      <c r="M21" s="22">
        <v>12</v>
      </c>
      <c r="N21" s="22"/>
      <c r="O21" s="7" t="s">
        <v>176</v>
      </c>
      <c r="P21" s="22"/>
      <c r="Q21" s="97" t="s">
        <v>4157</v>
      </c>
      <c r="R21" s="133"/>
      <c r="S21" s="161"/>
      <c r="T21" s="161"/>
    </row>
    <row r="22" spans="1:24" ht="91.5">
      <c r="A22" s="7">
        <v>21</v>
      </c>
      <c r="B22" s="24" t="s">
        <v>227</v>
      </c>
      <c r="C22" s="45" t="s">
        <v>4162</v>
      </c>
      <c r="D22" s="46" t="s">
        <v>4163</v>
      </c>
      <c r="E22" s="41" t="s">
        <v>4164</v>
      </c>
      <c r="F22" s="43">
        <v>8194056111</v>
      </c>
      <c r="G22" s="43" t="s">
        <v>4165</v>
      </c>
      <c r="H22" s="43" t="s">
        <v>241</v>
      </c>
      <c r="I22" s="7" t="s">
        <v>4098</v>
      </c>
      <c r="J22" s="17"/>
      <c r="K22" s="42">
        <v>45724</v>
      </c>
      <c r="L22" s="42"/>
      <c r="M22" s="22">
        <v>12</v>
      </c>
      <c r="N22" s="43"/>
      <c r="O22" s="44" t="s">
        <v>195</v>
      </c>
      <c r="P22" s="22"/>
      <c r="Q22" s="97" t="s">
        <v>4166</v>
      </c>
      <c r="R22" s="133"/>
      <c r="S22" s="161"/>
      <c r="T22" s="161"/>
    </row>
    <row r="23" spans="1:24" s="174" customFormat="1" ht="91.5">
      <c r="A23" s="18">
        <v>22</v>
      </c>
      <c r="B23" s="283" t="s">
        <v>227</v>
      </c>
      <c r="C23" s="301" t="s">
        <v>4167</v>
      </c>
      <c r="D23" s="302" t="s">
        <v>4168</v>
      </c>
      <c r="E23" s="303" t="s">
        <v>4169</v>
      </c>
      <c r="F23" s="304">
        <v>9108166266</v>
      </c>
      <c r="G23" s="304" t="s">
        <v>4170</v>
      </c>
      <c r="H23" s="304" t="s">
        <v>416</v>
      </c>
      <c r="I23" s="18" t="s">
        <v>4098</v>
      </c>
      <c r="J23" s="305"/>
      <c r="K23" s="306">
        <v>45729</v>
      </c>
      <c r="L23" s="306"/>
      <c r="M23" s="218">
        <v>12</v>
      </c>
      <c r="N23" s="192"/>
      <c r="O23" s="177" t="s">
        <v>195</v>
      </c>
      <c r="P23" s="307"/>
      <c r="Q23" s="276" t="s">
        <v>4171</v>
      </c>
      <c r="R23" s="131"/>
      <c r="S23" s="308" t="s">
        <v>4073</v>
      </c>
      <c r="T23" s="219" t="s">
        <v>243</v>
      </c>
    </row>
    <row r="24" spans="1:24" s="174" customFormat="1" ht="45.75">
      <c r="A24" s="18">
        <v>23</v>
      </c>
      <c r="B24" s="18" t="s">
        <v>227</v>
      </c>
      <c r="C24" s="218" t="s">
        <v>4083</v>
      </c>
      <c r="D24" s="18" t="s">
        <v>4084</v>
      </c>
      <c r="E24" s="343" t="s">
        <v>4085</v>
      </c>
      <c r="F24" s="348" t="s">
        <v>4086</v>
      </c>
      <c r="G24" s="348" t="s">
        <v>4087</v>
      </c>
      <c r="H24" s="348" t="s">
        <v>202</v>
      </c>
      <c r="I24" s="18" t="s">
        <v>1709</v>
      </c>
      <c r="J24" s="274">
        <v>8178581997</v>
      </c>
      <c r="K24" s="275">
        <v>45699</v>
      </c>
      <c r="L24" s="275"/>
      <c r="M24" s="218">
        <v>12</v>
      </c>
      <c r="N24" s="218"/>
      <c r="O24" s="18" t="s">
        <v>176</v>
      </c>
      <c r="P24" s="218"/>
      <c r="Q24" s="276" t="s">
        <v>4088</v>
      </c>
      <c r="R24" s="131"/>
      <c r="S24" s="219" t="s">
        <v>243</v>
      </c>
      <c r="T24" s="219" t="s">
        <v>4172</v>
      </c>
      <c r="X24" s="220"/>
    </row>
    <row r="25" spans="1:24" s="174" customFormat="1" ht="76.5">
      <c r="A25" s="18">
        <v>24</v>
      </c>
      <c r="B25" s="18" t="s">
        <v>227</v>
      </c>
      <c r="C25" s="252" t="s">
        <v>4173</v>
      </c>
      <c r="D25" s="281" t="s">
        <v>4174</v>
      </c>
      <c r="E25" s="254" t="s">
        <v>4175</v>
      </c>
      <c r="F25" s="255">
        <v>9582797949</v>
      </c>
      <c r="G25" s="255" t="s">
        <v>4176</v>
      </c>
      <c r="H25" s="192" t="s">
        <v>684</v>
      </c>
      <c r="I25" s="18" t="s">
        <v>1709</v>
      </c>
      <c r="J25" s="256"/>
      <c r="K25" s="257">
        <v>45734</v>
      </c>
      <c r="L25" s="257"/>
      <c r="M25" s="192">
        <v>12</v>
      </c>
      <c r="N25" s="192"/>
      <c r="O25" s="177" t="s">
        <v>195</v>
      </c>
      <c r="P25" s="218"/>
      <c r="Q25" s="258" t="s">
        <v>4177</v>
      </c>
      <c r="R25" s="219" t="s">
        <v>243</v>
      </c>
      <c r="S25" s="219" t="s">
        <v>243</v>
      </c>
      <c r="T25" s="219" t="s">
        <v>243</v>
      </c>
    </row>
    <row r="26" spans="1:24" s="174" customFormat="1" ht="76.5">
      <c r="A26" s="7">
        <v>25</v>
      </c>
      <c r="B26" s="18" t="s">
        <v>227</v>
      </c>
      <c r="C26" s="252" t="s">
        <v>4178</v>
      </c>
      <c r="D26" s="253" t="s">
        <v>4179</v>
      </c>
      <c r="E26" s="254" t="s">
        <v>4180</v>
      </c>
      <c r="F26" s="255">
        <v>6360873990</v>
      </c>
      <c r="G26" s="255" t="s">
        <v>4181</v>
      </c>
      <c r="H26" s="192" t="s">
        <v>416</v>
      </c>
      <c r="I26" s="18" t="s">
        <v>1709</v>
      </c>
      <c r="J26" s="256"/>
      <c r="K26" s="257">
        <v>45737</v>
      </c>
      <c r="L26" s="257"/>
      <c r="M26" s="192">
        <v>12</v>
      </c>
      <c r="N26" s="192"/>
      <c r="O26" s="177" t="s">
        <v>195</v>
      </c>
      <c r="P26" s="218"/>
      <c r="Q26" s="258" t="s">
        <v>4182</v>
      </c>
      <c r="R26" s="219"/>
      <c r="S26" s="219" t="s">
        <v>243</v>
      </c>
      <c r="T26" s="219" t="s">
        <v>243</v>
      </c>
    </row>
    <row r="27" spans="1:24" s="174" customFormat="1" ht="60.75">
      <c r="A27" s="18">
        <v>26</v>
      </c>
      <c r="B27" s="18" t="s">
        <v>211</v>
      </c>
      <c r="C27" s="252" t="s">
        <v>4183</v>
      </c>
      <c r="D27" s="253" t="s">
        <v>4184</v>
      </c>
      <c r="E27" s="254" t="s">
        <v>4185</v>
      </c>
      <c r="F27" s="192" t="s">
        <v>4186</v>
      </c>
      <c r="G27" s="192" t="s">
        <v>4187</v>
      </c>
      <c r="H27" s="192" t="s">
        <v>416</v>
      </c>
      <c r="I27" s="18" t="s">
        <v>1709</v>
      </c>
      <c r="J27" s="297"/>
      <c r="K27" s="257">
        <v>45737</v>
      </c>
      <c r="L27" s="257"/>
      <c r="M27" s="192">
        <v>12</v>
      </c>
      <c r="N27" s="192"/>
      <c r="O27" s="177" t="s">
        <v>195</v>
      </c>
      <c r="P27" s="218"/>
      <c r="Q27" s="258" t="s">
        <v>4188</v>
      </c>
      <c r="R27" s="131"/>
      <c r="S27" s="219" t="s">
        <v>243</v>
      </c>
      <c r="T27" s="219" t="s">
        <v>243</v>
      </c>
    </row>
    <row r="28" spans="1:24" ht="60.75">
      <c r="A28" s="7">
        <v>27</v>
      </c>
      <c r="B28" s="7" t="s">
        <v>227</v>
      </c>
      <c r="C28" s="45" t="s">
        <v>4189</v>
      </c>
      <c r="D28" s="46" t="s">
        <v>4190</v>
      </c>
      <c r="E28" s="41" t="s">
        <v>4191</v>
      </c>
      <c r="F28" s="43">
        <v>8238873697</v>
      </c>
      <c r="G28" s="43" t="s">
        <v>4192</v>
      </c>
      <c r="H28" s="43" t="s">
        <v>365</v>
      </c>
      <c r="I28" s="7" t="s">
        <v>1709</v>
      </c>
      <c r="J28" s="36"/>
      <c r="K28" s="42">
        <v>45737</v>
      </c>
      <c r="L28" s="42"/>
      <c r="M28" s="43">
        <v>12</v>
      </c>
      <c r="N28" s="43"/>
      <c r="O28" s="7" t="s">
        <v>176</v>
      </c>
      <c r="P28" s="22"/>
      <c r="Q28" s="186" t="s">
        <v>4193</v>
      </c>
      <c r="R28" s="133"/>
      <c r="S28" s="161"/>
      <c r="T28" s="161"/>
    </row>
    <row r="29" spans="1:24" s="174" customFormat="1" ht="106.5">
      <c r="A29" s="18">
        <v>28</v>
      </c>
      <c r="B29" s="349" t="s">
        <v>227</v>
      </c>
      <c r="C29" s="252" t="s">
        <v>4194</v>
      </c>
      <c r="D29" s="253" t="s">
        <v>4195</v>
      </c>
      <c r="E29" s="254" t="s">
        <v>4196</v>
      </c>
      <c r="F29" s="192">
        <v>8052632490</v>
      </c>
      <c r="G29" s="192" t="s">
        <v>4197</v>
      </c>
      <c r="H29" s="192" t="s">
        <v>241</v>
      </c>
      <c r="I29" s="18" t="s">
        <v>1709</v>
      </c>
      <c r="J29" s="256"/>
      <c r="K29" s="257">
        <v>45743</v>
      </c>
      <c r="L29" s="257"/>
      <c r="M29" s="192">
        <v>12</v>
      </c>
      <c r="N29" s="192"/>
      <c r="O29" s="18" t="s">
        <v>176</v>
      </c>
      <c r="P29" s="218"/>
      <c r="Q29" s="258" t="s">
        <v>4198</v>
      </c>
      <c r="R29" s="131"/>
      <c r="S29" s="219" t="s">
        <v>4073</v>
      </c>
      <c r="T29" s="219" t="s">
        <v>4073</v>
      </c>
    </row>
    <row r="30" spans="1:24" ht="91.5">
      <c r="A30" s="7">
        <v>29</v>
      </c>
      <c r="B30" s="7" t="s">
        <v>227</v>
      </c>
      <c r="C30" s="46" t="s">
        <v>4199</v>
      </c>
      <c r="D30" s="46" t="s">
        <v>4200</v>
      </c>
      <c r="E30" s="41" t="s">
        <v>4201</v>
      </c>
      <c r="F30" s="43">
        <v>9842026206</v>
      </c>
      <c r="G30" s="43" t="s">
        <v>4202</v>
      </c>
      <c r="H30" s="43" t="s">
        <v>348</v>
      </c>
      <c r="I30" s="7" t="s">
        <v>1709</v>
      </c>
      <c r="J30" s="36"/>
      <c r="K30" s="42">
        <v>45742</v>
      </c>
      <c r="L30" s="42"/>
      <c r="M30" s="43">
        <v>12</v>
      </c>
      <c r="N30" s="43"/>
      <c r="O30" s="44" t="s">
        <v>195</v>
      </c>
      <c r="P30" s="22"/>
      <c r="Q30" s="186" t="s">
        <v>4203</v>
      </c>
      <c r="R30" s="133"/>
      <c r="S30" s="195"/>
      <c r="T30" s="161"/>
    </row>
    <row r="31" spans="1:24" ht="76.5">
      <c r="A31" s="7">
        <v>30</v>
      </c>
      <c r="B31" s="7" t="s">
        <v>227</v>
      </c>
      <c r="C31" s="45" t="s">
        <v>4204</v>
      </c>
      <c r="D31" s="46" t="s">
        <v>4205</v>
      </c>
      <c r="E31" s="41" t="s">
        <v>4206</v>
      </c>
      <c r="F31" s="43">
        <v>7899058386</v>
      </c>
      <c r="G31" s="43" t="s">
        <v>4207</v>
      </c>
      <c r="H31" s="43" t="s">
        <v>416</v>
      </c>
      <c r="I31" s="7" t="s">
        <v>1709</v>
      </c>
      <c r="J31" s="36"/>
      <c r="K31" s="42">
        <v>45747</v>
      </c>
      <c r="L31" s="42">
        <v>46111</v>
      </c>
      <c r="M31" s="43">
        <v>12</v>
      </c>
      <c r="N31" s="43"/>
      <c r="O31" s="44" t="s">
        <v>195</v>
      </c>
      <c r="P31" s="22"/>
      <c r="Q31" s="186" t="s">
        <v>4208</v>
      </c>
      <c r="R31" s="133" t="s">
        <v>4209</v>
      </c>
      <c r="S31" s="161" t="s">
        <v>4210</v>
      </c>
      <c r="T31" s="161"/>
    </row>
    <row r="32" spans="1:24" s="174" customFormat="1" ht="106.5">
      <c r="A32" s="7">
        <v>31</v>
      </c>
      <c r="B32" s="18" t="s">
        <v>227</v>
      </c>
      <c r="C32" s="253" t="s">
        <v>4211</v>
      </c>
      <c r="D32" s="253" t="s">
        <v>4212</v>
      </c>
      <c r="E32" s="254" t="s">
        <v>4213</v>
      </c>
      <c r="F32" s="192">
        <v>9900169933</v>
      </c>
      <c r="G32" s="192" t="s">
        <v>4214</v>
      </c>
      <c r="H32" s="192" t="s">
        <v>348</v>
      </c>
      <c r="I32" s="18" t="s">
        <v>1709</v>
      </c>
      <c r="J32" s="256"/>
      <c r="K32" s="257">
        <v>45755</v>
      </c>
      <c r="L32" s="257">
        <v>46119</v>
      </c>
      <c r="M32" s="192">
        <v>12</v>
      </c>
      <c r="N32" s="192"/>
      <c r="O32" s="177" t="s">
        <v>195</v>
      </c>
      <c r="P32" s="218"/>
      <c r="Q32" s="258" t="s">
        <v>4215</v>
      </c>
      <c r="R32" s="131" t="s">
        <v>4216</v>
      </c>
      <c r="S32" s="219" t="s">
        <v>243</v>
      </c>
      <c r="T32" s="219" t="s">
        <v>243</v>
      </c>
    </row>
    <row r="33" spans="1:20" s="174" customFormat="1" ht="60.75">
      <c r="A33" s="18">
        <v>32</v>
      </c>
      <c r="B33" s="18" t="s">
        <v>227</v>
      </c>
      <c r="C33" s="253" t="s">
        <v>4217</v>
      </c>
      <c r="D33" s="252" t="s">
        <v>4218</v>
      </c>
      <c r="E33" s="253" t="s">
        <v>4219</v>
      </c>
      <c r="F33" s="192">
        <v>9954469105</v>
      </c>
      <c r="G33" s="192" t="s">
        <v>4220</v>
      </c>
      <c r="H33" s="192" t="s">
        <v>512</v>
      </c>
      <c r="I33" s="18" t="s">
        <v>1709</v>
      </c>
      <c r="J33" s="256"/>
      <c r="K33" s="257">
        <v>45751</v>
      </c>
      <c r="L33" s="257"/>
      <c r="M33" s="192">
        <v>12</v>
      </c>
      <c r="N33" s="192"/>
      <c r="O33" s="18" t="s">
        <v>176</v>
      </c>
      <c r="P33" s="218"/>
      <c r="Q33" s="258" t="s">
        <v>4221</v>
      </c>
      <c r="R33" s="131"/>
      <c r="S33" s="219" t="s">
        <v>243</v>
      </c>
      <c r="T33" s="219" t="s">
        <v>4222</v>
      </c>
    </row>
    <row r="34" spans="1:20" s="174" customFormat="1" ht="60.75">
      <c r="A34" s="18">
        <v>33</v>
      </c>
      <c r="B34" s="18" t="s">
        <v>211</v>
      </c>
      <c r="C34" s="252" t="s">
        <v>4223</v>
      </c>
      <c r="D34" s="253" t="s">
        <v>4224</v>
      </c>
      <c r="E34" s="254" t="s">
        <v>4225</v>
      </c>
      <c r="F34" s="192">
        <v>6361788167</v>
      </c>
      <c r="G34" s="192" t="s">
        <v>4226</v>
      </c>
      <c r="H34" s="192" t="s">
        <v>618</v>
      </c>
      <c r="I34" s="18" t="s">
        <v>1709</v>
      </c>
      <c r="J34" s="256"/>
      <c r="K34" s="257">
        <v>45761</v>
      </c>
      <c r="L34" s="257"/>
      <c r="M34" s="192">
        <v>12</v>
      </c>
      <c r="N34" s="192"/>
      <c r="O34" s="18" t="s">
        <v>176</v>
      </c>
      <c r="P34" s="218"/>
      <c r="Q34" s="258" t="s">
        <v>4227</v>
      </c>
      <c r="R34" s="131"/>
      <c r="S34" s="219" t="s">
        <v>4228</v>
      </c>
      <c r="T34" s="219" t="s">
        <v>4222</v>
      </c>
    </row>
    <row r="35" spans="1:20" ht="91.5">
      <c r="A35" s="7">
        <v>34</v>
      </c>
      <c r="B35" s="7" t="s">
        <v>227</v>
      </c>
      <c r="C35" s="45" t="s">
        <v>4229</v>
      </c>
      <c r="D35" s="46" t="s">
        <v>4230</v>
      </c>
      <c r="E35" s="41" t="s">
        <v>4231</v>
      </c>
      <c r="F35" s="43">
        <v>7411341984</v>
      </c>
      <c r="G35" s="43"/>
      <c r="H35" s="43" t="s">
        <v>416</v>
      </c>
      <c r="I35" s="7" t="s">
        <v>1709</v>
      </c>
      <c r="J35" s="36"/>
      <c r="K35" s="42">
        <v>45761</v>
      </c>
      <c r="L35" s="42"/>
      <c r="M35" s="43">
        <v>12</v>
      </c>
      <c r="N35" s="43"/>
      <c r="O35" s="44" t="s">
        <v>203</v>
      </c>
      <c r="P35" s="22"/>
      <c r="Q35" s="186" t="s">
        <v>4232</v>
      </c>
      <c r="R35" s="133"/>
      <c r="S35" s="161" t="s">
        <v>4233</v>
      </c>
      <c r="T35" s="161"/>
    </row>
    <row r="36" spans="1:20" s="174" customFormat="1" ht="91.5">
      <c r="A36" s="18">
        <v>35</v>
      </c>
      <c r="B36" s="18" t="s">
        <v>227</v>
      </c>
      <c r="C36" s="252" t="s">
        <v>4234</v>
      </c>
      <c r="D36" s="253" t="s">
        <v>4235</v>
      </c>
      <c r="E36" s="254" t="s">
        <v>4236</v>
      </c>
      <c r="F36" s="192">
        <v>9311705004</v>
      </c>
      <c r="G36" s="192" t="s">
        <v>4237</v>
      </c>
      <c r="H36" s="192" t="s">
        <v>194</v>
      </c>
      <c r="I36" s="18"/>
      <c r="J36" s="256"/>
      <c r="K36" s="257">
        <v>45761</v>
      </c>
      <c r="L36" s="257"/>
      <c r="M36" s="192">
        <v>12</v>
      </c>
      <c r="N36" s="192"/>
      <c r="O36" s="177" t="s">
        <v>195</v>
      </c>
      <c r="P36" s="218"/>
      <c r="Q36" s="258" t="s">
        <v>4238</v>
      </c>
      <c r="R36" s="131"/>
      <c r="S36" s="219" t="s">
        <v>243</v>
      </c>
      <c r="T36" s="219" t="s">
        <v>243</v>
      </c>
    </row>
    <row r="37" spans="1:20" ht="76.5">
      <c r="A37" s="7">
        <v>36</v>
      </c>
      <c r="B37" s="52" t="s">
        <v>211</v>
      </c>
      <c r="C37" s="45" t="s">
        <v>4239</v>
      </c>
      <c r="D37" s="46" t="s">
        <v>4240</v>
      </c>
      <c r="E37" s="46" t="s">
        <v>4241</v>
      </c>
      <c r="F37" s="43">
        <v>7058626392</v>
      </c>
      <c r="G37" s="43" t="s">
        <v>4242</v>
      </c>
      <c r="H37" s="43" t="s">
        <v>416</v>
      </c>
      <c r="I37" s="7"/>
      <c r="J37" s="36"/>
      <c r="K37" s="42">
        <v>45761</v>
      </c>
      <c r="L37" s="42"/>
      <c r="M37" s="43">
        <v>12</v>
      </c>
      <c r="N37" s="43"/>
      <c r="O37" s="7" t="s">
        <v>176</v>
      </c>
      <c r="P37" s="22"/>
      <c r="Q37" s="186" t="s">
        <v>4243</v>
      </c>
      <c r="R37" s="133"/>
      <c r="S37" s="161"/>
      <c r="T37" s="161"/>
    </row>
    <row r="38" spans="1:20" s="174" customFormat="1" ht="106.5">
      <c r="A38" s="18">
        <v>37</v>
      </c>
      <c r="B38" s="299" t="s">
        <v>227</v>
      </c>
      <c r="C38" s="366" t="s">
        <v>4244</v>
      </c>
      <c r="D38" s="253" t="s">
        <v>4245</v>
      </c>
      <c r="E38" s="253" t="s">
        <v>4246</v>
      </c>
      <c r="F38" s="362">
        <v>9845271737</v>
      </c>
      <c r="G38" s="192" t="s">
        <v>4247</v>
      </c>
      <c r="H38" s="192" t="s">
        <v>248</v>
      </c>
      <c r="I38" s="18"/>
      <c r="J38" s="256"/>
      <c r="K38" s="257">
        <v>45763</v>
      </c>
      <c r="L38" s="257">
        <v>46127</v>
      </c>
      <c r="M38" s="192">
        <v>12</v>
      </c>
      <c r="N38" s="192"/>
      <c r="O38" s="177" t="s">
        <v>195</v>
      </c>
      <c r="P38" s="218"/>
      <c r="Q38" s="258" t="s">
        <v>4248</v>
      </c>
      <c r="R38" s="131" t="s">
        <v>4249</v>
      </c>
      <c r="S38" s="219" t="s">
        <v>243</v>
      </c>
      <c r="T38" s="219" t="s">
        <v>243</v>
      </c>
    </row>
    <row r="39" spans="1:20" s="174" customFormat="1" ht="76.5">
      <c r="A39" s="18">
        <v>38</v>
      </c>
      <c r="B39" s="299" t="s">
        <v>227</v>
      </c>
      <c r="C39" s="366" t="s">
        <v>4250</v>
      </c>
      <c r="D39" s="253" t="s">
        <v>4251</v>
      </c>
      <c r="E39" s="253" t="s">
        <v>4252</v>
      </c>
      <c r="F39" s="192">
        <v>8789058573</v>
      </c>
      <c r="G39" s="192" t="s">
        <v>4253</v>
      </c>
      <c r="H39" s="192" t="s">
        <v>444</v>
      </c>
      <c r="I39" s="18"/>
      <c r="J39" s="256"/>
      <c r="K39" s="257">
        <v>45765</v>
      </c>
      <c r="L39" s="257">
        <v>46129</v>
      </c>
      <c r="M39" s="192">
        <v>12</v>
      </c>
      <c r="N39" s="192"/>
      <c r="O39" s="177" t="s">
        <v>195</v>
      </c>
      <c r="P39" s="218"/>
      <c r="Q39" s="258" t="s">
        <v>4248</v>
      </c>
      <c r="R39" s="131" t="s">
        <v>4254</v>
      </c>
      <c r="S39" s="219" t="s">
        <v>243</v>
      </c>
      <c r="T39" s="219" t="s">
        <v>243</v>
      </c>
    </row>
    <row r="40" spans="1:20" ht="91.5">
      <c r="A40" s="7">
        <v>39</v>
      </c>
      <c r="B40" s="52"/>
      <c r="C40" s="45" t="s">
        <v>4255</v>
      </c>
      <c r="D40" s="46" t="s">
        <v>4256</v>
      </c>
      <c r="E40" s="46" t="s">
        <v>4257</v>
      </c>
      <c r="F40" s="43">
        <v>7702893017</v>
      </c>
      <c r="G40" s="43" t="s">
        <v>4258</v>
      </c>
      <c r="H40" s="43" t="s">
        <v>395</v>
      </c>
      <c r="I40" s="7"/>
      <c r="J40" s="36"/>
      <c r="K40" s="42">
        <v>45763</v>
      </c>
      <c r="L40" s="42">
        <v>46127</v>
      </c>
      <c r="M40" s="43">
        <v>12</v>
      </c>
      <c r="N40" s="43"/>
      <c r="O40" s="44" t="s">
        <v>195</v>
      </c>
      <c r="P40" s="22"/>
      <c r="Q40" s="186" t="s">
        <v>4248</v>
      </c>
      <c r="R40" s="133" t="s">
        <v>4259</v>
      </c>
      <c r="S40" s="161"/>
      <c r="T40" s="161"/>
    </row>
    <row r="41" spans="1:20" ht="60.75">
      <c r="A41" s="7">
        <v>40</v>
      </c>
      <c r="B41" s="52"/>
      <c r="C41" s="45" t="s">
        <v>4260</v>
      </c>
      <c r="D41" s="46" t="s">
        <v>4261</v>
      </c>
      <c r="E41" s="46" t="s">
        <v>4262</v>
      </c>
      <c r="F41" s="43">
        <v>9424372064</v>
      </c>
      <c r="G41" s="43" t="s">
        <v>4263</v>
      </c>
      <c r="H41" s="43" t="s">
        <v>416</v>
      </c>
      <c r="I41" s="7"/>
      <c r="J41" s="53"/>
      <c r="K41" s="42">
        <v>45770</v>
      </c>
      <c r="L41" s="42"/>
      <c r="M41" s="43">
        <v>12</v>
      </c>
      <c r="N41" s="43"/>
      <c r="O41" s="44" t="s">
        <v>195</v>
      </c>
      <c r="P41" s="22"/>
      <c r="Q41" s="186" t="s">
        <v>4264</v>
      </c>
      <c r="R41" s="133"/>
      <c r="S41" s="161"/>
      <c r="T41" s="161"/>
    </row>
    <row r="42" spans="1:20" s="174" customFormat="1" ht="76.5">
      <c r="A42" s="18">
        <v>41</v>
      </c>
      <c r="B42" s="299"/>
      <c r="C42" s="252" t="s">
        <v>4265</v>
      </c>
      <c r="D42" s="253" t="s">
        <v>4266</v>
      </c>
      <c r="E42" s="253" t="s">
        <v>4267</v>
      </c>
      <c r="F42" s="192">
        <v>9036011393</v>
      </c>
      <c r="G42" s="192" t="s">
        <v>4268</v>
      </c>
      <c r="H42" s="192" t="s">
        <v>416</v>
      </c>
      <c r="I42" s="18"/>
      <c r="J42" s="347"/>
      <c r="K42" s="257">
        <v>45770</v>
      </c>
      <c r="L42" s="257"/>
      <c r="M42" s="192">
        <v>12</v>
      </c>
      <c r="N42" s="192"/>
      <c r="O42" s="177" t="s">
        <v>195</v>
      </c>
      <c r="P42" s="218"/>
      <c r="Q42" s="258" t="s">
        <v>4269</v>
      </c>
      <c r="R42" s="131"/>
      <c r="S42" s="219" t="s">
        <v>243</v>
      </c>
      <c r="T42" s="219"/>
    </row>
    <row r="43" spans="1:20" s="174" customFormat="1" ht="45.75">
      <c r="A43" s="18">
        <v>42</v>
      </c>
      <c r="B43" s="299"/>
      <c r="C43" s="252" t="s">
        <v>4270</v>
      </c>
      <c r="D43" s="253" t="s">
        <v>4271</v>
      </c>
      <c r="E43" s="253" t="s">
        <v>4272</v>
      </c>
      <c r="F43" s="192">
        <v>9971491677</v>
      </c>
      <c r="G43" s="192" t="s">
        <v>4273</v>
      </c>
      <c r="H43" s="192"/>
      <c r="I43" s="18"/>
      <c r="J43" s="386"/>
      <c r="K43" s="257">
        <v>45770</v>
      </c>
      <c r="L43" s="257"/>
      <c r="M43" s="192">
        <v>12</v>
      </c>
      <c r="N43" s="192"/>
      <c r="O43" s="177" t="s">
        <v>195</v>
      </c>
      <c r="P43" s="218"/>
      <c r="Q43" s="258" t="s">
        <v>4274</v>
      </c>
      <c r="R43" s="131"/>
      <c r="S43" s="219" t="s">
        <v>243</v>
      </c>
      <c r="T43" s="219"/>
    </row>
    <row r="44" spans="1:20" ht="30.75">
      <c r="A44" s="7">
        <v>43</v>
      </c>
      <c r="B44" s="52"/>
      <c r="C44" s="45"/>
      <c r="D44" s="46" t="s">
        <v>4275</v>
      </c>
      <c r="E44" s="46"/>
      <c r="F44" s="43"/>
      <c r="G44" s="43"/>
      <c r="H44" s="43"/>
      <c r="I44" s="7"/>
      <c r="J44" s="53"/>
      <c r="K44" s="42"/>
      <c r="L44" s="42"/>
      <c r="M44" s="43">
        <v>12</v>
      </c>
      <c r="N44" s="43"/>
      <c r="O44" s="44"/>
      <c r="P44" s="22"/>
      <c r="Q44" s="186"/>
      <c r="R44" s="133"/>
      <c r="S44" s="161" t="s">
        <v>4276</v>
      </c>
      <c r="T44" s="161"/>
    </row>
    <row r="45" spans="1:20" ht="60.75">
      <c r="A45" s="7">
        <v>44</v>
      </c>
      <c r="B45" s="52"/>
      <c r="C45" s="45" t="s">
        <v>4277</v>
      </c>
      <c r="D45" s="46" t="s">
        <v>4278</v>
      </c>
      <c r="E45" s="46" t="s">
        <v>4279</v>
      </c>
      <c r="F45" s="43" t="s">
        <v>4280</v>
      </c>
      <c r="G45" s="43" t="s">
        <v>4281</v>
      </c>
      <c r="H45" s="43"/>
      <c r="I45" s="44"/>
      <c r="J45" s="53"/>
      <c r="K45" s="42">
        <v>45775</v>
      </c>
      <c r="L45" s="42"/>
      <c r="M45" s="43">
        <v>12</v>
      </c>
      <c r="N45" s="43"/>
      <c r="O45" s="7" t="s">
        <v>176</v>
      </c>
      <c r="P45" s="43"/>
      <c r="Q45" s="186" t="s">
        <v>4282</v>
      </c>
      <c r="R45" s="133"/>
      <c r="S45" s="161"/>
      <c r="T45" s="161"/>
    </row>
    <row r="46" spans="1:20" s="174" customFormat="1" ht="106.5">
      <c r="A46" s="18">
        <v>45</v>
      </c>
      <c r="B46" s="299"/>
      <c r="C46" s="252" t="s">
        <v>4283</v>
      </c>
      <c r="D46" s="253" t="s">
        <v>4284</v>
      </c>
      <c r="E46" s="254" t="s">
        <v>4285</v>
      </c>
      <c r="F46" s="192">
        <v>9811401101</v>
      </c>
      <c r="G46" s="362"/>
      <c r="H46" s="192" t="s">
        <v>1737</v>
      </c>
      <c r="I46" s="177"/>
      <c r="J46" s="300"/>
      <c r="K46" s="257">
        <v>45779</v>
      </c>
      <c r="L46" s="257">
        <v>46143</v>
      </c>
      <c r="M46" s="192">
        <v>12</v>
      </c>
      <c r="N46" s="192"/>
      <c r="O46" s="18" t="s">
        <v>176</v>
      </c>
      <c r="P46" s="192"/>
      <c r="Q46" s="258" t="s">
        <v>4282</v>
      </c>
      <c r="R46" s="131" t="s">
        <v>4286</v>
      </c>
      <c r="S46" s="219" t="s">
        <v>4073</v>
      </c>
      <c r="T46" s="219" t="s">
        <v>4073</v>
      </c>
    </row>
    <row r="47" spans="1:20" s="174" customFormat="1" ht="60.75">
      <c r="A47" s="18">
        <v>46</v>
      </c>
      <c r="B47" s="299"/>
      <c r="C47" s="253" t="s">
        <v>4287</v>
      </c>
      <c r="D47" s="253" t="s">
        <v>4288</v>
      </c>
      <c r="E47" s="361" t="s">
        <v>4289</v>
      </c>
      <c r="F47" s="192">
        <v>9709363616</v>
      </c>
      <c r="G47" s="192" t="s">
        <v>4290</v>
      </c>
      <c r="H47" s="362"/>
      <c r="I47" s="177"/>
      <c r="J47" s="300"/>
      <c r="K47" s="257">
        <v>45779</v>
      </c>
      <c r="L47" s="257">
        <v>46143</v>
      </c>
      <c r="M47" s="192">
        <v>12</v>
      </c>
      <c r="N47" s="192"/>
      <c r="O47" s="18" t="s">
        <v>176</v>
      </c>
      <c r="P47" s="192"/>
      <c r="Q47" s="258" t="s">
        <v>4291</v>
      </c>
      <c r="R47" s="131" t="s">
        <v>4292</v>
      </c>
      <c r="S47" s="219" t="s">
        <v>243</v>
      </c>
      <c r="T47" s="219" t="s">
        <v>243</v>
      </c>
    </row>
    <row r="48" spans="1:20" ht="91.5">
      <c r="A48" s="7">
        <v>47</v>
      </c>
      <c r="B48" s="52"/>
      <c r="C48" s="45" t="s">
        <v>4293</v>
      </c>
      <c r="D48" s="46" t="s">
        <v>4294</v>
      </c>
      <c r="E48" s="41" t="s">
        <v>4295</v>
      </c>
      <c r="F48" s="43">
        <v>9810213177</v>
      </c>
      <c r="G48" s="43"/>
      <c r="H48" s="43"/>
      <c r="I48" s="44"/>
      <c r="J48" s="74"/>
      <c r="K48" s="42">
        <v>45779</v>
      </c>
      <c r="L48" s="42"/>
      <c r="M48" s="43">
        <v>12</v>
      </c>
      <c r="N48" s="43"/>
      <c r="O48" s="44" t="s">
        <v>195</v>
      </c>
      <c r="P48" s="43"/>
      <c r="Q48" s="186" t="s">
        <v>4296</v>
      </c>
      <c r="R48" s="133"/>
      <c r="S48" s="161"/>
      <c r="T48" s="161"/>
    </row>
    <row r="49" spans="1:20" s="174" customFormat="1">
      <c r="A49" s="18">
        <v>48</v>
      </c>
      <c r="B49" s="299"/>
      <c r="C49" s="252"/>
      <c r="D49" s="253" t="s">
        <v>4297</v>
      </c>
      <c r="E49" s="254" t="s">
        <v>4298</v>
      </c>
      <c r="F49" s="192"/>
      <c r="G49" s="192"/>
      <c r="H49" s="192"/>
      <c r="I49" s="177"/>
      <c r="J49" s="300"/>
      <c r="K49" s="257"/>
      <c r="L49" s="257"/>
      <c r="M49" s="192"/>
      <c r="N49" s="192"/>
      <c r="O49" s="177"/>
      <c r="P49" s="192"/>
      <c r="Q49" s="258"/>
      <c r="R49" s="131"/>
      <c r="S49" s="219"/>
      <c r="T49" s="219"/>
    </row>
    <row r="50" spans="1:20" ht="60.75">
      <c r="A50" s="7">
        <v>49</v>
      </c>
      <c r="B50" s="52"/>
      <c r="C50" s="45" t="s">
        <v>4299</v>
      </c>
      <c r="D50" s="46" t="s">
        <v>4300</v>
      </c>
      <c r="E50" s="41" t="s">
        <v>4301</v>
      </c>
      <c r="F50" s="43">
        <v>8383090030</v>
      </c>
      <c r="G50" s="43" t="s">
        <v>4290</v>
      </c>
      <c r="H50" s="43"/>
      <c r="I50" s="44"/>
      <c r="J50" s="74"/>
      <c r="K50" s="42">
        <v>45783</v>
      </c>
      <c r="L50" s="42"/>
      <c r="M50" s="43">
        <v>12</v>
      </c>
      <c r="N50" s="43"/>
      <c r="O50" s="7" t="s">
        <v>176</v>
      </c>
      <c r="P50" s="43"/>
      <c r="Q50" s="186" t="s">
        <v>4302</v>
      </c>
      <c r="R50" s="133"/>
      <c r="S50" s="161"/>
      <c r="T50" s="161"/>
    </row>
    <row r="51" spans="1:20" s="174" customFormat="1" ht="45.75">
      <c r="A51" s="18">
        <v>50</v>
      </c>
      <c r="B51" s="299"/>
      <c r="C51" s="252" t="s">
        <v>4303</v>
      </c>
      <c r="D51" s="253" t="s">
        <v>4304</v>
      </c>
      <c r="E51" s="254" t="s">
        <v>4305</v>
      </c>
      <c r="F51" s="192" t="s">
        <v>4306</v>
      </c>
      <c r="G51" s="192" t="s">
        <v>4307</v>
      </c>
      <c r="H51" s="192"/>
      <c r="I51" s="177"/>
      <c r="J51" s="300"/>
      <c r="K51" s="257"/>
      <c r="L51" s="257"/>
      <c r="M51" s="192">
        <v>12</v>
      </c>
      <c r="N51" s="192"/>
      <c r="O51" s="177" t="s">
        <v>195</v>
      </c>
      <c r="P51" s="192"/>
      <c r="Q51" s="258" t="s">
        <v>4308</v>
      </c>
      <c r="R51" s="131"/>
      <c r="S51" s="219" t="s">
        <v>4073</v>
      </c>
      <c r="T51" s="219" t="s">
        <v>4222</v>
      </c>
    </row>
    <row r="52" spans="1:20" ht="76.5">
      <c r="A52" s="7">
        <v>51</v>
      </c>
      <c r="B52" s="52"/>
      <c r="C52" s="45" t="s">
        <v>4309</v>
      </c>
      <c r="D52" s="46" t="s">
        <v>4310</v>
      </c>
      <c r="E52" s="41" t="s">
        <v>4311</v>
      </c>
      <c r="F52" s="43">
        <v>9080519579</v>
      </c>
      <c r="G52" s="43" t="s">
        <v>4290</v>
      </c>
      <c r="H52" s="43"/>
      <c r="I52" s="44"/>
      <c r="J52" s="74"/>
      <c r="K52" s="42">
        <v>45785</v>
      </c>
      <c r="L52" s="42"/>
      <c r="M52" s="43">
        <v>12</v>
      </c>
      <c r="N52" s="43"/>
      <c r="O52" s="7" t="s">
        <v>176</v>
      </c>
      <c r="P52" s="43"/>
      <c r="Q52" s="186" t="s">
        <v>4312</v>
      </c>
      <c r="R52" s="133"/>
      <c r="S52" s="161"/>
      <c r="T52" s="161"/>
    </row>
    <row r="53" spans="1:20" ht="76.5">
      <c r="A53" s="7">
        <v>52</v>
      </c>
      <c r="B53" s="52"/>
      <c r="C53" s="45" t="s">
        <v>4313</v>
      </c>
      <c r="D53" s="46" t="s">
        <v>4314</v>
      </c>
      <c r="E53" s="41" t="s">
        <v>4315</v>
      </c>
      <c r="F53" s="43">
        <v>8971405678</v>
      </c>
      <c r="G53" s="43" t="s">
        <v>4316</v>
      </c>
      <c r="H53" s="43"/>
      <c r="I53" s="44"/>
      <c r="J53" s="74"/>
      <c r="K53" s="42"/>
      <c r="L53" s="42"/>
      <c r="M53" s="43">
        <v>12</v>
      </c>
      <c r="N53" s="43"/>
      <c r="O53" s="44" t="s">
        <v>195</v>
      </c>
      <c r="P53" s="43"/>
      <c r="Q53" s="186" t="s">
        <v>4317</v>
      </c>
      <c r="R53" s="133"/>
      <c r="S53" s="161"/>
      <c r="T53" s="161"/>
    </row>
    <row r="54" spans="1:20" s="174" customFormat="1" ht="106.5">
      <c r="A54" s="18">
        <v>53</v>
      </c>
      <c r="B54" s="299"/>
      <c r="C54" s="252" t="s">
        <v>4318</v>
      </c>
      <c r="D54" s="253" t="s">
        <v>4319</v>
      </c>
      <c r="E54" s="254" t="s">
        <v>4320</v>
      </c>
      <c r="F54" s="192">
        <v>9535202452</v>
      </c>
      <c r="G54" s="192" t="s">
        <v>4321</v>
      </c>
      <c r="H54" s="192" t="s">
        <v>1737</v>
      </c>
      <c r="I54" s="177"/>
      <c r="J54" s="300"/>
      <c r="K54" s="257">
        <v>45785</v>
      </c>
      <c r="L54" s="257">
        <v>46149</v>
      </c>
      <c r="M54" s="192">
        <v>12</v>
      </c>
      <c r="N54" s="192"/>
      <c r="O54" s="177" t="s">
        <v>195</v>
      </c>
      <c r="P54" s="192"/>
      <c r="Q54" s="258" t="s">
        <v>4322</v>
      </c>
      <c r="R54" s="131" t="s">
        <v>4323</v>
      </c>
      <c r="S54" s="219" t="s">
        <v>4073</v>
      </c>
      <c r="T54" s="219" t="s">
        <v>4222</v>
      </c>
    </row>
    <row r="55" spans="1:20" ht="91.5">
      <c r="A55" s="7">
        <v>54</v>
      </c>
      <c r="B55" s="52"/>
      <c r="C55" s="45" t="s">
        <v>4324</v>
      </c>
      <c r="D55" s="46" t="s">
        <v>4325</v>
      </c>
      <c r="E55" s="41" t="s">
        <v>4326</v>
      </c>
      <c r="F55" s="43">
        <v>9740799592</v>
      </c>
      <c r="G55" s="43" t="s">
        <v>4327</v>
      </c>
      <c r="H55" s="43"/>
      <c r="I55" s="44"/>
      <c r="J55" s="74"/>
      <c r="K55" s="42">
        <v>45785</v>
      </c>
      <c r="L55" s="42">
        <v>46149</v>
      </c>
      <c r="M55" s="43">
        <v>12</v>
      </c>
      <c r="N55" s="43"/>
      <c r="O55" s="7" t="s">
        <v>176</v>
      </c>
      <c r="P55" s="43"/>
      <c r="Q55" s="186" t="s">
        <v>4328</v>
      </c>
      <c r="R55" s="133" t="s">
        <v>4329</v>
      </c>
      <c r="S55" s="161"/>
      <c r="T55" s="161"/>
    </row>
    <row r="56" spans="1:20" ht="121.5">
      <c r="A56" s="7">
        <v>55</v>
      </c>
      <c r="B56" s="52"/>
      <c r="C56" s="45" t="s">
        <v>4330</v>
      </c>
      <c r="D56" s="46" t="s">
        <v>4331</v>
      </c>
      <c r="E56" s="41" t="s">
        <v>4332</v>
      </c>
      <c r="F56" s="43">
        <v>7829456882</v>
      </c>
      <c r="G56" s="43" t="s">
        <v>4333</v>
      </c>
      <c r="H56" s="43"/>
      <c r="I56" s="44"/>
      <c r="J56" s="74"/>
      <c r="K56" s="42"/>
      <c r="L56" s="42"/>
      <c r="M56" s="43">
        <v>12</v>
      </c>
      <c r="N56" s="43"/>
      <c r="O56" s="44" t="s">
        <v>195</v>
      </c>
      <c r="P56" s="43"/>
      <c r="Q56" s="186" t="s">
        <v>4334</v>
      </c>
      <c r="R56" s="133"/>
      <c r="S56" s="161"/>
      <c r="T56" s="161"/>
    </row>
    <row r="57" spans="1:20" ht="121.5">
      <c r="A57" s="7">
        <v>56</v>
      </c>
      <c r="B57" s="52"/>
      <c r="C57" s="45" t="s">
        <v>4335</v>
      </c>
      <c r="D57" s="46" t="s">
        <v>4336</v>
      </c>
      <c r="E57" s="46" t="s">
        <v>4337</v>
      </c>
      <c r="F57" s="43" t="s">
        <v>4338</v>
      </c>
      <c r="G57" s="43" t="s">
        <v>4339</v>
      </c>
      <c r="H57" s="43" t="s">
        <v>194</v>
      </c>
      <c r="I57" s="44"/>
      <c r="J57" s="74"/>
      <c r="K57" s="42">
        <v>45792</v>
      </c>
      <c r="L57" s="42">
        <v>46156</v>
      </c>
      <c r="M57" s="43">
        <v>12</v>
      </c>
      <c r="N57" s="43"/>
      <c r="O57" s="44" t="s">
        <v>195</v>
      </c>
      <c r="P57" s="43"/>
      <c r="Q57" s="186" t="s">
        <v>4340</v>
      </c>
      <c r="R57" s="133" t="s">
        <v>4341</v>
      </c>
      <c r="S57" s="161"/>
      <c r="T57" s="161"/>
    </row>
    <row r="58" spans="1:20" ht="121.5">
      <c r="A58" s="7">
        <v>57</v>
      </c>
      <c r="B58" s="52"/>
      <c r="C58" s="45" t="s">
        <v>4342</v>
      </c>
      <c r="D58" s="46" t="s">
        <v>4343</v>
      </c>
      <c r="E58" s="41" t="s">
        <v>4344</v>
      </c>
      <c r="F58" s="43">
        <v>7799222542</v>
      </c>
      <c r="G58" s="43" t="s">
        <v>4345</v>
      </c>
      <c r="H58" s="43"/>
      <c r="I58" s="44"/>
      <c r="J58" s="74"/>
      <c r="K58" s="42">
        <v>45790</v>
      </c>
      <c r="L58" s="42"/>
      <c r="M58" s="43">
        <v>12</v>
      </c>
      <c r="N58" s="43"/>
      <c r="O58" s="7" t="s">
        <v>176</v>
      </c>
      <c r="P58" s="43"/>
      <c r="Q58" s="186" t="s">
        <v>4346</v>
      </c>
      <c r="R58" s="133"/>
      <c r="S58" s="161"/>
      <c r="T58" s="161"/>
    </row>
    <row r="59" spans="1:20" ht="91.5">
      <c r="A59" s="7">
        <v>58</v>
      </c>
      <c r="B59" s="52"/>
      <c r="C59" s="45" t="s">
        <v>4347</v>
      </c>
      <c r="D59" s="46" t="s">
        <v>4348</v>
      </c>
      <c r="E59" s="41" t="s">
        <v>4349</v>
      </c>
      <c r="F59" s="43" t="s">
        <v>4350</v>
      </c>
      <c r="G59" s="43" t="s">
        <v>4351</v>
      </c>
      <c r="H59" s="43" t="s">
        <v>268</v>
      </c>
      <c r="I59" s="44" t="s">
        <v>4352</v>
      </c>
      <c r="J59" s="74">
        <v>8800209527</v>
      </c>
      <c r="K59" s="42">
        <v>45799</v>
      </c>
      <c r="L59" s="42">
        <v>46163</v>
      </c>
      <c r="M59" s="43">
        <v>12</v>
      </c>
      <c r="N59" s="43"/>
      <c r="O59" s="7" t="s">
        <v>176</v>
      </c>
      <c r="P59" s="43"/>
      <c r="Q59" s="186" t="s">
        <v>4353</v>
      </c>
      <c r="R59" s="133" t="s">
        <v>4354</v>
      </c>
      <c r="S59" s="161"/>
      <c r="T59" s="161"/>
    </row>
    <row r="60" spans="1:20" s="174" customFormat="1" ht="30" customHeight="1">
      <c r="A60" s="18">
        <v>59</v>
      </c>
      <c r="B60" s="299"/>
      <c r="C60" s="253" t="s">
        <v>4355</v>
      </c>
      <c r="D60" s="253" t="s">
        <v>4356</v>
      </c>
      <c r="E60" s="254" t="s">
        <v>4357</v>
      </c>
      <c r="F60" s="192">
        <v>7989618716</v>
      </c>
      <c r="G60" s="192" t="s">
        <v>4358</v>
      </c>
      <c r="H60" s="192"/>
      <c r="I60" s="177"/>
      <c r="J60" s="300"/>
      <c r="K60" s="257">
        <v>45796</v>
      </c>
      <c r="L60" s="257"/>
      <c r="M60" s="192">
        <v>12</v>
      </c>
      <c r="N60" s="192"/>
      <c r="O60" s="18" t="s">
        <v>176</v>
      </c>
      <c r="P60" s="192"/>
      <c r="Q60" s="258" t="s">
        <v>4359</v>
      </c>
      <c r="R60" s="219" t="s">
        <v>4360</v>
      </c>
      <c r="S60" s="219" t="s">
        <v>4073</v>
      </c>
      <c r="T60" s="219" t="s">
        <v>4073</v>
      </c>
    </row>
    <row r="61" spans="1:20" ht="30" customHeight="1">
      <c r="A61" s="7">
        <v>60</v>
      </c>
      <c r="B61" s="52"/>
      <c r="C61" s="45" t="s">
        <v>4361</v>
      </c>
      <c r="D61" s="46" t="s">
        <v>4362</v>
      </c>
      <c r="E61" s="41" t="s">
        <v>4363</v>
      </c>
      <c r="F61" s="43" t="s">
        <v>4364</v>
      </c>
      <c r="G61" s="43" t="s">
        <v>4365</v>
      </c>
      <c r="H61" s="43"/>
      <c r="I61" s="44"/>
      <c r="J61" s="74"/>
      <c r="K61" s="42">
        <v>45797</v>
      </c>
      <c r="L61" s="42">
        <v>46161</v>
      </c>
      <c r="M61" s="43">
        <v>12</v>
      </c>
      <c r="N61" s="43"/>
      <c r="O61" s="7" t="s">
        <v>176</v>
      </c>
      <c r="P61" s="43"/>
      <c r="Q61" s="186" t="s">
        <v>4366</v>
      </c>
      <c r="R61" s="133" t="s">
        <v>4367</v>
      </c>
      <c r="S61" s="161"/>
      <c r="T61" s="161"/>
    </row>
    <row r="62" spans="1:20" ht="30" customHeight="1">
      <c r="A62" s="7">
        <v>61</v>
      </c>
      <c r="B62" s="52"/>
      <c r="C62" s="45" t="s">
        <v>4368</v>
      </c>
      <c r="D62" s="46" t="s">
        <v>4369</v>
      </c>
      <c r="E62" s="41" t="s">
        <v>4370</v>
      </c>
      <c r="F62" s="43">
        <v>7855826546</v>
      </c>
      <c r="G62" s="43" t="s">
        <v>4371</v>
      </c>
      <c r="H62" s="43" t="s">
        <v>618</v>
      </c>
      <c r="I62" s="44"/>
      <c r="J62" s="74">
        <v>8178581997</v>
      </c>
      <c r="K62" s="42">
        <v>45803</v>
      </c>
      <c r="L62" s="42">
        <v>46167</v>
      </c>
      <c r="M62" s="43">
        <v>12</v>
      </c>
      <c r="N62" s="43"/>
      <c r="O62" s="44" t="s">
        <v>195</v>
      </c>
      <c r="P62" s="43"/>
      <c r="Q62" s="186" t="s">
        <v>4372</v>
      </c>
      <c r="R62" s="133" t="s">
        <v>4373</v>
      </c>
      <c r="S62" s="161"/>
      <c r="T62" s="161"/>
    </row>
    <row r="63" spans="1:20" s="174" customFormat="1" ht="30" customHeight="1">
      <c r="A63" s="18">
        <v>62</v>
      </c>
      <c r="B63" s="299"/>
      <c r="C63" s="252" t="s">
        <v>4374</v>
      </c>
      <c r="D63" s="253" t="s">
        <v>4375</v>
      </c>
      <c r="E63" s="254" t="s">
        <v>4376</v>
      </c>
      <c r="F63" s="192">
        <v>9740731101</v>
      </c>
      <c r="G63" s="192" t="s">
        <v>4377</v>
      </c>
      <c r="H63" s="192"/>
      <c r="I63" s="177"/>
      <c r="J63" s="300"/>
      <c r="K63" s="257">
        <v>45806</v>
      </c>
      <c r="L63" s="257"/>
      <c r="M63" s="192">
        <v>12</v>
      </c>
      <c r="N63" s="192"/>
      <c r="O63" s="18" t="s">
        <v>176</v>
      </c>
      <c r="P63" s="192"/>
      <c r="Q63" s="258" t="s">
        <v>4378</v>
      </c>
      <c r="R63" s="131"/>
      <c r="S63" s="219"/>
      <c r="T63" s="219" t="s">
        <v>1714</v>
      </c>
    </row>
    <row r="64" spans="1:20" ht="30" customHeight="1">
      <c r="A64" s="7">
        <v>63</v>
      </c>
      <c r="B64" s="52"/>
      <c r="C64" s="45" t="s">
        <v>4379</v>
      </c>
      <c r="D64" s="46" t="s">
        <v>4380</v>
      </c>
      <c r="E64" s="41" t="s">
        <v>4381</v>
      </c>
      <c r="F64" s="43">
        <v>9560850888</v>
      </c>
      <c r="G64" s="43" t="s">
        <v>4382</v>
      </c>
      <c r="H64" s="43"/>
      <c r="I64" s="44"/>
      <c r="J64" s="74"/>
      <c r="K64" s="42"/>
      <c r="L64" s="42"/>
      <c r="M64" s="43">
        <v>12</v>
      </c>
      <c r="N64" s="43"/>
      <c r="O64" s="44" t="s">
        <v>195</v>
      </c>
      <c r="P64" s="43"/>
      <c r="Q64" s="186" t="s">
        <v>4383</v>
      </c>
      <c r="R64" s="133"/>
      <c r="S64" s="161"/>
      <c r="T64" s="161"/>
    </row>
    <row r="65" spans="1:20" s="239" customFormat="1" ht="121.5">
      <c r="A65" s="18">
        <v>64</v>
      </c>
      <c r="B65" s="299"/>
      <c r="C65" s="252" t="s">
        <v>4384</v>
      </c>
      <c r="D65" s="253" t="s">
        <v>4385</v>
      </c>
      <c r="E65" s="253" t="s">
        <v>4386</v>
      </c>
      <c r="F65" s="192">
        <v>8217431588</v>
      </c>
      <c r="G65" s="192" t="s">
        <v>4387</v>
      </c>
      <c r="H65" s="192"/>
      <c r="I65" s="177"/>
      <c r="J65" s="300"/>
      <c r="K65" s="257"/>
      <c r="L65" s="257"/>
      <c r="M65" s="192">
        <v>12</v>
      </c>
      <c r="N65" s="192"/>
      <c r="O65" s="177" t="s">
        <v>195</v>
      </c>
      <c r="P65" s="192"/>
      <c r="Q65" s="258" t="s">
        <v>4388</v>
      </c>
      <c r="R65" s="131"/>
      <c r="S65" s="198"/>
      <c r="T65" s="198" t="s">
        <v>1714</v>
      </c>
    </row>
    <row r="66" spans="1:20" s="239" customFormat="1" ht="91.5">
      <c r="A66" s="18">
        <v>65</v>
      </c>
      <c r="B66" s="299"/>
      <c r="C66" s="253" t="s">
        <v>4389</v>
      </c>
      <c r="D66" s="253" t="s">
        <v>4389</v>
      </c>
      <c r="E66" s="253" t="s">
        <v>4390</v>
      </c>
      <c r="F66" s="192">
        <v>9833428539</v>
      </c>
      <c r="G66" s="192" t="s">
        <v>4391</v>
      </c>
      <c r="H66" s="192"/>
      <c r="I66" s="177"/>
      <c r="J66" s="300"/>
      <c r="K66" s="257"/>
      <c r="L66" s="257"/>
      <c r="M66" s="192">
        <v>12</v>
      </c>
      <c r="N66" s="192"/>
      <c r="O66" s="177" t="s">
        <v>195</v>
      </c>
      <c r="P66" s="192"/>
      <c r="Q66" s="258" t="s">
        <v>4392</v>
      </c>
      <c r="R66" s="131"/>
      <c r="S66" s="198" t="s">
        <v>4073</v>
      </c>
      <c r="T66" s="198" t="s">
        <v>4073</v>
      </c>
    </row>
    <row r="67" spans="1:20" s="29" customFormat="1" ht="60.75">
      <c r="A67" s="7">
        <v>66</v>
      </c>
      <c r="B67" s="52"/>
      <c r="C67" s="45" t="s">
        <v>4393</v>
      </c>
      <c r="D67" s="46" t="s">
        <v>4394</v>
      </c>
      <c r="E67" s="46" t="s">
        <v>4395</v>
      </c>
      <c r="F67" s="43">
        <v>7505186631</v>
      </c>
      <c r="G67" s="43" t="s">
        <v>4396</v>
      </c>
      <c r="H67" s="43"/>
      <c r="I67" s="44"/>
      <c r="J67" s="74"/>
      <c r="K67" s="42"/>
      <c r="L67" s="42"/>
      <c r="M67" s="43">
        <v>12</v>
      </c>
      <c r="N67" s="43"/>
      <c r="O67" s="44" t="s">
        <v>195</v>
      </c>
      <c r="P67" s="43"/>
      <c r="Q67" s="186" t="s">
        <v>4397</v>
      </c>
      <c r="R67" s="133"/>
      <c r="S67" s="141"/>
      <c r="T67" s="141"/>
    </row>
    <row r="68" spans="1:20" s="239" customFormat="1" ht="76.5">
      <c r="A68" s="18">
        <v>67</v>
      </c>
      <c r="B68" s="299"/>
      <c r="C68" s="252" t="s">
        <v>4398</v>
      </c>
      <c r="D68" s="253" t="s">
        <v>4399</v>
      </c>
      <c r="E68" s="253" t="s">
        <v>4400</v>
      </c>
      <c r="F68" s="192">
        <v>8197581117</v>
      </c>
      <c r="G68" s="192" t="s">
        <v>4377</v>
      </c>
      <c r="H68" s="192"/>
      <c r="I68" s="177"/>
      <c r="J68" s="300"/>
      <c r="K68" s="257"/>
      <c r="L68" s="257"/>
      <c r="M68" s="192">
        <v>12</v>
      </c>
      <c r="N68" s="192"/>
      <c r="O68" s="18" t="s">
        <v>176</v>
      </c>
      <c r="P68" s="192"/>
      <c r="Q68" s="258" t="s">
        <v>4401</v>
      </c>
      <c r="R68" s="131"/>
      <c r="S68" s="198" t="s">
        <v>4073</v>
      </c>
      <c r="T68" s="198" t="s">
        <v>4073</v>
      </c>
    </row>
    <row r="69" spans="1:20" s="174" customFormat="1" ht="76.5">
      <c r="A69" s="18">
        <v>68</v>
      </c>
      <c r="B69" s="299"/>
      <c r="C69" s="252" t="s">
        <v>4402</v>
      </c>
      <c r="D69" s="253" t="s">
        <v>4403</v>
      </c>
      <c r="E69" s="254" t="s">
        <v>4404</v>
      </c>
      <c r="F69" s="192">
        <v>9819130413</v>
      </c>
      <c r="G69" s="192" t="s">
        <v>4405</v>
      </c>
      <c r="H69" s="192"/>
      <c r="I69" s="177"/>
      <c r="J69" s="300"/>
      <c r="K69" s="257">
        <v>45811</v>
      </c>
      <c r="L69" s="257"/>
      <c r="M69" s="192">
        <v>12</v>
      </c>
      <c r="N69" s="192"/>
      <c r="O69" s="18" t="s">
        <v>176</v>
      </c>
      <c r="P69" s="192"/>
      <c r="Q69" s="258" t="s">
        <v>4406</v>
      </c>
      <c r="R69" s="131"/>
      <c r="S69" s="219" t="s">
        <v>4073</v>
      </c>
      <c r="T69" s="219" t="s">
        <v>4073</v>
      </c>
    </row>
    <row r="70" spans="1:20" ht="76.5">
      <c r="A70" s="7">
        <v>69</v>
      </c>
      <c r="B70" s="52"/>
      <c r="C70" s="45" t="s">
        <v>4407</v>
      </c>
      <c r="D70" s="46" t="s">
        <v>4408</v>
      </c>
      <c r="E70" s="46" t="s">
        <v>4409</v>
      </c>
      <c r="F70" s="43">
        <v>9353378367</v>
      </c>
      <c r="G70" s="43" t="s">
        <v>4410</v>
      </c>
      <c r="H70" s="43"/>
      <c r="I70" s="44"/>
      <c r="J70" s="74"/>
      <c r="K70" s="42">
        <v>45811</v>
      </c>
      <c r="L70" s="42"/>
      <c r="M70" s="43">
        <v>12</v>
      </c>
      <c r="N70" s="43"/>
      <c r="O70" s="44" t="s">
        <v>195</v>
      </c>
      <c r="P70" s="43"/>
      <c r="Q70" s="186" t="s">
        <v>4411</v>
      </c>
      <c r="R70" s="133"/>
      <c r="S70" s="161"/>
      <c r="T70" s="161"/>
    </row>
    <row r="71" spans="1:20" s="174" customFormat="1" ht="60.75">
      <c r="A71" s="18">
        <v>70</v>
      </c>
      <c r="B71" s="299"/>
      <c r="C71" s="252" t="s">
        <v>4412</v>
      </c>
      <c r="D71" s="253" t="s">
        <v>4413</v>
      </c>
      <c r="E71" s="254" t="s">
        <v>4414</v>
      </c>
      <c r="F71" s="192">
        <v>9822056006</v>
      </c>
      <c r="G71" s="192" t="s">
        <v>4415</v>
      </c>
      <c r="H71" s="192"/>
      <c r="I71" s="177"/>
      <c r="J71" s="300"/>
      <c r="K71" s="257">
        <v>45811</v>
      </c>
      <c r="L71" s="257"/>
      <c r="M71" s="192">
        <v>12</v>
      </c>
      <c r="N71" s="192"/>
      <c r="O71" s="177" t="s">
        <v>195</v>
      </c>
      <c r="P71" s="192"/>
      <c r="Q71" s="258" t="s">
        <v>4416</v>
      </c>
      <c r="R71" s="131"/>
      <c r="S71" s="219"/>
      <c r="T71" s="219" t="s">
        <v>1714</v>
      </c>
    </row>
    <row r="72" spans="1:20" s="174" customFormat="1" ht="121.5">
      <c r="A72" s="18">
        <v>71</v>
      </c>
      <c r="B72" s="299"/>
      <c r="C72" s="252" t="s">
        <v>4417</v>
      </c>
      <c r="D72" s="253" t="s">
        <v>4418</v>
      </c>
      <c r="E72" s="254" t="s">
        <v>4419</v>
      </c>
      <c r="F72" s="192">
        <v>9982196666</v>
      </c>
      <c r="G72" s="192" t="s">
        <v>4420</v>
      </c>
      <c r="H72" s="192"/>
      <c r="I72" s="177"/>
      <c r="J72" s="300"/>
      <c r="K72" s="257">
        <v>45814</v>
      </c>
      <c r="L72" s="257"/>
      <c r="M72" s="192">
        <v>12</v>
      </c>
      <c r="N72" s="192"/>
      <c r="O72" s="177" t="s">
        <v>195</v>
      </c>
      <c r="P72" s="192"/>
      <c r="Q72" s="258" t="s">
        <v>4421</v>
      </c>
      <c r="R72" s="131"/>
      <c r="S72" s="219"/>
      <c r="T72" s="219" t="s">
        <v>1714</v>
      </c>
    </row>
    <row r="73" spans="1:20" s="174" customFormat="1" ht="76.5">
      <c r="A73" s="18">
        <v>72</v>
      </c>
      <c r="B73" s="299"/>
      <c r="C73" s="252" t="s">
        <v>4422</v>
      </c>
      <c r="D73" s="253" t="s">
        <v>4423</v>
      </c>
      <c r="E73" s="254" t="s">
        <v>4424</v>
      </c>
      <c r="F73" s="192" t="s">
        <v>4425</v>
      </c>
      <c r="G73" s="192" t="s">
        <v>4426</v>
      </c>
      <c r="H73" s="192"/>
      <c r="I73" s="177"/>
      <c r="J73" s="300"/>
      <c r="K73" s="257"/>
      <c r="L73" s="257"/>
      <c r="M73" s="192">
        <v>12</v>
      </c>
      <c r="N73" s="192"/>
      <c r="O73" s="18" t="s">
        <v>176</v>
      </c>
      <c r="P73" s="192"/>
      <c r="Q73" s="258" t="s">
        <v>4427</v>
      </c>
      <c r="R73" s="131"/>
      <c r="S73" s="219"/>
      <c r="T73" s="219" t="s">
        <v>1714</v>
      </c>
    </row>
    <row r="74" spans="1:20" s="174" customFormat="1" ht="76.5">
      <c r="A74" s="18">
        <v>73</v>
      </c>
      <c r="B74" s="299"/>
      <c r="C74" s="252" t="s">
        <v>4428</v>
      </c>
      <c r="D74" s="253" t="s">
        <v>4429</v>
      </c>
      <c r="E74" s="254" t="s">
        <v>4430</v>
      </c>
      <c r="F74" s="192" t="s">
        <v>4431</v>
      </c>
      <c r="G74" s="192" t="s">
        <v>4432</v>
      </c>
      <c r="H74" s="192" t="s">
        <v>4433</v>
      </c>
      <c r="I74" s="177"/>
      <c r="J74" s="300"/>
      <c r="K74" s="257">
        <v>45825</v>
      </c>
      <c r="L74" s="257">
        <v>46189</v>
      </c>
      <c r="M74" s="192">
        <v>12</v>
      </c>
      <c r="N74" s="192"/>
      <c r="O74" s="18" t="s">
        <v>176</v>
      </c>
      <c r="P74" s="192"/>
      <c r="Q74" s="258" t="s">
        <v>4427</v>
      </c>
      <c r="R74" s="131" t="s">
        <v>4434</v>
      </c>
      <c r="S74" s="219" t="s">
        <v>4435</v>
      </c>
      <c r="T74" s="219" t="s">
        <v>1714</v>
      </c>
    </row>
    <row r="75" spans="1:20" s="174" customFormat="1" ht="76.5">
      <c r="A75" s="18">
        <v>74</v>
      </c>
      <c r="B75" s="299"/>
      <c r="C75" s="252" t="s">
        <v>4436</v>
      </c>
      <c r="D75" s="253" t="s">
        <v>4437</v>
      </c>
      <c r="E75" s="254" t="s">
        <v>4438</v>
      </c>
      <c r="F75" s="192">
        <v>9164541555</v>
      </c>
      <c r="G75" s="192" t="s">
        <v>4439</v>
      </c>
      <c r="H75" s="192"/>
      <c r="I75" s="177"/>
      <c r="J75" s="300"/>
      <c r="K75" s="257">
        <v>45819</v>
      </c>
      <c r="L75" s="257"/>
      <c r="M75" s="192">
        <v>12</v>
      </c>
      <c r="N75" s="192"/>
      <c r="O75" s="18" t="s">
        <v>176</v>
      </c>
      <c r="P75" s="192"/>
      <c r="Q75" s="258" t="s">
        <v>4440</v>
      </c>
      <c r="R75" s="131" t="s">
        <v>4441</v>
      </c>
      <c r="S75" s="219"/>
      <c r="T75" s="219" t="s">
        <v>1714</v>
      </c>
    </row>
    <row r="76" spans="1:20" s="174" customFormat="1" ht="137.25">
      <c r="A76" s="18">
        <v>75</v>
      </c>
      <c r="B76" s="299"/>
      <c r="C76" s="252" t="s">
        <v>4442</v>
      </c>
      <c r="D76" s="121" t="s">
        <v>4443</v>
      </c>
      <c r="E76" s="254" t="s">
        <v>4444</v>
      </c>
      <c r="F76" s="192">
        <v>9535382261</v>
      </c>
      <c r="G76" s="192" t="s">
        <v>4445</v>
      </c>
      <c r="H76" s="192"/>
      <c r="I76" s="177"/>
      <c r="J76" s="300"/>
      <c r="K76" s="257">
        <v>45822</v>
      </c>
      <c r="L76" s="257">
        <v>46186</v>
      </c>
      <c r="M76" s="192">
        <v>12</v>
      </c>
      <c r="N76" s="192"/>
      <c r="O76" s="177" t="s">
        <v>195</v>
      </c>
      <c r="P76" s="192"/>
      <c r="Q76" s="258" t="s">
        <v>4446</v>
      </c>
      <c r="R76" s="131" t="s">
        <v>4447</v>
      </c>
      <c r="S76" s="219" t="s">
        <v>1714</v>
      </c>
      <c r="T76" s="219" t="s">
        <v>1714</v>
      </c>
    </row>
    <row r="77" spans="1:20" ht="60.75">
      <c r="A77" s="7">
        <v>76</v>
      </c>
      <c r="B77" s="52"/>
      <c r="C77" s="45" t="s">
        <v>4448</v>
      </c>
      <c r="D77" s="16" t="s">
        <v>4449</v>
      </c>
      <c r="E77" s="41" t="s">
        <v>4450</v>
      </c>
      <c r="F77" s="43">
        <v>7025247419</v>
      </c>
      <c r="G77" s="43" t="s">
        <v>4451</v>
      </c>
      <c r="H77" s="43"/>
      <c r="I77" s="44"/>
      <c r="J77" s="74"/>
      <c r="K77" s="42">
        <v>45824</v>
      </c>
      <c r="L77" s="42"/>
      <c r="M77" s="43">
        <v>12</v>
      </c>
      <c r="N77" s="43"/>
      <c r="O77" s="44" t="s">
        <v>195</v>
      </c>
      <c r="P77" s="43"/>
      <c r="Q77" s="186" t="s">
        <v>4452</v>
      </c>
      <c r="R77" s="133"/>
      <c r="S77" s="161"/>
      <c r="T77" s="161"/>
    </row>
    <row r="78" spans="1:20" ht="91.5">
      <c r="A78" s="7">
        <v>77</v>
      </c>
      <c r="B78" s="52"/>
      <c r="C78" s="45" t="s">
        <v>4453</v>
      </c>
      <c r="D78" s="15" t="s">
        <v>4454</v>
      </c>
      <c r="E78" s="41" t="s">
        <v>4455</v>
      </c>
      <c r="F78" s="43">
        <v>9739963138</v>
      </c>
      <c r="G78" s="43" t="s">
        <v>4456</v>
      </c>
      <c r="H78" s="43"/>
      <c r="I78" s="44"/>
      <c r="J78" s="74"/>
      <c r="K78" s="42">
        <v>45824</v>
      </c>
      <c r="L78" s="42"/>
      <c r="M78" s="43">
        <v>12</v>
      </c>
      <c r="N78" s="43"/>
      <c r="O78" s="7" t="s">
        <v>176</v>
      </c>
      <c r="P78" s="43"/>
      <c r="Q78" s="186" t="s">
        <v>4457</v>
      </c>
      <c r="R78" s="133"/>
      <c r="S78" s="161"/>
      <c r="T78" s="161"/>
    </row>
    <row r="79" spans="1:20" ht="60.75">
      <c r="A79" s="7">
        <v>78</v>
      </c>
      <c r="B79" s="52"/>
      <c r="C79" s="38" t="s">
        <v>4458</v>
      </c>
      <c r="D79" s="15" t="s">
        <v>4459</v>
      </c>
      <c r="E79" s="60" t="s">
        <v>4460</v>
      </c>
      <c r="F79" s="43" t="s">
        <v>4461</v>
      </c>
      <c r="G79" s="43" t="s">
        <v>4462</v>
      </c>
      <c r="H79" s="43"/>
      <c r="I79" s="44"/>
      <c r="J79" s="74"/>
      <c r="K79" s="42"/>
      <c r="L79" s="42"/>
      <c r="M79" s="43">
        <v>12</v>
      </c>
      <c r="N79" s="43"/>
      <c r="O79" s="44" t="s">
        <v>195</v>
      </c>
      <c r="P79" s="43"/>
      <c r="Q79" s="186" t="s">
        <v>4463</v>
      </c>
      <c r="R79" s="133"/>
      <c r="S79" s="161"/>
      <c r="T79" s="161"/>
    </row>
    <row r="80" spans="1:20" s="174" customFormat="1" ht="106.5">
      <c r="A80" s="18">
        <v>79</v>
      </c>
      <c r="B80" s="299"/>
      <c r="C80" s="240" t="s">
        <v>4464</v>
      </c>
      <c r="D80" s="121" t="s">
        <v>4465</v>
      </c>
      <c r="E80" s="410" t="s">
        <v>4466</v>
      </c>
      <c r="F80" s="192">
        <v>9686262712</v>
      </c>
      <c r="G80" s="192" t="s">
        <v>4467</v>
      </c>
      <c r="H80" s="192" t="s">
        <v>4468</v>
      </c>
      <c r="I80" s="177"/>
      <c r="J80" s="300"/>
      <c r="K80" s="257">
        <v>45829</v>
      </c>
      <c r="L80" s="257">
        <v>46193</v>
      </c>
      <c r="M80" s="192">
        <v>12</v>
      </c>
      <c r="N80" s="192"/>
      <c r="O80" s="18" t="s">
        <v>176</v>
      </c>
      <c r="P80" s="192"/>
      <c r="Q80" s="258" t="s">
        <v>4469</v>
      </c>
      <c r="R80" s="131" t="s">
        <v>4470</v>
      </c>
      <c r="S80" s="219" t="s">
        <v>1714</v>
      </c>
      <c r="T80" s="219" t="s">
        <v>1714</v>
      </c>
    </row>
    <row r="81" spans="1:20" ht="76.5">
      <c r="A81" s="7">
        <v>80</v>
      </c>
      <c r="B81" s="52"/>
      <c r="C81" s="38"/>
      <c r="D81" s="15" t="s">
        <v>4471</v>
      </c>
      <c r="E81" s="60" t="s">
        <v>4472</v>
      </c>
      <c r="F81" s="43">
        <v>9048902153</v>
      </c>
      <c r="G81" s="43" t="s">
        <v>4473</v>
      </c>
      <c r="H81" s="43"/>
      <c r="I81" s="44"/>
      <c r="J81" s="74"/>
      <c r="K81" s="42">
        <v>45831</v>
      </c>
      <c r="L81" s="42"/>
      <c r="M81" s="43">
        <v>12</v>
      </c>
      <c r="N81" s="43"/>
      <c r="O81" s="7" t="s">
        <v>176</v>
      </c>
      <c r="P81" s="43"/>
      <c r="Q81" s="186" t="s">
        <v>4474</v>
      </c>
      <c r="R81" s="133"/>
      <c r="S81" s="161"/>
      <c r="T81" s="161"/>
    </row>
    <row r="82" spans="1:20" s="174" customFormat="1" ht="76.5">
      <c r="A82" s="18">
        <v>81</v>
      </c>
      <c r="B82" s="299"/>
      <c r="C82" s="240"/>
      <c r="D82" s="410" t="s">
        <v>4475</v>
      </c>
      <c r="E82" s="410" t="s">
        <v>4476</v>
      </c>
      <c r="F82" s="192">
        <v>8884095333</v>
      </c>
      <c r="G82" s="192" t="s">
        <v>4477</v>
      </c>
      <c r="H82" s="192"/>
      <c r="I82" s="177"/>
      <c r="J82" s="300"/>
      <c r="K82" s="257">
        <v>45832</v>
      </c>
      <c r="L82" s="257"/>
      <c r="M82" s="192">
        <v>12</v>
      </c>
      <c r="N82" s="192"/>
      <c r="O82" s="177" t="s">
        <v>195</v>
      </c>
      <c r="P82" s="192"/>
      <c r="Q82" s="258" t="s">
        <v>4478</v>
      </c>
      <c r="R82" s="131"/>
      <c r="S82" s="219" t="s">
        <v>1714</v>
      </c>
      <c r="T82" s="219" t="s">
        <v>1714</v>
      </c>
    </row>
    <row r="83" spans="1:20" s="174" customFormat="1" ht="121.5">
      <c r="A83" s="18">
        <v>82</v>
      </c>
      <c r="B83" s="299" t="s">
        <v>227</v>
      </c>
      <c r="C83" s="253" t="s">
        <v>4479</v>
      </c>
      <c r="D83" s="253" t="s">
        <v>4480</v>
      </c>
      <c r="E83" s="254" t="s">
        <v>4481</v>
      </c>
      <c r="F83" s="192">
        <v>9663311035</v>
      </c>
      <c r="G83" s="192"/>
      <c r="H83" s="192" t="s">
        <v>1737</v>
      </c>
      <c r="I83" s="177"/>
      <c r="J83" s="300"/>
      <c r="K83" s="257">
        <v>45835</v>
      </c>
      <c r="L83" s="257">
        <v>46199</v>
      </c>
      <c r="M83" s="192">
        <v>12</v>
      </c>
      <c r="N83" s="192"/>
      <c r="O83" s="18" t="s">
        <v>176</v>
      </c>
      <c r="P83" s="192"/>
      <c r="Q83" s="258" t="s">
        <v>4482</v>
      </c>
      <c r="R83" s="131" t="s">
        <v>4483</v>
      </c>
      <c r="S83" s="219" t="s">
        <v>1714</v>
      </c>
      <c r="T83" s="219" t="s">
        <v>1714</v>
      </c>
    </row>
    <row r="84" spans="1:20" s="174" customFormat="1" ht="76.5">
      <c r="A84" s="18">
        <v>83</v>
      </c>
      <c r="B84" s="299"/>
      <c r="C84" s="252"/>
      <c r="D84" s="253" t="s">
        <v>4484</v>
      </c>
      <c r="E84" s="254" t="s">
        <v>4485</v>
      </c>
      <c r="F84" s="177" t="s">
        <v>4486</v>
      </c>
      <c r="G84" s="192" t="s">
        <v>4487</v>
      </c>
      <c r="H84" s="192"/>
      <c r="I84" s="177"/>
      <c r="J84" s="300"/>
      <c r="K84" s="257">
        <v>45835</v>
      </c>
      <c r="L84" s="257"/>
      <c r="M84" s="192">
        <v>12</v>
      </c>
      <c r="N84" s="192"/>
      <c r="O84" s="18" t="s">
        <v>176</v>
      </c>
      <c r="P84" s="192"/>
      <c r="Q84" s="258" t="s">
        <v>4488</v>
      </c>
      <c r="R84" s="131"/>
      <c r="S84" s="219" t="s">
        <v>1714</v>
      </c>
      <c r="T84" s="219" t="s">
        <v>1714</v>
      </c>
    </row>
    <row r="85" spans="1:20" s="174" customFormat="1" ht="45.75">
      <c r="A85" s="18">
        <v>84</v>
      </c>
      <c r="B85" s="299"/>
      <c r="C85" s="252" t="s">
        <v>4489</v>
      </c>
      <c r="D85" s="253" t="s">
        <v>4490</v>
      </c>
      <c r="E85" s="253" t="s">
        <v>4491</v>
      </c>
      <c r="F85" s="192" t="s">
        <v>4492</v>
      </c>
      <c r="G85" s="192" t="s">
        <v>4493</v>
      </c>
      <c r="H85" s="192"/>
      <c r="I85" s="177"/>
      <c r="J85" s="300"/>
      <c r="K85" s="257">
        <v>45835</v>
      </c>
      <c r="L85" s="257">
        <v>46169</v>
      </c>
      <c r="M85" s="192">
        <v>11</v>
      </c>
      <c r="N85" s="192"/>
      <c r="O85" s="18" t="s">
        <v>176</v>
      </c>
      <c r="P85" s="192"/>
      <c r="Q85" s="258" t="s">
        <v>4494</v>
      </c>
      <c r="R85" s="131" t="s">
        <v>4495</v>
      </c>
      <c r="S85" s="219" t="s">
        <v>1714</v>
      </c>
      <c r="T85" s="219" t="s">
        <v>1714</v>
      </c>
    </row>
    <row r="86" spans="1:20" s="174" customFormat="1" ht="76.5">
      <c r="A86" s="18">
        <v>85</v>
      </c>
      <c r="B86" s="299"/>
      <c r="C86" s="252" t="s">
        <v>4496</v>
      </c>
      <c r="D86" s="253" t="s">
        <v>4497</v>
      </c>
      <c r="E86" s="254" t="s">
        <v>4498</v>
      </c>
      <c r="F86" s="192">
        <v>8317487277</v>
      </c>
      <c r="G86" s="192" t="s">
        <v>4499</v>
      </c>
      <c r="H86" s="192"/>
      <c r="I86" s="177"/>
      <c r="J86" s="300"/>
      <c r="K86" s="257">
        <v>45841</v>
      </c>
      <c r="L86" s="257"/>
      <c r="M86" s="192">
        <v>12</v>
      </c>
      <c r="N86" s="192"/>
      <c r="O86" s="177" t="s">
        <v>195</v>
      </c>
      <c r="P86" s="192"/>
      <c r="Q86" s="258" t="s">
        <v>4500</v>
      </c>
      <c r="R86" s="131"/>
      <c r="S86" s="219" t="s">
        <v>1714</v>
      </c>
      <c r="T86" s="219" t="s">
        <v>1714</v>
      </c>
    </row>
    <row r="87" spans="1:20" ht="106.5">
      <c r="A87" s="7">
        <v>86</v>
      </c>
      <c r="B87" s="52"/>
      <c r="C87" s="45"/>
      <c r="D87" s="46" t="s">
        <v>4501</v>
      </c>
      <c r="E87" s="41" t="s">
        <v>4502</v>
      </c>
      <c r="F87" s="43">
        <v>8107867676</v>
      </c>
      <c r="G87" s="43" t="s">
        <v>4487</v>
      </c>
      <c r="H87" s="43"/>
      <c r="I87" s="44"/>
      <c r="J87" s="74"/>
      <c r="K87" s="42"/>
      <c r="L87" s="42"/>
      <c r="M87" s="43">
        <v>12</v>
      </c>
      <c r="N87" s="43"/>
      <c r="O87" s="44" t="s">
        <v>195</v>
      </c>
      <c r="P87" s="43"/>
      <c r="Q87" s="186" t="s">
        <v>4503</v>
      </c>
      <c r="R87" s="133"/>
      <c r="S87" s="161"/>
      <c r="T87" s="161"/>
    </row>
    <row r="88" spans="1:20" s="174" customFormat="1" ht="91.5">
      <c r="A88" s="18">
        <v>87</v>
      </c>
      <c r="B88" s="299"/>
      <c r="C88" s="252"/>
      <c r="D88" s="253" t="s">
        <v>4504</v>
      </c>
      <c r="E88" s="254" t="s">
        <v>4505</v>
      </c>
      <c r="F88" s="192">
        <v>7899058386</v>
      </c>
      <c r="G88" s="192" t="s">
        <v>4506</v>
      </c>
      <c r="H88" s="192"/>
      <c r="I88" s="177"/>
      <c r="J88" s="300"/>
      <c r="K88" s="257">
        <v>45841</v>
      </c>
      <c r="L88" s="257"/>
      <c r="M88" s="192">
        <v>12</v>
      </c>
      <c r="N88" s="192"/>
      <c r="O88" s="177" t="s">
        <v>195</v>
      </c>
      <c r="P88" s="192"/>
      <c r="Q88" s="258" t="s">
        <v>4507</v>
      </c>
      <c r="R88" s="131"/>
      <c r="S88" s="219"/>
      <c r="T88" s="219" t="s">
        <v>1714</v>
      </c>
    </row>
    <row r="89" spans="1:20" s="174" customFormat="1" ht="91.5">
      <c r="A89" s="18">
        <v>88</v>
      </c>
      <c r="B89" s="299"/>
      <c r="C89" s="252" t="s">
        <v>4508</v>
      </c>
      <c r="D89" s="253" t="s">
        <v>4509</v>
      </c>
      <c r="E89" s="254" t="s">
        <v>4510</v>
      </c>
      <c r="F89" s="192">
        <v>9840292873</v>
      </c>
      <c r="G89" s="192" t="s">
        <v>1495</v>
      </c>
      <c r="H89" s="192"/>
      <c r="I89" s="177"/>
      <c r="J89" s="300"/>
      <c r="K89" s="257">
        <v>45846</v>
      </c>
      <c r="L89" s="257">
        <v>46181</v>
      </c>
      <c r="M89" s="192">
        <v>11</v>
      </c>
      <c r="N89" s="192"/>
      <c r="O89" s="177" t="s">
        <v>195</v>
      </c>
      <c r="P89" s="192"/>
      <c r="Q89" s="258" t="s">
        <v>4511</v>
      </c>
      <c r="R89" s="131" t="s">
        <v>4512</v>
      </c>
      <c r="S89" s="219"/>
      <c r="T89" s="219" t="s">
        <v>1714</v>
      </c>
    </row>
    <row r="90" spans="1:20" s="174" customFormat="1" ht="76.5">
      <c r="A90" s="18">
        <v>89</v>
      </c>
      <c r="B90" s="299"/>
      <c r="C90" s="252"/>
      <c r="D90" s="253" t="s">
        <v>4513</v>
      </c>
      <c r="E90" s="254" t="s">
        <v>4514</v>
      </c>
      <c r="F90" s="192">
        <v>7977235953</v>
      </c>
      <c r="G90" s="192" t="s">
        <v>4136</v>
      </c>
      <c r="H90" s="192"/>
      <c r="I90" s="177"/>
      <c r="J90" s="300"/>
      <c r="K90" s="257">
        <v>45856</v>
      </c>
      <c r="L90" s="257"/>
      <c r="M90" s="192">
        <v>12</v>
      </c>
      <c r="N90" s="192"/>
      <c r="O90" s="18" t="s">
        <v>176</v>
      </c>
      <c r="P90" s="192"/>
      <c r="Q90" s="258" t="s">
        <v>4515</v>
      </c>
      <c r="R90" s="131"/>
      <c r="S90" s="219" t="s">
        <v>1714</v>
      </c>
      <c r="T90" s="219" t="s">
        <v>1714</v>
      </c>
    </row>
    <row r="91" spans="1:20" s="174" customFormat="1" ht="76.5">
      <c r="A91" s="18">
        <v>90</v>
      </c>
      <c r="B91" s="299"/>
      <c r="C91" s="252"/>
      <c r="D91" s="253" t="s">
        <v>4516</v>
      </c>
      <c r="E91" s="254" t="s">
        <v>4517</v>
      </c>
      <c r="F91" s="192" t="s">
        <v>4518</v>
      </c>
      <c r="G91" s="192" t="s">
        <v>4519</v>
      </c>
      <c r="H91" s="192"/>
      <c r="I91" s="177"/>
      <c r="J91" s="300"/>
      <c r="K91" s="257">
        <v>45857</v>
      </c>
      <c r="L91" s="257"/>
      <c r="M91" s="192">
        <v>12</v>
      </c>
      <c r="N91" s="192"/>
      <c r="O91" s="18" t="s">
        <v>176</v>
      </c>
      <c r="P91" s="192"/>
      <c r="Q91" s="258" t="s">
        <v>4520</v>
      </c>
      <c r="R91" s="131"/>
      <c r="S91" s="219"/>
      <c r="T91" s="196" t="s">
        <v>3304</v>
      </c>
    </row>
    <row r="92" spans="1:20" ht="45.75">
      <c r="A92" s="7">
        <v>91</v>
      </c>
      <c r="B92" s="52" t="s">
        <v>227</v>
      </c>
      <c r="C92" s="45" t="s">
        <v>4521</v>
      </c>
      <c r="D92" s="46" t="s">
        <v>4522</v>
      </c>
      <c r="E92" s="58" t="s">
        <v>4523</v>
      </c>
      <c r="F92" s="43">
        <v>9493403436</v>
      </c>
      <c r="G92" s="43"/>
      <c r="H92" s="43"/>
      <c r="I92" s="44"/>
      <c r="J92" s="74"/>
      <c r="K92" s="42"/>
      <c r="L92" s="42"/>
      <c r="M92" s="43">
        <v>12</v>
      </c>
      <c r="N92" s="43"/>
      <c r="O92" s="44" t="s">
        <v>203</v>
      </c>
      <c r="P92" s="43"/>
      <c r="Q92" s="186" t="s">
        <v>4524</v>
      </c>
      <c r="R92" s="133"/>
      <c r="S92" s="161"/>
      <c r="T92" s="161"/>
    </row>
    <row r="93" spans="1:20" s="174" customFormat="1" ht="91.5">
      <c r="A93" s="18">
        <v>92</v>
      </c>
      <c r="B93" s="299" t="s">
        <v>227</v>
      </c>
      <c r="C93" s="252" t="s">
        <v>4525</v>
      </c>
      <c r="D93" s="253" t="s">
        <v>4526</v>
      </c>
      <c r="E93" s="254" t="s">
        <v>4527</v>
      </c>
      <c r="F93" s="192">
        <v>8882802824</v>
      </c>
      <c r="G93" s="192" t="s">
        <v>4528</v>
      </c>
      <c r="H93" s="192"/>
      <c r="I93" s="177"/>
      <c r="J93" s="300"/>
      <c r="K93" s="257">
        <v>45862</v>
      </c>
      <c r="L93" s="257"/>
      <c r="M93" s="192">
        <v>12</v>
      </c>
      <c r="N93" s="192"/>
      <c r="O93" s="177" t="s">
        <v>195</v>
      </c>
      <c r="P93" s="192"/>
      <c r="Q93" s="258" t="s">
        <v>4529</v>
      </c>
      <c r="R93" s="131"/>
      <c r="S93" s="219" t="s">
        <v>1714</v>
      </c>
      <c r="T93" s="219" t="s">
        <v>1714</v>
      </c>
    </row>
    <row r="94" spans="1:20" s="174" customFormat="1" ht="60.75">
      <c r="A94" s="18">
        <v>93</v>
      </c>
      <c r="B94" s="299" t="s">
        <v>227</v>
      </c>
      <c r="C94" s="252" t="s">
        <v>4530</v>
      </c>
      <c r="D94" s="253" t="s">
        <v>4531</v>
      </c>
      <c r="E94" s="254" t="s">
        <v>4532</v>
      </c>
      <c r="F94" s="192" t="s">
        <v>4533</v>
      </c>
      <c r="G94" s="192" t="s">
        <v>4534</v>
      </c>
      <c r="H94" s="192"/>
      <c r="I94" s="177"/>
      <c r="J94" s="300"/>
      <c r="K94" s="257">
        <v>45869</v>
      </c>
      <c r="L94" s="257"/>
      <c r="M94" s="192">
        <v>12</v>
      </c>
      <c r="N94" s="192"/>
      <c r="O94" s="18" t="s">
        <v>176</v>
      </c>
      <c r="P94" s="192"/>
      <c r="Q94" s="258" t="s">
        <v>4535</v>
      </c>
      <c r="R94" s="131"/>
      <c r="S94" s="219"/>
      <c r="T94" s="219" t="s">
        <v>4073</v>
      </c>
    </row>
    <row r="95" spans="1:20" s="174" customFormat="1" ht="76.5">
      <c r="A95" s="18">
        <v>94</v>
      </c>
      <c r="B95" s="299" t="s">
        <v>227</v>
      </c>
      <c r="C95" s="252" t="s">
        <v>4536</v>
      </c>
      <c r="D95" s="253" t="s">
        <v>4537</v>
      </c>
      <c r="E95" s="254" t="s">
        <v>4538</v>
      </c>
      <c r="F95" s="192">
        <v>9008645645</v>
      </c>
      <c r="G95" s="192" t="s">
        <v>4539</v>
      </c>
      <c r="H95" s="192" t="s">
        <v>492</v>
      </c>
      <c r="I95" s="177" t="s">
        <v>4540</v>
      </c>
      <c r="J95" s="300">
        <v>8178581997</v>
      </c>
      <c r="K95" s="257">
        <v>45875</v>
      </c>
      <c r="L95" s="257">
        <v>46209</v>
      </c>
      <c r="M95" s="192">
        <v>12</v>
      </c>
      <c r="N95" s="192"/>
      <c r="O95" s="18" t="s">
        <v>176</v>
      </c>
      <c r="P95" s="192"/>
      <c r="Q95" s="258" t="s">
        <v>4541</v>
      </c>
      <c r="R95" s="131"/>
      <c r="S95" s="219"/>
      <c r="T95" s="219" t="s">
        <v>4073</v>
      </c>
    </row>
    <row r="96" spans="1:20" ht="60.75">
      <c r="A96" s="7">
        <v>95</v>
      </c>
      <c r="B96" s="52" t="s">
        <v>227</v>
      </c>
      <c r="C96" s="45" t="s">
        <v>4542</v>
      </c>
      <c r="D96" s="46" t="s">
        <v>4543</v>
      </c>
      <c r="E96" s="41" t="s">
        <v>4544</v>
      </c>
      <c r="F96" s="43">
        <v>7997683305</v>
      </c>
      <c r="G96" s="43" t="s">
        <v>4545</v>
      </c>
      <c r="H96" s="43" t="s">
        <v>4546</v>
      </c>
      <c r="I96" s="44" t="s">
        <v>4540</v>
      </c>
      <c r="J96" s="74">
        <v>9773724883</v>
      </c>
      <c r="K96" s="42">
        <v>45880</v>
      </c>
      <c r="L96" s="42">
        <v>46214</v>
      </c>
      <c r="M96" s="43">
        <v>11</v>
      </c>
      <c r="N96" s="43"/>
      <c r="O96" s="7" t="s">
        <v>195</v>
      </c>
      <c r="P96" s="43"/>
      <c r="Q96" s="186" t="s">
        <v>4547</v>
      </c>
      <c r="R96" s="133"/>
      <c r="S96" s="161"/>
      <c r="T96" s="161"/>
    </row>
    <row r="97" spans="1:20" ht="45.75">
      <c r="A97" s="7">
        <v>96</v>
      </c>
      <c r="B97" s="52" t="s">
        <v>227</v>
      </c>
      <c r="C97" s="45" t="s">
        <v>4548</v>
      </c>
      <c r="D97" s="46" t="s">
        <v>4549</v>
      </c>
      <c r="E97" s="41" t="s">
        <v>4550</v>
      </c>
      <c r="F97" s="43">
        <v>9611466751</v>
      </c>
      <c r="G97" s="43" t="s">
        <v>4551</v>
      </c>
      <c r="H97" s="43" t="s">
        <v>1737</v>
      </c>
      <c r="I97" s="44" t="s">
        <v>4540</v>
      </c>
      <c r="J97" s="74">
        <v>8178581997</v>
      </c>
      <c r="K97" s="42">
        <v>45881</v>
      </c>
      <c r="L97" s="42">
        <v>46215</v>
      </c>
      <c r="M97" s="43">
        <v>11</v>
      </c>
      <c r="N97" s="43"/>
      <c r="O97" s="7" t="s">
        <v>195</v>
      </c>
      <c r="P97" s="43"/>
      <c r="Q97" s="186" t="s">
        <v>4552</v>
      </c>
      <c r="R97" s="133" t="s">
        <v>4553</v>
      </c>
      <c r="S97" s="161"/>
      <c r="T97" s="161"/>
    </row>
    <row r="98" spans="1:20" ht="60.75">
      <c r="A98" s="7">
        <v>97</v>
      </c>
      <c r="B98" s="52" t="s">
        <v>227</v>
      </c>
      <c r="C98" s="45" t="s">
        <v>4554</v>
      </c>
      <c r="D98" s="46" t="s">
        <v>4555</v>
      </c>
      <c r="E98" s="41" t="s">
        <v>4556</v>
      </c>
      <c r="F98" s="43">
        <v>9986003511</v>
      </c>
      <c r="G98" s="43" t="s">
        <v>4557</v>
      </c>
      <c r="H98" s="43" t="s">
        <v>268</v>
      </c>
      <c r="I98" s="44" t="s">
        <v>4540</v>
      </c>
      <c r="J98" s="74">
        <v>9773724883</v>
      </c>
      <c r="K98" s="42">
        <v>45887</v>
      </c>
      <c r="L98" s="42">
        <v>46221</v>
      </c>
      <c r="M98" s="43">
        <v>11</v>
      </c>
      <c r="N98" s="43"/>
      <c r="O98" s="7" t="s">
        <v>195</v>
      </c>
      <c r="P98" s="43"/>
      <c r="Q98" s="186" t="s">
        <v>4558</v>
      </c>
      <c r="R98" s="133"/>
      <c r="S98" s="161"/>
      <c r="T98" s="161"/>
    </row>
    <row r="99" spans="1:20" s="174" customFormat="1" ht="76.5">
      <c r="A99" s="18">
        <v>98</v>
      </c>
      <c r="B99" s="299" t="s">
        <v>227</v>
      </c>
      <c r="C99" s="252" t="s">
        <v>4559</v>
      </c>
      <c r="D99" s="253" t="s">
        <v>4560</v>
      </c>
      <c r="E99" s="254" t="s">
        <v>4561</v>
      </c>
      <c r="F99" s="192" t="s">
        <v>4562</v>
      </c>
      <c r="G99" s="192" t="s">
        <v>4563</v>
      </c>
      <c r="H99" s="192" t="s">
        <v>268</v>
      </c>
      <c r="I99" s="177" t="s">
        <v>4540</v>
      </c>
      <c r="J99" s="300">
        <v>8178581997</v>
      </c>
      <c r="K99" s="257">
        <v>45897</v>
      </c>
      <c r="L99" s="257">
        <v>46231</v>
      </c>
      <c r="M99" s="192">
        <v>11</v>
      </c>
      <c r="N99" s="192"/>
      <c r="O99" s="18" t="s">
        <v>176</v>
      </c>
      <c r="P99" s="192"/>
      <c r="Q99" s="258" t="s">
        <v>4564</v>
      </c>
      <c r="R99" s="131" t="s">
        <v>4565</v>
      </c>
      <c r="S99" s="219"/>
      <c r="T99" s="219" t="s">
        <v>4073</v>
      </c>
    </row>
    <row r="100" spans="1:20" s="174" customFormat="1" ht="60.75">
      <c r="A100" s="18">
        <v>99</v>
      </c>
      <c r="B100" s="299" t="s">
        <v>227</v>
      </c>
      <c r="C100" s="252" t="s">
        <v>4566</v>
      </c>
      <c r="D100" s="253" t="s">
        <v>4567</v>
      </c>
      <c r="E100" s="254" t="s">
        <v>4568</v>
      </c>
      <c r="F100" s="192">
        <v>9709700009</v>
      </c>
      <c r="G100" s="192" t="s">
        <v>4569</v>
      </c>
      <c r="H100" s="192" t="s">
        <v>248</v>
      </c>
      <c r="I100" s="177" t="s">
        <v>4540</v>
      </c>
      <c r="J100" s="300">
        <v>8178581997</v>
      </c>
      <c r="K100" s="257">
        <v>45899</v>
      </c>
      <c r="L100" s="257">
        <v>46263</v>
      </c>
      <c r="M100" s="192">
        <v>12</v>
      </c>
      <c r="N100" s="192"/>
      <c r="O100" s="18" t="s">
        <v>176</v>
      </c>
      <c r="P100" s="192"/>
      <c r="Q100" s="258" t="s">
        <v>4570</v>
      </c>
      <c r="R100" s="131" t="s">
        <v>4571</v>
      </c>
      <c r="S100" s="196" t="s">
        <v>4572</v>
      </c>
      <c r="T100" s="219" t="s">
        <v>4073</v>
      </c>
    </row>
    <row r="101" spans="1:20" ht="45.75">
      <c r="A101" s="7">
        <v>100</v>
      </c>
      <c r="B101" s="52" t="s">
        <v>227</v>
      </c>
      <c r="C101" s="45" t="s">
        <v>4573</v>
      </c>
      <c r="D101" s="46" t="s">
        <v>4574</v>
      </c>
      <c r="E101" s="41" t="s">
        <v>4575</v>
      </c>
      <c r="F101" s="43">
        <v>9632628003</v>
      </c>
      <c r="G101" s="43" t="s">
        <v>4576</v>
      </c>
      <c r="H101" s="43" t="s">
        <v>1828</v>
      </c>
      <c r="I101" s="44" t="s">
        <v>4540</v>
      </c>
      <c r="J101" s="74">
        <v>8178581997</v>
      </c>
      <c r="K101" s="42">
        <v>45904</v>
      </c>
      <c r="L101" s="42">
        <v>46238</v>
      </c>
      <c r="M101" s="43">
        <v>12</v>
      </c>
      <c r="N101" s="43"/>
      <c r="O101" s="7" t="s">
        <v>176</v>
      </c>
      <c r="P101" s="43"/>
      <c r="Q101" s="186" t="s">
        <v>4577</v>
      </c>
      <c r="R101" s="133" t="s">
        <v>4578</v>
      </c>
      <c r="S101" s="161"/>
      <c r="T101" s="161"/>
    </row>
    <row r="102" spans="1:20" s="174" customFormat="1" ht="63" customHeight="1">
      <c r="A102" s="18">
        <v>101</v>
      </c>
      <c r="B102" s="299" t="s">
        <v>227</v>
      </c>
      <c r="C102" s="252" t="s">
        <v>4579</v>
      </c>
      <c r="D102" s="253" t="s">
        <v>4580</v>
      </c>
      <c r="E102" s="254" t="s">
        <v>4581</v>
      </c>
      <c r="F102" s="192">
        <v>8317487277</v>
      </c>
      <c r="G102" s="192" t="s">
        <v>4499</v>
      </c>
      <c r="H102" s="192" t="s">
        <v>1966</v>
      </c>
      <c r="I102" s="177" t="s">
        <v>4352</v>
      </c>
      <c r="J102" s="300">
        <v>8800209527</v>
      </c>
      <c r="K102" s="275">
        <v>45909</v>
      </c>
      <c r="L102" s="275">
        <v>46273</v>
      </c>
      <c r="M102" s="192">
        <v>12</v>
      </c>
      <c r="N102" s="192"/>
      <c r="O102" s="18" t="s">
        <v>195</v>
      </c>
      <c r="P102" s="192"/>
      <c r="Q102" s="258" t="s">
        <v>4582</v>
      </c>
      <c r="R102" s="131"/>
      <c r="S102" s="219"/>
      <c r="T102" s="219" t="s">
        <v>4073</v>
      </c>
    </row>
    <row r="103" spans="1:20" ht="106.5">
      <c r="A103" s="7">
        <v>102</v>
      </c>
      <c r="B103" s="52" t="s">
        <v>227</v>
      </c>
      <c r="C103" s="45" t="s">
        <v>4583</v>
      </c>
      <c r="D103" s="46" t="s">
        <v>4584</v>
      </c>
      <c r="E103" s="41" t="s">
        <v>4585</v>
      </c>
      <c r="F103" s="43">
        <v>9766309933</v>
      </c>
      <c r="G103" s="43" t="s">
        <v>4586</v>
      </c>
      <c r="H103" s="43" t="s">
        <v>2068</v>
      </c>
      <c r="I103" s="44" t="s">
        <v>4540</v>
      </c>
      <c r="J103" s="74">
        <v>8178581997</v>
      </c>
      <c r="K103" s="42">
        <v>45910</v>
      </c>
      <c r="L103" s="42">
        <v>46274</v>
      </c>
      <c r="M103" s="43">
        <v>12</v>
      </c>
      <c r="N103" s="43"/>
      <c r="O103" s="7" t="s">
        <v>195</v>
      </c>
      <c r="P103" s="43"/>
      <c r="Q103" s="186" t="s">
        <v>4587</v>
      </c>
      <c r="R103" s="133"/>
      <c r="S103" s="161"/>
      <c r="T103" s="161"/>
    </row>
    <row r="104" spans="1:20" ht="60.75">
      <c r="A104" s="7">
        <v>103</v>
      </c>
      <c r="B104" s="52" t="s">
        <v>227</v>
      </c>
      <c r="C104" s="45" t="s">
        <v>4588</v>
      </c>
      <c r="D104" s="46" t="s">
        <v>4589</v>
      </c>
      <c r="E104" s="41" t="s">
        <v>4590</v>
      </c>
      <c r="F104" s="43">
        <v>8884561704</v>
      </c>
      <c r="G104" s="43" t="s">
        <v>4591</v>
      </c>
      <c r="H104" s="43" t="s">
        <v>1737</v>
      </c>
      <c r="I104" s="44" t="s">
        <v>4540</v>
      </c>
      <c r="J104" s="74">
        <v>9773724883</v>
      </c>
      <c r="K104" s="42">
        <v>45926</v>
      </c>
      <c r="L104" s="42">
        <v>46290</v>
      </c>
      <c r="M104" s="43">
        <v>12</v>
      </c>
      <c r="N104" s="43"/>
      <c r="O104" s="7" t="s">
        <v>176</v>
      </c>
      <c r="P104" s="43"/>
      <c r="Q104" s="186" t="s">
        <v>4592</v>
      </c>
      <c r="R104" s="133" t="s">
        <v>4593</v>
      </c>
      <c r="S104" s="132" t="s">
        <v>4594</v>
      </c>
      <c r="T104" s="161"/>
    </row>
    <row r="105" spans="1:20" ht="45.75">
      <c r="A105" s="7">
        <v>104</v>
      </c>
      <c r="B105" s="52" t="s">
        <v>227</v>
      </c>
      <c r="C105" s="45" t="s">
        <v>4595</v>
      </c>
      <c r="D105" s="46" t="s">
        <v>4596</v>
      </c>
      <c r="E105" s="170" t="s">
        <v>4597</v>
      </c>
      <c r="F105" s="43">
        <v>9446220252</v>
      </c>
      <c r="G105" s="43" t="s">
        <v>4598</v>
      </c>
      <c r="H105" s="43" t="s">
        <v>202</v>
      </c>
      <c r="I105" s="44" t="s">
        <v>4540</v>
      </c>
      <c r="J105" s="74">
        <v>8178581997</v>
      </c>
      <c r="K105" s="42">
        <v>45959</v>
      </c>
      <c r="L105" s="42">
        <v>46294</v>
      </c>
      <c r="M105" s="43">
        <v>11</v>
      </c>
      <c r="N105" s="43"/>
      <c r="O105" s="7" t="s">
        <v>176</v>
      </c>
      <c r="P105" s="43"/>
      <c r="Q105" s="186" t="s">
        <v>4599</v>
      </c>
      <c r="R105" s="133"/>
      <c r="S105" s="194" t="s">
        <v>4600</v>
      </c>
      <c r="T105" s="161"/>
    </row>
    <row r="106" spans="1:20" ht="60.75">
      <c r="A106" s="7">
        <v>105</v>
      </c>
      <c r="B106" s="52" t="s">
        <v>227</v>
      </c>
      <c r="C106" s="45" t="s">
        <v>4601</v>
      </c>
      <c r="D106" s="46" t="s">
        <v>4602</v>
      </c>
      <c r="E106" s="41" t="s">
        <v>4603</v>
      </c>
      <c r="F106" s="43">
        <v>8588899106</v>
      </c>
      <c r="G106" s="43" t="s">
        <v>4604</v>
      </c>
      <c r="H106" s="43" t="s">
        <v>529</v>
      </c>
      <c r="I106" s="44" t="s">
        <v>4540</v>
      </c>
      <c r="J106" s="74">
        <v>9773724883</v>
      </c>
      <c r="K106" s="42"/>
      <c r="L106" s="42"/>
      <c r="M106" s="43">
        <v>11</v>
      </c>
      <c r="N106" s="43"/>
      <c r="O106" s="7" t="s">
        <v>176</v>
      </c>
      <c r="P106" s="43"/>
      <c r="Q106" s="186" t="s">
        <v>4605</v>
      </c>
      <c r="R106" s="133"/>
      <c r="S106" s="194" t="s">
        <v>4606</v>
      </c>
      <c r="T106" s="161"/>
    </row>
    <row r="107" spans="1:20" ht="45.75">
      <c r="A107" s="7">
        <v>106</v>
      </c>
      <c r="B107" s="52" t="s">
        <v>227</v>
      </c>
      <c r="C107" s="45" t="s">
        <v>4607</v>
      </c>
      <c r="D107" s="46" t="s">
        <v>4608</v>
      </c>
      <c r="E107" s="41" t="s">
        <v>4609</v>
      </c>
      <c r="F107" s="43">
        <v>7457953795</v>
      </c>
      <c r="G107" s="43" t="s">
        <v>4610</v>
      </c>
      <c r="H107" s="43" t="s">
        <v>241</v>
      </c>
      <c r="I107" s="44" t="s">
        <v>4540</v>
      </c>
      <c r="J107" s="74">
        <v>8178581997</v>
      </c>
      <c r="K107" s="42">
        <v>45944</v>
      </c>
      <c r="L107" s="42">
        <v>46279</v>
      </c>
      <c r="M107" s="43">
        <v>11</v>
      </c>
      <c r="N107" s="43"/>
      <c r="O107" s="7" t="s">
        <v>176</v>
      </c>
      <c r="P107" s="43"/>
      <c r="Q107" s="186" t="s">
        <v>4611</v>
      </c>
      <c r="R107" s="133"/>
      <c r="S107" s="147" t="s">
        <v>4612</v>
      </c>
      <c r="T107" s="161"/>
    </row>
    <row r="108" spans="1:20" ht="76.5">
      <c r="A108" s="7">
        <v>107</v>
      </c>
      <c r="B108" s="52" t="s">
        <v>227</v>
      </c>
      <c r="C108" s="46" t="s">
        <v>4613</v>
      </c>
      <c r="D108" s="46" t="s">
        <v>4614</v>
      </c>
      <c r="E108" s="41" t="s">
        <v>4615</v>
      </c>
      <c r="F108" s="43">
        <v>7353521234</v>
      </c>
      <c r="G108" s="43" t="s">
        <v>4616</v>
      </c>
      <c r="H108" s="43" t="s">
        <v>1737</v>
      </c>
      <c r="I108" s="44" t="s">
        <v>4540</v>
      </c>
      <c r="J108" s="74">
        <v>8178581997</v>
      </c>
      <c r="K108" s="42">
        <v>45945</v>
      </c>
      <c r="L108" s="42">
        <v>46280</v>
      </c>
      <c r="M108" s="43">
        <v>11</v>
      </c>
      <c r="N108" s="43"/>
      <c r="O108" s="7" t="s">
        <v>195</v>
      </c>
      <c r="P108" s="43"/>
      <c r="Q108" s="186" t="s">
        <v>4617</v>
      </c>
      <c r="R108" s="133"/>
      <c r="S108" s="194" t="s">
        <v>4618</v>
      </c>
      <c r="T108" s="161"/>
    </row>
    <row r="109" spans="1:20" ht="91.5">
      <c r="A109" s="7">
        <v>108</v>
      </c>
      <c r="B109" s="52" t="s">
        <v>227</v>
      </c>
      <c r="C109" s="141" t="s">
        <v>4619</v>
      </c>
      <c r="D109" s="145" t="s">
        <v>4620</v>
      </c>
      <c r="E109" s="170" t="s">
        <v>4621</v>
      </c>
      <c r="F109" s="43">
        <v>9663055466</v>
      </c>
      <c r="G109" s="43" t="s">
        <v>4622</v>
      </c>
      <c r="H109" s="43" t="s">
        <v>677</v>
      </c>
      <c r="I109" s="44" t="s">
        <v>4540</v>
      </c>
      <c r="J109" s="74">
        <v>9205046602</v>
      </c>
      <c r="K109" s="42">
        <v>45955</v>
      </c>
      <c r="L109" s="42">
        <v>46290</v>
      </c>
      <c r="M109" s="43">
        <v>11</v>
      </c>
      <c r="N109" s="43"/>
      <c r="O109" s="7" t="s">
        <v>176</v>
      </c>
      <c r="P109" s="43"/>
      <c r="Q109" s="186" t="s">
        <v>4623</v>
      </c>
      <c r="R109" s="133"/>
      <c r="S109" s="194" t="s">
        <v>4624</v>
      </c>
      <c r="T109" s="161"/>
    </row>
    <row r="110" spans="1:20" ht="76.5">
      <c r="A110" s="7">
        <v>109</v>
      </c>
      <c r="B110" s="52" t="s">
        <v>227</v>
      </c>
      <c r="C110" s="141" t="s">
        <v>4625</v>
      </c>
      <c r="D110" s="145" t="s">
        <v>4626</v>
      </c>
      <c r="E110" s="170" t="s">
        <v>4627</v>
      </c>
      <c r="F110" s="43">
        <v>9833660410</v>
      </c>
      <c r="G110" s="43" t="s">
        <v>4628</v>
      </c>
      <c r="H110" s="43" t="s">
        <v>529</v>
      </c>
      <c r="I110" s="44" t="s">
        <v>4352</v>
      </c>
      <c r="J110" s="74">
        <v>8800209527</v>
      </c>
      <c r="K110" s="42">
        <v>45954</v>
      </c>
      <c r="L110" s="42">
        <v>46289</v>
      </c>
      <c r="M110" s="43">
        <v>11</v>
      </c>
      <c r="N110" s="43"/>
      <c r="O110" s="7" t="s">
        <v>176</v>
      </c>
      <c r="P110" s="43"/>
      <c r="Q110" s="186" t="s">
        <v>4629</v>
      </c>
      <c r="R110" s="133"/>
      <c r="S110" s="161"/>
      <c r="T110" s="161"/>
    </row>
    <row r="111" spans="1:20" s="174" customFormat="1" ht="60.75">
      <c r="A111" s="18">
        <v>110</v>
      </c>
      <c r="B111" s="299" t="s">
        <v>227</v>
      </c>
      <c r="C111" s="198" t="s">
        <v>4630</v>
      </c>
      <c r="D111" s="132" t="s">
        <v>4631</v>
      </c>
      <c r="E111" s="505" t="s">
        <v>4632</v>
      </c>
      <c r="F111" s="192">
        <v>8197210333</v>
      </c>
      <c r="G111" s="192" t="s">
        <v>4633</v>
      </c>
      <c r="H111" s="192" t="s">
        <v>202</v>
      </c>
      <c r="I111" s="177" t="s">
        <v>4540</v>
      </c>
      <c r="J111" s="300">
        <v>8178581997</v>
      </c>
      <c r="K111" s="257">
        <v>45957</v>
      </c>
      <c r="L111" s="257">
        <v>46292</v>
      </c>
      <c r="M111" s="192">
        <v>11</v>
      </c>
      <c r="N111" s="192"/>
      <c r="O111" s="18" t="s">
        <v>176</v>
      </c>
      <c r="P111" s="192"/>
      <c r="Q111" s="258" t="s">
        <v>4634</v>
      </c>
      <c r="R111" s="131"/>
      <c r="S111" s="506" t="s">
        <v>4635</v>
      </c>
      <c r="T111" s="219" t="s">
        <v>4073</v>
      </c>
    </row>
    <row r="112" spans="1:20" s="174" customFormat="1" ht="45.75">
      <c r="A112" s="18">
        <v>111</v>
      </c>
      <c r="B112" s="299" t="s">
        <v>227</v>
      </c>
      <c r="C112" s="198" t="s">
        <v>4636</v>
      </c>
      <c r="D112" s="463" t="s">
        <v>4637</v>
      </c>
      <c r="E112" s="505" t="s">
        <v>4597</v>
      </c>
      <c r="F112" s="192">
        <v>8197210333</v>
      </c>
      <c r="G112" s="192" t="s">
        <v>4638</v>
      </c>
      <c r="H112" s="192" t="s">
        <v>202</v>
      </c>
      <c r="I112" s="177" t="s">
        <v>4540</v>
      </c>
      <c r="J112" s="300">
        <v>8178581997</v>
      </c>
      <c r="K112" s="257">
        <v>45959</v>
      </c>
      <c r="L112" s="257">
        <v>46294</v>
      </c>
      <c r="M112" s="192">
        <v>11</v>
      </c>
      <c r="N112" s="192"/>
      <c r="O112" s="18" t="s">
        <v>176</v>
      </c>
      <c r="P112" s="192"/>
      <c r="Q112" s="258" t="s">
        <v>4639</v>
      </c>
      <c r="R112" s="131"/>
      <c r="S112" s="506" t="s">
        <v>4640</v>
      </c>
      <c r="T112" s="219" t="s">
        <v>4073</v>
      </c>
    </row>
    <row r="113" spans="1:20" ht="60.75">
      <c r="A113" s="7">
        <v>112</v>
      </c>
      <c r="B113" s="52" t="s">
        <v>227</v>
      </c>
      <c r="C113" s="199" t="s">
        <v>4641</v>
      </c>
      <c r="D113" s="145" t="s">
        <v>4642</v>
      </c>
      <c r="E113" s="170" t="s">
        <v>4643</v>
      </c>
      <c r="F113" s="43">
        <v>9746333851</v>
      </c>
      <c r="G113" s="43" t="s">
        <v>4644</v>
      </c>
      <c r="H113" s="43" t="s">
        <v>4645</v>
      </c>
      <c r="I113" s="44" t="s">
        <v>4540</v>
      </c>
      <c r="J113" s="74">
        <v>9205046602</v>
      </c>
      <c r="K113" s="42">
        <v>45968</v>
      </c>
      <c r="L113" s="42">
        <v>46302</v>
      </c>
      <c r="M113" s="43">
        <v>11</v>
      </c>
      <c r="N113" s="43"/>
      <c r="O113" s="7" t="s">
        <v>195</v>
      </c>
      <c r="P113" s="43"/>
      <c r="Q113" s="186" t="s">
        <v>4646</v>
      </c>
      <c r="R113" s="133" t="s">
        <v>4647</v>
      </c>
      <c r="S113" s="194" t="s">
        <v>4648</v>
      </c>
      <c r="T113" s="198" t="s">
        <v>2012</v>
      </c>
    </row>
    <row r="114" spans="1:20" ht="60.75">
      <c r="A114" s="7">
        <v>113</v>
      </c>
      <c r="B114" s="52" t="s">
        <v>227</v>
      </c>
      <c r="C114" s="141" t="s">
        <v>4649</v>
      </c>
      <c r="D114" s="200" t="s">
        <v>4650</v>
      </c>
      <c r="E114" s="170" t="s">
        <v>4651</v>
      </c>
      <c r="F114" s="43">
        <v>9948566678</v>
      </c>
      <c r="G114" s="43" t="s">
        <v>4652</v>
      </c>
      <c r="H114" s="43" t="s">
        <v>2095</v>
      </c>
      <c r="I114" s="44" t="s">
        <v>4540</v>
      </c>
      <c r="J114" s="74">
        <v>9205046602</v>
      </c>
      <c r="K114" s="42">
        <v>45964</v>
      </c>
      <c r="L114" s="42">
        <v>46298</v>
      </c>
      <c r="M114" s="43">
        <v>11</v>
      </c>
      <c r="N114" s="43"/>
      <c r="O114" s="7" t="s">
        <v>176</v>
      </c>
      <c r="P114" s="43"/>
      <c r="Q114" s="186" t="s">
        <v>4653</v>
      </c>
      <c r="R114" s="133"/>
      <c r="S114" s="161"/>
      <c r="T114" s="161"/>
    </row>
    <row r="115" spans="1:20" ht="45.75">
      <c r="A115" s="7">
        <v>114</v>
      </c>
      <c r="B115" s="52" t="s">
        <v>227</v>
      </c>
      <c r="C115" s="141" t="s">
        <v>4654</v>
      </c>
      <c r="D115" s="145" t="s">
        <v>92</v>
      </c>
      <c r="E115" s="170" t="s">
        <v>4655</v>
      </c>
      <c r="F115" s="43">
        <v>9718170004</v>
      </c>
      <c r="G115" s="43"/>
      <c r="H115" s="43" t="s">
        <v>194</v>
      </c>
      <c r="I115" s="44" t="s">
        <v>4352</v>
      </c>
      <c r="J115" s="74">
        <v>8800209527</v>
      </c>
      <c r="K115" s="42"/>
      <c r="L115" s="42"/>
      <c r="M115" s="43">
        <v>12</v>
      </c>
      <c r="N115" s="43"/>
      <c r="O115" s="44" t="s">
        <v>203</v>
      </c>
      <c r="P115" s="43"/>
      <c r="Q115" s="186" t="s">
        <v>4656</v>
      </c>
      <c r="R115" s="133"/>
      <c r="S115" s="161"/>
      <c r="T115" s="161"/>
    </row>
    <row r="116" spans="1:20" ht="45.75">
      <c r="A116" s="7">
        <v>115</v>
      </c>
      <c r="B116" s="52" t="s">
        <v>227</v>
      </c>
      <c r="C116" s="141" t="s">
        <v>4657</v>
      </c>
      <c r="D116" s="145" t="s">
        <v>4658</v>
      </c>
      <c r="E116" s="170" t="s">
        <v>4659</v>
      </c>
      <c r="F116" s="43">
        <v>9101458164</v>
      </c>
      <c r="G116" s="43"/>
      <c r="H116" s="43" t="s">
        <v>512</v>
      </c>
      <c r="I116" s="44" t="s">
        <v>4540</v>
      </c>
      <c r="J116" s="74">
        <v>9205046602</v>
      </c>
      <c r="K116" s="42">
        <v>45973</v>
      </c>
      <c r="L116" s="42">
        <v>46337</v>
      </c>
      <c r="M116" s="43">
        <v>12</v>
      </c>
      <c r="N116" s="43"/>
      <c r="O116" s="44" t="s">
        <v>203</v>
      </c>
      <c r="P116" s="43"/>
      <c r="Q116" s="186" t="s">
        <v>4660</v>
      </c>
      <c r="R116" s="133"/>
      <c r="S116" s="161"/>
      <c r="T116" s="161"/>
    </row>
    <row r="117" spans="1:20" ht="121.5">
      <c r="A117" s="7">
        <v>116</v>
      </c>
      <c r="B117" s="52" t="s">
        <v>227</v>
      </c>
      <c r="C117" s="141" t="s">
        <v>4661</v>
      </c>
      <c r="D117" s="145" t="s">
        <v>4662</v>
      </c>
      <c r="E117" s="170" t="s">
        <v>4663</v>
      </c>
      <c r="F117" s="43">
        <v>9833570851</v>
      </c>
      <c r="G117" s="43" t="s">
        <v>4664</v>
      </c>
      <c r="H117" s="43" t="s">
        <v>529</v>
      </c>
      <c r="I117" s="44" t="s">
        <v>4540</v>
      </c>
      <c r="J117" s="74">
        <v>9205046602</v>
      </c>
      <c r="K117" s="42">
        <v>45979</v>
      </c>
      <c r="L117" s="42">
        <v>46313</v>
      </c>
      <c r="M117" s="43">
        <v>11</v>
      </c>
      <c r="N117" s="43"/>
      <c r="O117" s="7" t="s">
        <v>176</v>
      </c>
      <c r="P117" s="43"/>
      <c r="Q117" s="186" t="s">
        <v>4665</v>
      </c>
      <c r="R117" s="133"/>
      <c r="S117" s="194" t="s">
        <v>4666</v>
      </c>
      <c r="T117" s="161"/>
    </row>
    <row r="118" spans="1:20" ht="76.5">
      <c r="A118" s="7">
        <v>117</v>
      </c>
      <c r="B118" s="52" t="s">
        <v>227</v>
      </c>
      <c r="C118" s="141" t="s">
        <v>4667</v>
      </c>
      <c r="D118" s="145" t="s">
        <v>4668</v>
      </c>
      <c r="E118" s="170" t="s">
        <v>4669</v>
      </c>
      <c r="F118" s="43" t="s">
        <v>4670</v>
      </c>
      <c r="G118" s="43" t="s">
        <v>4671</v>
      </c>
      <c r="H118" s="43" t="s">
        <v>4672</v>
      </c>
      <c r="I118" s="44" t="s">
        <v>4352</v>
      </c>
      <c r="J118" s="74">
        <v>8800209527</v>
      </c>
      <c r="K118" s="42">
        <v>45980</v>
      </c>
      <c r="L118" s="42">
        <v>46314</v>
      </c>
      <c r="M118" s="43">
        <v>11</v>
      </c>
      <c r="N118" s="43"/>
      <c r="O118" s="7" t="s">
        <v>195</v>
      </c>
      <c r="P118" s="43"/>
      <c r="Q118" s="186" t="s">
        <v>4673</v>
      </c>
      <c r="R118" s="133"/>
      <c r="S118" s="161"/>
      <c r="T118" s="161"/>
    </row>
    <row r="119" spans="1:20" ht="45.75">
      <c r="A119" s="7">
        <v>118</v>
      </c>
      <c r="B119" s="52" t="s">
        <v>227</v>
      </c>
      <c r="C119" s="141" t="s">
        <v>4674</v>
      </c>
      <c r="D119" s="145" t="s">
        <v>4674</v>
      </c>
      <c r="E119" s="170" t="s">
        <v>4675</v>
      </c>
      <c r="F119" s="43">
        <v>9606022215</v>
      </c>
      <c r="G119" s="43" t="s">
        <v>4676</v>
      </c>
      <c r="H119" s="43" t="s">
        <v>1737</v>
      </c>
      <c r="I119" s="44" t="s">
        <v>4540</v>
      </c>
      <c r="J119" s="74">
        <v>8178581997</v>
      </c>
      <c r="K119" s="42">
        <v>45986</v>
      </c>
      <c r="L119" s="42">
        <v>46320</v>
      </c>
      <c r="M119" s="43">
        <v>11</v>
      </c>
      <c r="N119" s="43"/>
      <c r="O119" s="7" t="s">
        <v>176</v>
      </c>
      <c r="P119" s="43"/>
      <c r="Q119" s="186" t="s">
        <v>4677</v>
      </c>
      <c r="R119" s="133"/>
      <c r="S119" s="194" t="s">
        <v>4678</v>
      </c>
      <c r="T119" s="161"/>
    </row>
    <row r="120" spans="1:20" ht="45.75">
      <c r="A120" s="7">
        <v>119</v>
      </c>
      <c r="B120" s="52" t="s">
        <v>227</v>
      </c>
      <c r="C120" s="141" t="s">
        <v>4679</v>
      </c>
      <c r="D120" s="145" t="s">
        <v>4680</v>
      </c>
      <c r="E120" s="170" t="s">
        <v>4681</v>
      </c>
      <c r="F120" s="43">
        <v>6363229179</v>
      </c>
      <c r="G120" s="43" t="s">
        <v>4682</v>
      </c>
      <c r="H120" s="43" t="s">
        <v>1163</v>
      </c>
      <c r="I120" s="44" t="s">
        <v>4540</v>
      </c>
      <c r="J120" s="74">
        <v>8178581997</v>
      </c>
      <c r="K120" s="42">
        <v>45989</v>
      </c>
      <c r="L120" s="42">
        <v>46323</v>
      </c>
      <c r="M120" s="43">
        <v>11</v>
      </c>
      <c r="N120" s="43"/>
      <c r="O120" s="7" t="s">
        <v>176</v>
      </c>
      <c r="P120" s="43"/>
      <c r="Q120" s="186" t="s">
        <v>4683</v>
      </c>
      <c r="R120" s="133" t="s">
        <v>4684</v>
      </c>
      <c r="S120" s="194" t="s">
        <v>4685</v>
      </c>
      <c r="T120" s="219" t="s">
        <v>3466</v>
      </c>
    </row>
    <row r="121" spans="1:20" ht="45.75">
      <c r="A121" s="7">
        <v>120</v>
      </c>
      <c r="B121" s="52" t="s">
        <v>227</v>
      </c>
      <c r="C121" s="145" t="s">
        <v>4686</v>
      </c>
      <c r="D121" s="145" t="s">
        <v>4687</v>
      </c>
      <c r="E121" s="170" t="s">
        <v>4688</v>
      </c>
      <c r="F121" s="43">
        <v>9740539933</v>
      </c>
      <c r="G121" s="43" t="s">
        <v>4689</v>
      </c>
      <c r="H121" s="43" t="s">
        <v>3499</v>
      </c>
      <c r="I121" s="44" t="s">
        <v>4540</v>
      </c>
      <c r="J121" s="74">
        <v>8178581997</v>
      </c>
      <c r="K121" s="42">
        <v>46000</v>
      </c>
      <c r="L121" s="42">
        <v>46335</v>
      </c>
      <c r="M121" s="43">
        <v>11</v>
      </c>
      <c r="N121" s="43"/>
      <c r="O121" s="7" t="s">
        <v>176</v>
      </c>
      <c r="P121" s="43"/>
      <c r="Q121" s="186" t="s">
        <v>4690</v>
      </c>
      <c r="R121" s="133"/>
      <c r="S121" s="194" t="s">
        <v>4691</v>
      </c>
      <c r="T121" s="161"/>
    </row>
    <row r="122" spans="1:20" ht="45.75">
      <c r="A122" s="7">
        <v>121</v>
      </c>
      <c r="B122" s="52" t="s">
        <v>227</v>
      </c>
      <c r="C122" s="141"/>
      <c r="D122" s="145" t="s">
        <v>4692</v>
      </c>
      <c r="E122" s="170"/>
      <c r="F122" s="43"/>
      <c r="G122" s="43"/>
      <c r="H122" s="43"/>
      <c r="I122" s="44" t="s">
        <v>4540</v>
      </c>
      <c r="J122" s="74"/>
      <c r="K122" s="42" t="s">
        <v>2437</v>
      </c>
      <c r="L122" s="42" t="s">
        <v>2438</v>
      </c>
      <c r="M122" s="43">
        <v>11</v>
      </c>
      <c r="N122" s="43"/>
      <c r="O122" s="7" t="s">
        <v>176</v>
      </c>
      <c r="P122" s="43"/>
      <c r="Q122" s="186" t="s">
        <v>4693</v>
      </c>
      <c r="R122" s="133"/>
      <c r="S122" s="161"/>
      <c r="T122" s="161"/>
    </row>
    <row r="123" spans="1:20" ht="106.5">
      <c r="A123" s="7">
        <v>122</v>
      </c>
      <c r="B123" s="52" t="s">
        <v>227</v>
      </c>
      <c r="C123" s="141" t="s">
        <v>4694</v>
      </c>
      <c r="D123" s="145" t="s">
        <v>4695</v>
      </c>
      <c r="E123" s="170" t="s">
        <v>4696</v>
      </c>
      <c r="F123" s="43">
        <v>9886299879</v>
      </c>
      <c r="G123" s="43" t="s">
        <v>4697</v>
      </c>
      <c r="H123" s="43" t="s">
        <v>416</v>
      </c>
      <c r="I123" s="44" t="s">
        <v>4540</v>
      </c>
      <c r="J123" s="74"/>
      <c r="K123" s="42" t="s">
        <v>4698</v>
      </c>
      <c r="L123" s="42" t="s">
        <v>4699</v>
      </c>
      <c r="M123" s="43">
        <v>11</v>
      </c>
      <c r="N123" s="43"/>
      <c r="O123" s="7" t="s">
        <v>176</v>
      </c>
      <c r="P123" s="43"/>
      <c r="Q123" s="186" t="s">
        <v>4700</v>
      </c>
      <c r="R123" s="133"/>
      <c r="S123" s="161"/>
      <c r="T123" s="161"/>
    </row>
    <row r="124" spans="1:20" ht="45.75">
      <c r="A124" s="7">
        <v>123</v>
      </c>
      <c r="B124" s="52" t="s">
        <v>227</v>
      </c>
      <c r="C124" s="141" t="s">
        <v>4701</v>
      </c>
      <c r="D124" s="145" t="s">
        <v>4702</v>
      </c>
      <c r="E124" s="170"/>
      <c r="F124" s="43"/>
      <c r="G124" s="43"/>
      <c r="H124" s="43"/>
      <c r="I124" s="44" t="s">
        <v>4540</v>
      </c>
      <c r="J124" s="74"/>
      <c r="K124" s="42" t="s">
        <v>2203</v>
      </c>
      <c r="L124" s="42" t="s">
        <v>2204</v>
      </c>
      <c r="M124" s="43">
        <v>24</v>
      </c>
      <c r="N124" s="43"/>
      <c r="O124" s="7" t="s">
        <v>195</v>
      </c>
      <c r="P124" s="43"/>
      <c r="Q124" s="186" t="s">
        <v>4703</v>
      </c>
      <c r="R124" s="133"/>
      <c r="S124" s="161"/>
      <c r="T124" s="161"/>
    </row>
    <row r="125" spans="1:20" ht="45.75">
      <c r="A125" s="7">
        <v>124</v>
      </c>
      <c r="B125" s="52" t="s">
        <v>227</v>
      </c>
      <c r="C125" s="141" t="s">
        <v>4704</v>
      </c>
      <c r="D125" s="145" t="s">
        <v>4705</v>
      </c>
      <c r="E125" s="170"/>
      <c r="F125" s="43">
        <v>9534888818</v>
      </c>
      <c r="G125" s="43"/>
      <c r="H125" s="43"/>
      <c r="I125" s="44" t="s">
        <v>4540</v>
      </c>
      <c r="J125" s="74"/>
      <c r="K125" s="42" t="s">
        <v>2211</v>
      </c>
      <c r="L125" s="42" t="s">
        <v>2212</v>
      </c>
      <c r="M125" s="43">
        <v>11</v>
      </c>
      <c r="N125" s="43"/>
      <c r="O125" s="7" t="s">
        <v>176</v>
      </c>
      <c r="P125" s="43"/>
      <c r="Q125" s="186" t="s">
        <v>4706</v>
      </c>
      <c r="R125" s="133"/>
      <c r="S125" s="161"/>
      <c r="T125" s="161"/>
    </row>
    <row r="126" spans="1:20" ht="45.75">
      <c r="A126" s="7">
        <v>125</v>
      </c>
      <c r="B126" s="52" t="s">
        <v>227</v>
      </c>
      <c r="C126" s="141" t="s">
        <v>4707</v>
      </c>
      <c r="D126" s="145" t="s">
        <v>4708</v>
      </c>
      <c r="E126" s="170"/>
      <c r="F126" s="43">
        <v>9772107701</v>
      </c>
      <c r="G126" s="43"/>
      <c r="H126" s="43"/>
      <c r="I126" s="44" t="s">
        <v>4540</v>
      </c>
      <c r="J126" s="74"/>
      <c r="K126" s="42" t="s">
        <v>2211</v>
      </c>
      <c r="L126" s="42" t="s">
        <v>2212</v>
      </c>
      <c r="M126" s="43">
        <v>11</v>
      </c>
      <c r="N126" s="43"/>
      <c r="O126" s="7" t="s">
        <v>176</v>
      </c>
      <c r="P126" s="43"/>
      <c r="Q126" s="186" t="s">
        <v>4709</v>
      </c>
      <c r="R126" s="133"/>
      <c r="S126" s="161"/>
      <c r="T126" s="161"/>
    </row>
    <row r="127" spans="1:20" ht="45.75">
      <c r="A127" s="7">
        <v>126</v>
      </c>
      <c r="B127" s="52" t="s">
        <v>227</v>
      </c>
      <c r="C127" s="141" t="s">
        <v>4710</v>
      </c>
      <c r="D127" s="145" t="s">
        <v>4711</v>
      </c>
      <c r="E127" s="170"/>
      <c r="F127" s="43">
        <v>9953396537</v>
      </c>
      <c r="G127" s="43"/>
      <c r="H127" s="43"/>
      <c r="I127" s="44" t="s">
        <v>4540</v>
      </c>
      <c r="J127" s="74"/>
      <c r="K127" s="42" t="s">
        <v>2211</v>
      </c>
      <c r="L127" s="42" t="s">
        <v>2212</v>
      </c>
      <c r="M127" s="43">
        <v>11</v>
      </c>
      <c r="N127" s="43"/>
      <c r="O127" s="7" t="s">
        <v>195</v>
      </c>
      <c r="P127" s="43"/>
      <c r="Q127" s="186" t="s">
        <v>4712</v>
      </c>
      <c r="R127" s="131" t="s">
        <v>3547</v>
      </c>
      <c r="S127" s="161"/>
      <c r="T127" s="161"/>
    </row>
    <row r="128" spans="1:20" ht="45.75">
      <c r="A128" s="7">
        <v>127</v>
      </c>
      <c r="B128" s="52" t="s">
        <v>227</v>
      </c>
      <c r="C128" s="141" t="s">
        <v>4713</v>
      </c>
      <c r="D128" s="145" t="s">
        <v>4714</v>
      </c>
      <c r="E128" s="170"/>
      <c r="F128" s="6" t="s">
        <v>4715</v>
      </c>
      <c r="G128" s="43"/>
      <c r="H128" s="43"/>
      <c r="I128" s="44" t="s">
        <v>4540</v>
      </c>
      <c r="J128" s="74"/>
      <c r="K128" s="42">
        <v>46023</v>
      </c>
      <c r="L128" s="42" t="s">
        <v>3553</v>
      </c>
      <c r="M128" s="43">
        <v>11</v>
      </c>
      <c r="N128" s="99"/>
      <c r="O128" s="186" t="s">
        <v>4716</v>
      </c>
      <c r="P128" s="43"/>
      <c r="Q128" s="43" t="s">
        <v>4717</v>
      </c>
      <c r="R128" s="133"/>
      <c r="S128" s="161"/>
      <c r="T128" s="161"/>
    </row>
    <row r="129" spans="1:24" ht="45.75">
      <c r="A129" s="7">
        <v>128</v>
      </c>
      <c r="B129" s="52" t="s">
        <v>227</v>
      </c>
      <c r="C129" s="141" t="s">
        <v>4718</v>
      </c>
      <c r="D129" s="145" t="s">
        <v>4719</v>
      </c>
      <c r="E129" s="170"/>
      <c r="F129" s="43">
        <v>8588899106</v>
      </c>
      <c r="G129" s="43"/>
      <c r="H129" s="43"/>
      <c r="I129" s="44" t="s">
        <v>4540</v>
      </c>
      <c r="J129" s="74"/>
      <c r="K129" s="42">
        <v>46296</v>
      </c>
      <c r="L129" s="42">
        <v>46277</v>
      </c>
      <c r="M129" s="43">
        <v>11</v>
      </c>
      <c r="N129" s="43"/>
      <c r="O129" s="7" t="s">
        <v>176</v>
      </c>
      <c r="P129" s="43"/>
      <c r="Q129" s="186" t="s">
        <v>4720</v>
      </c>
      <c r="R129" s="133"/>
      <c r="S129" s="161"/>
      <c r="T129" s="161"/>
    </row>
    <row r="130" spans="1:24" ht="45.75">
      <c r="A130" s="7">
        <v>129</v>
      </c>
      <c r="B130" s="52" t="s">
        <v>227</v>
      </c>
      <c r="C130" s="141" t="s">
        <v>4721</v>
      </c>
      <c r="D130" s="145" t="s">
        <v>4722</v>
      </c>
      <c r="E130" s="170"/>
      <c r="F130" s="43" t="s">
        <v>4723</v>
      </c>
      <c r="G130" s="43"/>
      <c r="H130" s="43"/>
      <c r="I130" s="44" t="s">
        <v>4540</v>
      </c>
      <c r="J130" s="74"/>
      <c r="K130" s="42" t="s">
        <v>3573</v>
      </c>
      <c r="L130" s="42">
        <v>46368</v>
      </c>
      <c r="M130" s="43">
        <v>11</v>
      </c>
      <c r="N130" s="43"/>
      <c r="O130" s="7" t="s">
        <v>176</v>
      </c>
      <c r="P130" s="43"/>
      <c r="Q130" s="186" t="s">
        <v>4724</v>
      </c>
      <c r="R130" s="228" t="s">
        <v>4725</v>
      </c>
      <c r="S130" s="161"/>
      <c r="T130" s="161"/>
    </row>
    <row r="131" spans="1:24" ht="45.75">
      <c r="A131" s="7">
        <v>130</v>
      </c>
      <c r="B131" s="52" t="s">
        <v>227</v>
      </c>
      <c r="C131" s="141" t="s">
        <v>4726</v>
      </c>
      <c r="D131" s="145" t="s">
        <v>4727</v>
      </c>
      <c r="E131" s="170"/>
      <c r="F131" s="43">
        <v>7540007449</v>
      </c>
      <c r="G131" s="43"/>
      <c r="H131" s="43"/>
      <c r="I131" s="44" t="s">
        <v>4540</v>
      </c>
      <c r="J131" s="74"/>
      <c r="K131" s="42" t="s">
        <v>3573</v>
      </c>
      <c r="L131" s="42">
        <v>46368</v>
      </c>
      <c r="M131" s="43">
        <v>24</v>
      </c>
      <c r="N131" s="43"/>
      <c r="O131" s="7" t="s">
        <v>176</v>
      </c>
      <c r="P131" s="43"/>
      <c r="Q131" s="186" t="s">
        <v>4728</v>
      </c>
      <c r="R131" s="133"/>
      <c r="S131" s="161"/>
      <c r="T131" s="161"/>
    </row>
    <row r="132" spans="1:24" ht="45.75">
      <c r="A132" s="7">
        <v>131</v>
      </c>
      <c r="B132" s="52" t="s">
        <v>227</v>
      </c>
      <c r="C132" s="141" t="s">
        <v>4729</v>
      </c>
      <c r="D132" s="147" t="s">
        <v>4730</v>
      </c>
      <c r="E132" s="170"/>
      <c r="F132" s="43">
        <v>8088842091</v>
      </c>
      <c r="G132" s="43"/>
      <c r="H132" s="43"/>
      <c r="I132" s="44" t="s">
        <v>4540</v>
      </c>
      <c r="J132" s="74"/>
      <c r="K132" s="42" t="s">
        <v>2266</v>
      </c>
      <c r="L132" s="42" t="s">
        <v>3579</v>
      </c>
      <c r="M132" s="43">
        <v>11</v>
      </c>
      <c r="N132" s="43"/>
      <c r="O132" s="7" t="s">
        <v>176</v>
      </c>
      <c r="P132" s="43"/>
      <c r="Q132" s="186" t="s">
        <v>4731</v>
      </c>
      <c r="R132" s="133"/>
      <c r="S132" s="161"/>
      <c r="T132" s="161"/>
    </row>
    <row r="133" spans="1:24" ht="60.75">
      <c r="A133" s="7">
        <v>132</v>
      </c>
      <c r="B133" s="52" t="s">
        <v>227</v>
      </c>
      <c r="C133" s="76" t="s">
        <v>4732</v>
      </c>
      <c r="D133" s="171" t="s">
        <v>4095</v>
      </c>
      <c r="E133" s="41"/>
      <c r="F133" s="43"/>
      <c r="G133" s="43"/>
      <c r="H133" s="43"/>
      <c r="I133" s="44"/>
      <c r="J133" s="74"/>
      <c r="K133" s="42" t="s">
        <v>4733</v>
      </c>
      <c r="L133" s="42" t="s">
        <v>4734</v>
      </c>
      <c r="M133" s="43">
        <v>11</v>
      </c>
      <c r="N133" s="43"/>
      <c r="O133" s="7" t="s">
        <v>176</v>
      </c>
      <c r="P133" s="43"/>
      <c r="Q133" s="186" t="s">
        <v>4735</v>
      </c>
      <c r="R133" s="133"/>
      <c r="S133" s="161"/>
      <c r="T133" s="161"/>
    </row>
    <row r="134" spans="1:24" ht="45.75">
      <c r="A134" s="7">
        <v>133</v>
      </c>
      <c r="B134" s="52" t="s">
        <v>227</v>
      </c>
      <c r="C134" s="45" t="s">
        <v>4736</v>
      </c>
      <c r="D134" s="46" t="s">
        <v>4737</v>
      </c>
      <c r="E134" s="41"/>
      <c r="F134" s="43"/>
      <c r="G134" s="43"/>
      <c r="H134" s="43"/>
      <c r="I134" s="44"/>
      <c r="J134" s="74"/>
      <c r="K134" s="42" t="s">
        <v>4738</v>
      </c>
      <c r="L134" s="42" t="s">
        <v>4739</v>
      </c>
      <c r="M134" s="43">
        <v>11</v>
      </c>
      <c r="N134" s="43"/>
      <c r="O134" s="7" t="s">
        <v>195</v>
      </c>
      <c r="P134" s="43"/>
      <c r="Q134" s="186" t="s">
        <v>4740</v>
      </c>
      <c r="R134" s="133"/>
      <c r="S134" s="161"/>
      <c r="T134" s="161"/>
    </row>
    <row r="135" spans="1:24" ht="45.75">
      <c r="A135" s="7">
        <v>134</v>
      </c>
      <c r="B135" s="52" t="s">
        <v>227</v>
      </c>
      <c r="C135" s="45" t="s">
        <v>4741</v>
      </c>
      <c r="D135" s="46" t="s">
        <v>4742</v>
      </c>
      <c r="E135" s="41"/>
      <c r="F135" s="43">
        <v>8296069576</v>
      </c>
      <c r="G135" s="43"/>
      <c r="H135" s="43"/>
      <c r="I135" s="44"/>
      <c r="J135" s="74"/>
      <c r="K135" s="42" t="s">
        <v>3585</v>
      </c>
      <c r="L135" s="42" t="s">
        <v>3586</v>
      </c>
      <c r="M135" s="43">
        <v>11</v>
      </c>
      <c r="N135" s="43"/>
      <c r="O135" s="7" t="s">
        <v>195</v>
      </c>
      <c r="P135" s="43"/>
      <c r="Q135" s="186" t="s">
        <v>4743</v>
      </c>
      <c r="R135" s="133"/>
      <c r="S135" s="219" t="s">
        <v>4744</v>
      </c>
      <c r="T135" s="161"/>
    </row>
    <row r="136" spans="1:24" ht="45.75">
      <c r="A136" s="7">
        <v>135</v>
      </c>
      <c r="B136" s="7" t="s">
        <v>227</v>
      </c>
      <c r="C136" s="22" t="s">
        <v>4080</v>
      </c>
      <c r="D136" s="7" t="s">
        <v>4081</v>
      </c>
      <c r="E136" s="25"/>
      <c r="F136" s="22"/>
      <c r="G136" s="22"/>
      <c r="H136" s="22"/>
      <c r="I136" s="7" t="s">
        <v>1709</v>
      </c>
      <c r="J136" s="91">
        <v>8178581997</v>
      </c>
      <c r="K136" s="27">
        <v>46055</v>
      </c>
      <c r="L136" s="27">
        <v>46388</v>
      </c>
      <c r="M136" s="22">
        <v>11</v>
      </c>
      <c r="N136" s="22"/>
      <c r="O136" s="7" t="s">
        <v>176</v>
      </c>
      <c r="P136" s="22"/>
      <c r="Q136" s="97" t="s">
        <v>4745</v>
      </c>
      <c r="R136" s="133"/>
      <c r="S136" s="141"/>
      <c r="T136" s="179" t="s">
        <v>4073</v>
      </c>
      <c r="U136" s="29"/>
      <c r="W136" s="29"/>
      <c r="X136" s="29"/>
    </row>
    <row r="137" spans="1:24" ht="45.75">
      <c r="A137" s="7">
        <v>136</v>
      </c>
      <c r="B137" s="7" t="s">
        <v>227</v>
      </c>
      <c r="C137" s="45" t="s">
        <v>4746</v>
      </c>
      <c r="D137" s="46" t="s">
        <v>4747</v>
      </c>
      <c r="E137" s="41"/>
      <c r="F137" s="43">
        <v>9933944498</v>
      </c>
      <c r="G137" s="43"/>
      <c r="H137" s="43"/>
      <c r="I137" s="44"/>
      <c r="J137" s="74"/>
      <c r="K137" s="27">
        <v>46055</v>
      </c>
      <c r="L137" s="27">
        <v>46388</v>
      </c>
      <c r="M137" s="43">
        <v>11</v>
      </c>
      <c r="N137" s="43"/>
      <c r="O137" s="7" t="s">
        <v>176</v>
      </c>
      <c r="P137" s="43"/>
      <c r="Q137" s="186" t="s">
        <v>4748</v>
      </c>
      <c r="R137" s="133"/>
      <c r="S137" s="161"/>
      <c r="T137" s="194" t="s">
        <v>4749</v>
      </c>
    </row>
    <row r="138" spans="1:24" ht="76.5">
      <c r="A138" s="7">
        <v>137</v>
      </c>
      <c r="B138" s="7" t="s">
        <v>227</v>
      </c>
      <c r="C138" s="45" t="s">
        <v>4750</v>
      </c>
      <c r="D138" s="46" t="s">
        <v>4179</v>
      </c>
      <c r="E138" s="41" t="s">
        <v>4180</v>
      </c>
      <c r="F138" s="50">
        <v>6360873990</v>
      </c>
      <c r="G138" s="50" t="s">
        <v>4181</v>
      </c>
      <c r="H138" s="43" t="s">
        <v>416</v>
      </c>
      <c r="I138" s="7" t="s">
        <v>1709</v>
      </c>
      <c r="J138" s="36"/>
      <c r="K138" s="42" t="s">
        <v>2330</v>
      </c>
      <c r="L138" s="42" t="s">
        <v>2331</v>
      </c>
      <c r="M138" s="43">
        <v>11</v>
      </c>
      <c r="N138" s="43"/>
      <c r="O138" s="44" t="s">
        <v>195</v>
      </c>
      <c r="P138" s="22"/>
      <c r="Q138" s="186" t="s">
        <v>4751</v>
      </c>
      <c r="R138" s="219" t="s">
        <v>243</v>
      </c>
      <c r="S138" s="219" t="s">
        <v>243</v>
      </c>
      <c r="T138" s="219" t="s">
        <v>243</v>
      </c>
    </row>
    <row r="139" spans="1:24" ht="45.75">
      <c r="A139" s="7">
        <v>138</v>
      </c>
      <c r="B139" s="7" t="s">
        <v>227</v>
      </c>
      <c r="C139" s="45" t="s">
        <v>4752</v>
      </c>
      <c r="D139" s="46" t="s">
        <v>4753</v>
      </c>
      <c r="E139" s="41"/>
      <c r="F139" s="266">
        <v>8130564297</v>
      </c>
      <c r="G139" s="43"/>
      <c r="H139" s="43"/>
      <c r="I139" s="44"/>
      <c r="J139" s="74"/>
      <c r="K139" s="42">
        <v>46328</v>
      </c>
      <c r="L139" s="42">
        <v>46661</v>
      </c>
      <c r="M139" s="43">
        <v>11</v>
      </c>
      <c r="N139" s="43"/>
      <c r="O139" s="7" t="s">
        <v>176</v>
      </c>
      <c r="P139" s="43"/>
      <c r="Q139" s="186" t="s">
        <v>4754</v>
      </c>
      <c r="R139" s="133"/>
      <c r="S139" s="161"/>
      <c r="T139" s="194" t="s">
        <v>4755</v>
      </c>
    </row>
    <row r="140" spans="1:24" ht="45.75">
      <c r="A140" s="7">
        <v>139</v>
      </c>
      <c r="B140" s="7" t="s">
        <v>227</v>
      </c>
      <c r="C140" s="45" t="s">
        <v>4756</v>
      </c>
      <c r="D140" s="46" t="s">
        <v>4757</v>
      </c>
      <c r="E140" s="41"/>
      <c r="F140" s="43"/>
      <c r="G140" s="43"/>
      <c r="H140" s="43"/>
      <c r="I140" s="44"/>
      <c r="J140" s="74"/>
      <c r="K140" s="42">
        <v>46358</v>
      </c>
      <c r="L140" s="42">
        <v>46692</v>
      </c>
      <c r="M140" s="43">
        <v>11</v>
      </c>
      <c r="N140" s="43"/>
      <c r="O140" s="7" t="s">
        <v>176</v>
      </c>
      <c r="P140" s="43"/>
      <c r="Q140" s="186" t="s">
        <v>4758</v>
      </c>
      <c r="R140" s="133"/>
      <c r="S140" s="161"/>
      <c r="T140" s="161"/>
    </row>
    <row r="141" spans="1:24" ht="76.5">
      <c r="A141" s="7">
        <v>140</v>
      </c>
      <c r="B141" s="44" t="s">
        <v>227</v>
      </c>
      <c r="C141" s="43" t="s">
        <v>4089</v>
      </c>
      <c r="D141" s="44" t="s">
        <v>4090</v>
      </c>
      <c r="E141" s="58" t="s">
        <v>4091</v>
      </c>
      <c r="F141" s="43">
        <v>9606106666</v>
      </c>
      <c r="G141" s="43" t="s">
        <v>4092</v>
      </c>
      <c r="H141" s="43" t="s">
        <v>348</v>
      </c>
      <c r="I141" s="44" t="s">
        <v>1709</v>
      </c>
      <c r="J141" s="91">
        <v>8178581997</v>
      </c>
      <c r="K141" s="197">
        <v>46327</v>
      </c>
      <c r="L141" s="197">
        <v>46307</v>
      </c>
      <c r="M141" s="43">
        <v>11</v>
      </c>
      <c r="N141" s="43"/>
      <c r="O141" s="44" t="s">
        <v>176</v>
      </c>
      <c r="P141" s="43"/>
      <c r="Q141" s="186" t="s">
        <v>4759</v>
      </c>
      <c r="R141" s="168"/>
      <c r="S141" s="163" t="s">
        <v>4073</v>
      </c>
      <c r="T141" s="163" t="s">
        <v>4073</v>
      </c>
      <c r="U141" s="163" t="s">
        <v>4073</v>
      </c>
    </row>
    <row r="142" spans="1:24" s="161" customFormat="1" ht="45.75">
      <c r="A142" s="7">
        <v>141</v>
      </c>
      <c r="B142" s="44" t="s">
        <v>227</v>
      </c>
      <c r="C142" s="161" t="s">
        <v>4760</v>
      </c>
      <c r="D142" s="147" t="s">
        <v>4761</v>
      </c>
      <c r="E142" s="161" t="s">
        <v>4762</v>
      </c>
      <c r="F142" s="143" t="s">
        <v>4763</v>
      </c>
      <c r="G142" s="143"/>
      <c r="H142" s="143"/>
      <c r="I142" s="143"/>
      <c r="K142" s="161" t="s">
        <v>2308</v>
      </c>
      <c r="L142" s="250">
        <v>46722</v>
      </c>
      <c r="M142" s="143">
        <v>11</v>
      </c>
      <c r="N142" s="6"/>
      <c r="O142" s="44" t="s">
        <v>176</v>
      </c>
      <c r="Q142" s="161" t="s">
        <v>4764</v>
      </c>
      <c r="V142" s="178"/>
    </row>
    <row r="143" spans="1:24" s="161" customFormat="1" ht="45.75">
      <c r="A143" s="7">
        <v>142</v>
      </c>
      <c r="B143" s="7" t="s">
        <v>227</v>
      </c>
      <c r="C143" s="7" t="s">
        <v>4070</v>
      </c>
      <c r="D143" s="7" t="s">
        <v>4071</v>
      </c>
      <c r="E143" s="25"/>
      <c r="F143" s="22">
        <v>7378211111</v>
      </c>
      <c r="G143" s="48"/>
      <c r="H143" s="7"/>
      <c r="I143" s="7" t="s">
        <v>1709</v>
      </c>
      <c r="J143" s="91">
        <v>8178581997</v>
      </c>
      <c r="K143" s="8">
        <v>46144</v>
      </c>
      <c r="L143" s="27">
        <v>46478</v>
      </c>
      <c r="M143" s="22">
        <v>11</v>
      </c>
      <c r="N143" s="43"/>
      <c r="O143" s="44" t="s">
        <v>195</v>
      </c>
      <c r="P143" s="22"/>
      <c r="Q143" s="97" t="s">
        <v>4765</v>
      </c>
      <c r="R143" s="133"/>
      <c r="S143" s="179" t="s">
        <v>4073</v>
      </c>
      <c r="T143" s="179" t="s">
        <v>4073</v>
      </c>
      <c r="U143" s="179" t="s">
        <v>4073</v>
      </c>
      <c r="V143"/>
      <c r="W143"/>
      <c r="X143"/>
    </row>
    <row r="144" spans="1:24" s="161" customFormat="1" ht="45.75">
      <c r="A144" s="7">
        <v>143</v>
      </c>
      <c r="B144" s="7" t="s">
        <v>227</v>
      </c>
      <c r="C144" s="161" t="s">
        <v>4766</v>
      </c>
      <c r="D144" s="147" t="s">
        <v>4767</v>
      </c>
      <c r="F144" s="143">
        <v>9066066456</v>
      </c>
      <c r="G144" s="143"/>
      <c r="H144" s="143"/>
      <c r="I144" s="143"/>
      <c r="K144" s="161" t="s">
        <v>4768</v>
      </c>
      <c r="L144" s="161" t="s">
        <v>4769</v>
      </c>
      <c r="M144" s="143">
        <v>11</v>
      </c>
      <c r="N144" s="6"/>
      <c r="O144" s="44" t="s">
        <v>176</v>
      </c>
      <c r="Q144" s="161" t="s">
        <v>4770</v>
      </c>
    </row>
    <row r="145" spans="1:24" s="161" customFormat="1" ht="30.75">
      <c r="A145" s="7">
        <v>144</v>
      </c>
      <c r="B145" s="7" t="s">
        <v>227</v>
      </c>
      <c r="C145" s="161" t="s">
        <v>4771</v>
      </c>
      <c r="D145" s="147" t="s">
        <v>4772</v>
      </c>
      <c r="F145" s="143">
        <v>9840412808</v>
      </c>
      <c r="G145" s="143"/>
      <c r="H145" s="143"/>
      <c r="I145" s="143"/>
      <c r="K145" s="161" t="s">
        <v>4773</v>
      </c>
      <c r="L145" s="161" t="s">
        <v>4774</v>
      </c>
      <c r="M145" s="143">
        <v>11</v>
      </c>
      <c r="N145" s="143"/>
      <c r="O145" s="161" t="s">
        <v>4775</v>
      </c>
      <c r="Q145" s="161" t="s">
        <v>4776</v>
      </c>
    </row>
    <row r="146" spans="1:24" s="161" customFormat="1" ht="106.5">
      <c r="A146" s="7">
        <v>145</v>
      </c>
      <c r="B146" s="22" t="s">
        <v>167</v>
      </c>
      <c r="C146" s="7" t="s">
        <v>4105</v>
      </c>
      <c r="D146" s="7" t="s">
        <v>4106</v>
      </c>
      <c r="E146" s="33" t="s">
        <v>4107</v>
      </c>
      <c r="F146" s="7">
        <v>9538292728</v>
      </c>
      <c r="G146" s="7" t="s">
        <v>4108</v>
      </c>
      <c r="H146" s="7" t="s">
        <v>395</v>
      </c>
      <c r="I146" s="7" t="s">
        <v>4098</v>
      </c>
      <c r="J146" s="91">
        <v>8882527369</v>
      </c>
      <c r="K146" s="27">
        <v>46074</v>
      </c>
      <c r="L146" s="27"/>
      <c r="M146" s="22">
        <v>12</v>
      </c>
      <c r="N146" s="22"/>
      <c r="O146" s="7" t="s">
        <v>176</v>
      </c>
      <c r="P146" s="22"/>
      <c r="Q146" s="97" t="s">
        <v>4777</v>
      </c>
      <c r="R146" s="133"/>
      <c r="S146" s="161" t="s">
        <v>4073</v>
      </c>
      <c r="T146" s="161" t="s">
        <v>4073</v>
      </c>
      <c r="U146" s="161" t="s">
        <v>4073</v>
      </c>
      <c r="V146"/>
      <c r="W146"/>
      <c r="X146"/>
    </row>
    <row r="147" spans="1:24" s="161" customFormat="1" ht="45.75">
      <c r="A147" s="7">
        <v>146</v>
      </c>
      <c r="B147" s="22" t="s">
        <v>167</v>
      </c>
      <c r="C147" s="161" t="s">
        <v>4778</v>
      </c>
      <c r="D147" s="147" t="s">
        <v>4778</v>
      </c>
      <c r="F147" s="143" t="s">
        <v>4779</v>
      </c>
      <c r="G147" s="143"/>
      <c r="H147" s="143"/>
      <c r="I147" s="143"/>
      <c r="K147" s="161" t="s">
        <v>4780</v>
      </c>
      <c r="L147" s="161" t="s">
        <v>4781</v>
      </c>
      <c r="M147" s="380">
        <v>11</v>
      </c>
      <c r="N147" s="425"/>
      <c r="O147" s="44" t="s">
        <v>195</v>
      </c>
      <c r="Q147" s="161" t="s">
        <v>4782</v>
      </c>
      <c r="S147" s="194" t="s">
        <v>4783</v>
      </c>
    </row>
    <row r="148" spans="1:24" s="161" customFormat="1" ht="106.5">
      <c r="A148" s="7">
        <v>147</v>
      </c>
      <c r="B148" s="7" t="s">
        <v>227</v>
      </c>
      <c r="C148" s="46" t="s">
        <v>4211</v>
      </c>
      <c r="D148" s="46" t="s">
        <v>4212</v>
      </c>
      <c r="E148" s="41" t="s">
        <v>4213</v>
      </c>
      <c r="F148" s="43">
        <v>9900169933</v>
      </c>
      <c r="G148" s="43" t="s">
        <v>4214</v>
      </c>
      <c r="H148" s="43" t="s">
        <v>348</v>
      </c>
      <c r="I148" s="7" t="s">
        <v>1709</v>
      </c>
      <c r="J148" s="36"/>
      <c r="K148" s="42">
        <v>46238</v>
      </c>
      <c r="L148" s="42">
        <v>46572</v>
      </c>
      <c r="M148" s="43">
        <v>12</v>
      </c>
      <c r="N148" s="43"/>
      <c r="O148" s="7" t="s">
        <v>176</v>
      </c>
      <c r="P148" s="22"/>
      <c r="Q148" s="186" t="s">
        <v>4784</v>
      </c>
      <c r="R148" s="133" t="s">
        <v>4216</v>
      </c>
      <c r="S148" s="161" t="s">
        <v>243</v>
      </c>
      <c r="T148" s="161" t="s">
        <v>243</v>
      </c>
      <c r="U148"/>
      <c r="V148"/>
      <c r="W148"/>
      <c r="X148"/>
    </row>
    <row r="149" spans="1:24" s="161" customFormat="1" ht="45.75">
      <c r="A149" s="7">
        <v>148</v>
      </c>
      <c r="B149" s="7" t="s">
        <v>227</v>
      </c>
      <c r="C149" s="161" t="s">
        <v>4785</v>
      </c>
      <c r="D149" s="147" t="s">
        <v>4786</v>
      </c>
      <c r="F149" s="143">
        <v>9019648393</v>
      </c>
      <c r="G149" s="143"/>
      <c r="H149" s="143"/>
      <c r="I149" s="143"/>
      <c r="K149" s="161" t="s">
        <v>2341</v>
      </c>
      <c r="L149" s="161" t="s">
        <v>2342</v>
      </c>
      <c r="M149" s="143">
        <v>11</v>
      </c>
      <c r="N149" s="6"/>
      <c r="O149" s="7" t="s">
        <v>176</v>
      </c>
      <c r="Q149" s="161" t="s">
        <v>4787</v>
      </c>
    </row>
    <row r="150" spans="1:24" s="161" customFormat="1" ht="39" customHeight="1">
      <c r="A150" s="7">
        <v>149</v>
      </c>
      <c r="B150" s="7" t="s">
        <v>227</v>
      </c>
      <c r="C150" s="161" t="s">
        <v>4788</v>
      </c>
      <c r="D150" s="147" t="s">
        <v>4789</v>
      </c>
      <c r="F150" s="143">
        <v>7849887587</v>
      </c>
      <c r="G150" s="143"/>
      <c r="H150" s="143"/>
      <c r="I150" s="143"/>
      <c r="K150" s="161" t="s">
        <v>2238</v>
      </c>
      <c r="L150" s="161" t="s">
        <v>4790</v>
      </c>
      <c r="M150" s="143">
        <v>11</v>
      </c>
      <c r="N150" s="6"/>
      <c r="O150" s="7" t="s">
        <v>176</v>
      </c>
      <c r="Q150" s="161" t="s">
        <v>4791</v>
      </c>
      <c r="S150" s="194" t="s">
        <v>4792</v>
      </c>
    </row>
    <row r="151" spans="1:24" s="161" customFormat="1" ht="45.75">
      <c r="A151" s="7">
        <v>150</v>
      </c>
      <c r="B151" s="7" t="s">
        <v>227</v>
      </c>
      <c r="C151" s="161" t="s">
        <v>4778</v>
      </c>
      <c r="D151" s="147" t="s">
        <v>4793</v>
      </c>
      <c r="F151" s="143" t="s">
        <v>4779</v>
      </c>
      <c r="G151" s="143"/>
      <c r="H151" s="143"/>
      <c r="I151" s="143"/>
      <c r="K151" s="161" t="s">
        <v>2350</v>
      </c>
      <c r="L151" s="161" t="s">
        <v>2351</v>
      </c>
      <c r="M151" s="143">
        <v>11</v>
      </c>
      <c r="N151" s="6"/>
      <c r="O151" s="7" t="s">
        <v>176</v>
      </c>
      <c r="Q151" s="161" t="s">
        <v>4794</v>
      </c>
      <c r="S151" s="194" t="s">
        <v>4783</v>
      </c>
      <c r="T151" s="219" t="s">
        <v>2353</v>
      </c>
    </row>
    <row r="152" spans="1:24" s="161" customFormat="1" ht="30.75" customHeight="1">
      <c r="A152" s="7">
        <v>151</v>
      </c>
      <c r="B152" s="7" t="s">
        <v>227</v>
      </c>
      <c r="C152" s="161" t="s">
        <v>4795</v>
      </c>
      <c r="D152" s="147" t="s">
        <v>4796</v>
      </c>
      <c r="F152" s="143">
        <f>91 - 9711966896</f>
        <v>-9711966805</v>
      </c>
      <c r="G152" s="143"/>
      <c r="H152" s="143"/>
      <c r="I152" s="143"/>
      <c r="K152" s="250">
        <v>46056</v>
      </c>
      <c r="L152" s="250">
        <v>46389</v>
      </c>
      <c r="M152" s="143">
        <v>11</v>
      </c>
      <c r="N152" s="6"/>
      <c r="O152" s="44" t="s">
        <v>195</v>
      </c>
      <c r="Q152" s="161" t="s">
        <v>4797</v>
      </c>
      <c r="S152" s="194" t="s">
        <v>4798</v>
      </c>
    </row>
    <row r="153" spans="1:24" s="161" customFormat="1" ht="33.75" customHeight="1">
      <c r="A153" s="7">
        <v>152</v>
      </c>
      <c r="B153" s="7" t="s">
        <v>227</v>
      </c>
      <c r="C153" s="161" t="s">
        <v>4799</v>
      </c>
      <c r="D153" s="147" t="s">
        <v>4800</v>
      </c>
      <c r="F153" s="143">
        <v>9605955585</v>
      </c>
      <c r="G153" s="143"/>
      <c r="H153" s="143"/>
      <c r="I153" s="143"/>
      <c r="K153" s="250">
        <v>46084</v>
      </c>
      <c r="L153" s="250">
        <v>46055</v>
      </c>
      <c r="M153" s="143">
        <v>11</v>
      </c>
      <c r="N153" s="6"/>
      <c r="O153" s="7" t="s">
        <v>176</v>
      </c>
      <c r="Q153" s="161" t="s">
        <v>4801</v>
      </c>
      <c r="S153" s="161" t="s">
        <v>4802</v>
      </c>
    </row>
    <row r="154" spans="1:24" s="161" customFormat="1" ht="28.5" customHeight="1">
      <c r="A154" s="7">
        <v>153</v>
      </c>
      <c r="B154" s="7" t="s">
        <v>227</v>
      </c>
      <c r="C154" s="161" t="s">
        <v>4803</v>
      </c>
      <c r="D154" s="147" t="s">
        <v>4804</v>
      </c>
      <c r="F154" s="143">
        <v>9877326950</v>
      </c>
      <c r="G154" s="143"/>
      <c r="H154" s="143"/>
      <c r="I154" s="143"/>
      <c r="K154" s="250">
        <v>46084</v>
      </c>
      <c r="L154" s="250">
        <v>46055</v>
      </c>
      <c r="M154" s="143">
        <v>11</v>
      </c>
      <c r="N154" s="6"/>
      <c r="O154" s="7" t="s">
        <v>176</v>
      </c>
      <c r="Q154" s="161" t="s">
        <v>4805</v>
      </c>
    </row>
    <row r="155" spans="1:24" s="161" customFormat="1" ht="41.25" customHeight="1">
      <c r="A155" s="7">
        <v>154</v>
      </c>
      <c r="B155" s="7" t="s">
        <v>227</v>
      </c>
      <c r="C155" s="45" t="s">
        <v>4173</v>
      </c>
      <c r="D155" s="58" t="s">
        <v>4174</v>
      </c>
      <c r="E155" s="41" t="s">
        <v>4175</v>
      </c>
      <c r="F155" s="50">
        <v>9582797949</v>
      </c>
      <c r="G155" s="50" t="s">
        <v>4176</v>
      </c>
      <c r="H155" s="43" t="s">
        <v>684</v>
      </c>
      <c r="I155" s="7" t="s">
        <v>1709</v>
      </c>
      <c r="J155" s="36"/>
      <c r="K155" s="42" t="s">
        <v>104</v>
      </c>
      <c r="L155" s="42" t="s">
        <v>2321</v>
      </c>
      <c r="M155" s="43">
        <v>11</v>
      </c>
      <c r="N155" s="43"/>
      <c r="O155" s="44" t="s">
        <v>195</v>
      </c>
      <c r="P155" s="22"/>
      <c r="Q155" s="186" t="s">
        <v>4806</v>
      </c>
      <c r="R155" s="161" t="s">
        <v>243</v>
      </c>
      <c r="S155" s="161" t="s">
        <v>243</v>
      </c>
      <c r="T155" s="161" t="s">
        <v>243</v>
      </c>
      <c r="U155"/>
      <c r="V155"/>
      <c r="W155"/>
      <c r="X155"/>
    </row>
    <row r="156" spans="1:24" s="161" customFormat="1" ht="59.25" customHeight="1">
      <c r="A156" s="7">
        <v>155</v>
      </c>
      <c r="B156" s="24" t="s">
        <v>227</v>
      </c>
      <c r="C156" s="45" t="s">
        <v>4137</v>
      </c>
      <c r="D156" s="46" t="s">
        <v>4138</v>
      </c>
      <c r="E156" s="46" t="s">
        <v>4139</v>
      </c>
      <c r="F156" s="21" t="s">
        <v>4140</v>
      </c>
      <c r="G156" s="21" t="s">
        <v>4141</v>
      </c>
      <c r="H156" s="44" t="s">
        <v>492</v>
      </c>
      <c r="I156" s="7" t="s">
        <v>4098</v>
      </c>
      <c r="J156" s="36"/>
      <c r="K156" s="37" t="s">
        <v>3634</v>
      </c>
      <c r="L156" s="42" t="s">
        <v>2447</v>
      </c>
      <c r="M156" s="22">
        <v>12</v>
      </c>
      <c r="N156" s="22"/>
      <c r="O156" s="7" t="s">
        <v>176</v>
      </c>
      <c r="P156" s="22"/>
      <c r="Q156" s="97" t="s">
        <v>4807</v>
      </c>
      <c r="R156" s="133"/>
      <c r="S156" s="161" t="s">
        <v>4073</v>
      </c>
      <c r="T156" s="161" t="s">
        <v>4073</v>
      </c>
      <c r="U156" s="161" t="s">
        <v>4073</v>
      </c>
      <c r="V156"/>
      <c r="W156"/>
      <c r="X156"/>
    </row>
    <row r="157" spans="1:24" s="161" customFormat="1" ht="39.75" customHeight="1">
      <c r="A157" s="7">
        <v>156</v>
      </c>
      <c r="B157" s="24" t="s">
        <v>227</v>
      </c>
      <c r="C157" s="45" t="s">
        <v>4147</v>
      </c>
      <c r="D157" s="46" t="s">
        <v>4148</v>
      </c>
      <c r="E157" s="46" t="s">
        <v>4149</v>
      </c>
      <c r="F157" s="43">
        <v>9315952299</v>
      </c>
      <c r="G157" s="43" t="s">
        <v>4150</v>
      </c>
      <c r="H157" s="44" t="s">
        <v>194</v>
      </c>
      <c r="I157" s="7" t="s">
        <v>4098</v>
      </c>
      <c r="J157" s="17"/>
      <c r="K157" s="42">
        <v>46206</v>
      </c>
      <c r="L157" s="42">
        <v>46540</v>
      </c>
      <c r="M157" s="22">
        <v>12</v>
      </c>
      <c r="N157" s="43"/>
      <c r="O157" s="44" t="s">
        <v>195</v>
      </c>
      <c r="P157" s="22"/>
      <c r="Q157" s="97" t="s">
        <v>4808</v>
      </c>
      <c r="R157" s="133"/>
      <c r="S157" s="161" t="s">
        <v>4073</v>
      </c>
      <c r="T157" s="161" t="s">
        <v>4073</v>
      </c>
      <c r="U157"/>
      <c r="V157"/>
      <c r="W157"/>
      <c r="X157"/>
    </row>
    <row r="158" spans="1:24" s="161" customFormat="1" ht="49.5" customHeight="1">
      <c r="A158" s="7">
        <v>157</v>
      </c>
      <c r="B158" s="24" t="s">
        <v>227</v>
      </c>
      <c r="C158" s="45" t="s">
        <v>4809</v>
      </c>
      <c r="D158" s="46" t="s">
        <v>4810</v>
      </c>
      <c r="E158" s="41" t="s">
        <v>4514</v>
      </c>
      <c r="F158" s="43">
        <v>7977235953</v>
      </c>
      <c r="G158" s="43" t="s">
        <v>4136</v>
      </c>
      <c r="H158" s="43"/>
      <c r="I158" s="44"/>
      <c r="J158" s="74"/>
      <c r="K158" s="42">
        <v>46145</v>
      </c>
      <c r="L158" s="42">
        <v>46480</v>
      </c>
      <c r="M158" s="43">
        <v>12</v>
      </c>
      <c r="N158" s="43"/>
      <c r="O158" s="7" t="s">
        <v>176</v>
      </c>
      <c r="P158" s="43"/>
      <c r="Q158" s="186" t="s">
        <v>4811</v>
      </c>
      <c r="R158" s="133"/>
      <c r="S158" s="161" t="s">
        <v>1714</v>
      </c>
      <c r="T158" s="161" t="s">
        <v>1714</v>
      </c>
      <c r="U158"/>
      <c r="V158"/>
      <c r="W158"/>
      <c r="X158"/>
    </row>
    <row r="159" spans="1:24" s="161" customFormat="1" ht="15" customHeight="1">
      <c r="A159" s="7">
        <v>158</v>
      </c>
      <c r="B159" s="24" t="s">
        <v>227</v>
      </c>
      <c r="C159" s="161" t="s">
        <v>4812</v>
      </c>
      <c r="D159" s="147" t="s">
        <v>4813</v>
      </c>
      <c r="F159" s="143">
        <v>9926210150</v>
      </c>
      <c r="G159" s="143"/>
      <c r="H159" s="143"/>
      <c r="I159" s="143"/>
      <c r="K159" s="250">
        <v>46359</v>
      </c>
      <c r="L159" s="250">
        <v>46693</v>
      </c>
      <c r="M159" s="143">
        <v>11</v>
      </c>
      <c r="N159" s="6"/>
      <c r="O159" s="7" t="s">
        <v>176</v>
      </c>
      <c r="Q159" s="161" t="s">
        <v>4814</v>
      </c>
      <c r="S159" s="194" t="s">
        <v>4815</v>
      </c>
    </row>
    <row r="160" spans="1:24" s="161" customFormat="1" ht="58.5" customHeight="1">
      <c r="A160" s="7">
        <v>159</v>
      </c>
      <c r="B160" s="24" t="s">
        <v>227</v>
      </c>
      <c r="C160" s="309" t="s">
        <v>4167</v>
      </c>
      <c r="D160" s="310" t="s">
        <v>4168</v>
      </c>
      <c r="E160" s="311" t="s">
        <v>4169</v>
      </c>
      <c r="F160" s="312">
        <v>9108166266</v>
      </c>
      <c r="G160" s="312" t="s">
        <v>4170</v>
      </c>
      <c r="H160" s="312" t="s">
        <v>416</v>
      </c>
      <c r="I160" s="7" t="s">
        <v>4098</v>
      </c>
      <c r="J160" s="313"/>
      <c r="K160" s="314" t="s">
        <v>4816</v>
      </c>
      <c r="L160" s="314">
        <v>46724</v>
      </c>
      <c r="M160" s="315">
        <v>12</v>
      </c>
      <c r="N160" s="312"/>
      <c r="O160" s="44" t="s">
        <v>195</v>
      </c>
      <c r="P160" s="68"/>
      <c r="Q160" s="97" t="s">
        <v>4817</v>
      </c>
      <c r="R160" s="133"/>
      <c r="S160" s="148" t="s">
        <v>4073</v>
      </c>
      <c r="T160" s="161" t="s">
        <v>243</v>
      </c>
      <c r="U160"/>
      <c r="V160"/>
      <c r="W160"/>
      <c r="X160"/>
    </row>
    <row r="161" spans="1:24" s="161" customFormat="1" ht="28.5" customHeight="1">
      <c r="A161" s="7">
        <v>160</v>
      </c>
      <c r="B161" s="24" t="s">
        <v>227</v>
      </c>
      <c r="C161" s="161" t="s">
        <v>4818</v>
      </c>
      <c r="D161" s="147" t="s">
        <v>4819</v>
      </c>
      <c r="F161" s="143">
        <v>9833702600</v>
      </c>
      <c r="G161" s="143"/>
      <c r="H161" s="143"/>
      <c r="I161" s="143"/>
      <c r="K161" s="314" t="s">
        <v>4816</v>
      </c>
      <c r="L161" s="314">
        <v>46723</v>
      </c>
      <c r="M161" s="143">
        <v>11</v>
      </c>
      <c r="N161" s="6"/>
      <c r="O161" s="7" t="s">
        <v>176</v>
      </c>
      <c r="Q161" s="161" t="s">
        <v>4820</v>
      </c>
      <c r="S161" s="194" t="s">
        <v>4821</v>
      </c>
    </row>
    <row r="162" spans="1:24" s="161" customFormat="1" ht="15" customHeight="1">
      <c r="A162" s="7">
        <v>161</v>
      </c>
      <c r="B162" s="24" t="s">
        <v>227</v>
      </c>
      <c r="C162" s="147" t="s">
        <v>4822</v>
      </c>
      <c r="D162" s="147" t="s">
        <v>4823</v>
      </c>
      <c r="F162" s="143">
        <v>8140329004</v>
      </c>
      <c r="G162" s="143"/>
      <c r="H162" s="143"/>
      <c r="I162" s="143"/>
      <c r="K162" s="161" t="s">
        <v>2518</v>
      </c>
      <c r="L162" s="161" t="s">
        <v>2511</v>
      </c>
      <c r="M162" s="143">
        <v>11</v>
      </c>
      <c r="N162" s="6"/>
      <c r="O162" s="44" t="s">
        <v>195</v>
      </c>
      <c r="Q162" s="161" t="s">
        <v>4824</v>
      </c>
      <c r="S162" s="194" t="s">
        <v>4825</v>
      </c>
    </row>
    <row r="163" spans="1:24" s="161" customFormat="1" ht="39" customHeight="1">
      <c r="A163" s="7">
        <v>162</v>
      </c>
      <c r="B163" s="24" t="s">
        <v>167</v>
      </c>
      <c r="C163" s="22" t="s">
        <v>4115</v>
      </c>
      <c r="D163" s="7" t="s">
        <v>4116</v>
      </c>
      <c r="E163" s="31" t="s">
        <v>4117</v>
      </c>
      <c r="F163" s="7" t="s">
        <v>4118</v>
      </c>
      <c r="G163" s="22" t="s">
        <v>4119</v>
      </c>
      <c r="H163" s="22" t="s">
        <v>492</v>
      </c>
      <c r="I163" s="7" t="s">
        <v>4098</v>
      </c>
      <c r="J163" s="36"/>
      <c r="K163" s="27">
        <v>46084</v>
      </c>
      <c r="L163" s="27">
        <v>46420</v>
      </c>
      <c r="M163" s="22">
        <v>12</v>
      </c>
      <c r="N163" s="22"/>
      <c r="O163" s="7" t="s">
        <v>176</v>
      </c>
      <c r="P163" s="22"/>
      <c r="Q163" s="97" t="s">
        <v>4826</v>
      </c>
      <c r="R163" s="141" t="s">
        <v>4073</v>
      </c>
      <c r="S163" s="141" t="s">
        <v>4073</v>
      </c>
      <c r="T163" s="141" t="s">
        <v>4073</v>
      </c>
      <c r="U163" s="29"/>
      <c r="V163"/>
      <c r="W163" s="29"/>
      <c r="X163" s="29"/>
    </row>
    <row r="164" spans="1:24" s="161" customFormat="1" ht="33" customHeight="1">
      <c r="A164" s="7">
        <v>163</v>
      </c>
      <c r="B164" s="24" t="s">
        <v>167</v>
      </c>
      <c r="C164" s="161" t="s">
        <v>4827</v>
      </c>
      <c r="D164" s="147" t="s">
        <v>4828</v>
      </c>
      <c r="F164" s="143">
        <v>9886138583</v>
      </c>
      <c r="G164" s="143"/>
      <c r="H164" s="143"/>
      <c r="I164" s="143"/>
      <c r="K164" s="161" t="s">
        <v>2388</v>
      </c>
      <c r="L164" s="161" t="s">
        <v>2389</v>
      </c>
      <c r="M164" s="143">
        <v>24</v>
      </c>
      <c r="N164" s="6"/>
      <c r="O164" s="7" t="s">
        <v>176</v>
      </c>
      <c r="Q164" s="161" t="s">
        <v>4829</v>
      </c>
      <c r="S164" s="161" t="s">
        <v>4830</v>
      </c>
    </row>
    <row r="165" spans="1:24" s="164" customFormat="1" ht="37.5" customHeight="1">
      <c r="A165" s="44">
        <v>164</v>
      </c>
      <c r="B165" s="52" t="s">
        <v>167</v>
      </c>
      <c r="C165" s="164" t="s">
        <v>4831</v>
      </c>
      <c r="D165" s="339" t="s">
        <v>108</v>
      </c>
      <c r="F165" s="225" t="s">
        <v>4832</v>
      </c>
      <c r="G165" s="225"/>
      <c r="H165" s="225"/>
      <c r="I165" s="225"/>
      <c r="K165" s="340" t="s">
        <v>4833</v>
      </c>
      <c r="L165" s="164" t="s">
        <v>3720</v>
      </c>
      <c r="M165" s="225">
        <v>11</v>
      </c>
      <c r="N165" s="6"/>
      <c r="O165" s="44" t="s">
        <v>176</v>
      </c>
      <c r="Q165" s="164" t="s">
        <v>109</v>
      </c>
      <c r="S165" s="341" t="s">
        <v>4834</v>
      </c>
    </row>
    <row r="166" spans="1:24" s="161" customFormat="1" ht="15" customHeight="1">
      <c r="A166" s="133">
        <v>165</v>
      </c>
      <c r="B166" s="52" t="s">
        <v>167</v>
      </c>
      <c r="C166" s="161" t="s">
        <v>4835</v>
      </c>
      <c r="D166" s="147" t="s">
        <v>4836</v>
      </c>
      <c r="F166" s="143"/>
      <c r="G166" s="143"/>
      <c r="H166" s="143"/>
      <c r="I166" s="143"/>
      <c r="K166" s="161" t="s">
        <v>4837</v>
      </c>
      <c r="L166" s="161" t="s">
        <v>4838</v>
      </c>
      <c r="M166" s="143">
        <v>11</v>
      </c>
      <c r="N166" s="6"/>
      <c r="O166" s="44" t="s">
        <v>176</v>
      </c>
      <c r="Q166" s="161" t="s">
        <v>4839</v>
      </c>
    </row>
    <row r="167" spans="1:24" s="161" customFormat="1" ht="15" customHeight="1">
      <c r="A167" s="133">
        <v>166</v>
      </c>
      <c r="B167" s="52" t="s">
        <v>167</v>
      </c>
      <c r="C167" s="161" t="s">
        <v>4840</v>
      </c>
      <c r="D167" s="147" t="s">
        <v>4841</v>
      </c>
      <c r="F167" s="143"/>
      <c r="G167" s="143"/>
      <c r="H167" s="143"/>
      <c r="I167" s="143"/>
      <c r="M167" s="143"/>
      <c r="N167" s="143"/>
    </row>
    <row r="168" spans="1:24" s="161" customFormat="1" ht="33" customHeight="1">
      <c r="A168" s="7">
        <v>167</v>
      </c>
      <c r="B168" s="7" t="s">
        <v>227</v>
      </c>
      <c r="C168" s="22" t="s">
        <v>4083</v>
      </c>
      <c r="D168" s="7" t="s">
        <v>4842</v>
      </c>
      <c r="E168" s="25" t="s">
        <v>4085</v>
      </c>
      <c r="F168" s="10" t="s">
        <v>4086</v>
      </c>
      <c r="G168" s="10" t="s">
        <v>4087</v>
      </c>
      <c r="H168" s="10" t="s">
        <v>202</v>
      </c>
      <c r="I168" s="7" t="s">
        <v>1709</v>
      </c>
      <c r="J168" s="91">
        <v>8178581997</v>
      </c>
      <c r="K168" s="27" t="s">
        <v>4843</v>
      </c>
      <c r="L168" s="27" t="s">
        <v>4844</v>
      </c>
      <c r="M168" s="22">
        <v>11</v>
      </c>
      <c r="N168" s="22"/>
      <c r="O168" s="7" t="s">
        <v>176</v>
      </c>
      <c r="P168" s="22"/>
      <c r="Q168" s="97" t="s">
        <v>4845</v>
      </c>
      <c r="R168" s="133"/>
      <c r="S168" s="139" t="s">
        <v>4073</v>
      </c>
      <c r="T168" s="161" t="s">
        <v>2701</v>
      </c>
      <c r="U168"/>
      <c r="V168"/>
      <c r="W168"/>
      <c r="X168" s="16"/>
    </row>
    <row r="169" spans="1:24" s="161" customFormat="1" ht="49.5" customHeight="1">
      <c r="A169" s="7">
        <v>168</v>
      </c>
      <c r="B169" s="7" t="s">
        <v>211</v>
      </c>
      <c r="C169" s="45" t="s">
        <v>4183</v>
      </c>
      <c r="D169" s="46" t="s">
        <v>4184</v>
      </c>
      <c r="E169" s="41" t="s">
        <v>4185</v>
      </c>
      <c r="F169" s="43" t="s">
        <v>4186</v>
      </c>
      <c r="G169" s="43" t="s">
        <v>4187</v>
      </c>
      <c r="H169" s="43" t="s">
        <v>416</v>
      </c>
      <c r="I169" s="7" t="s">
        <v>1709</v>
      </c>
      <c r="J169" s="17"/>
      <c r="K169" s="42" t="s">
        <v>2411</v>
      </c>
      <c r="L169" s="42" t="s">
        <v>2412</v>
      </c>
      <c r="M169" s="43">
        <v>11</v>
      </c>
      <c r="N169" s="43"/>
      <c r="O169" s="44" t="s">
        <v>195</v>
      </c>
      <c r="P169" s="22"/>
      <c r="Q169" s="186" t="s">
        <v>4846</v>
      </c>
      <c r="R169" s="133"/>
      <c r="S169" s="161" t="s">
        <v>243</v>
      </c>
      <c r="T169" s="161" t="s">
        <v>243</v>
      </c>
      <c r="U169"/>
      <c r="V169"/>
      <c r="W169"/>
      <c r="X169"/>
    </row>
    <row r="170" spans="1:24" s="161" customFormat="1" ht="47.25" customHeight="1">
      <c r="A170" s="7">
        <v>169</v>
      </c>
      <c r="B170" s="24" t="s">
        <v>211</v>
      </c>
      <c r="C170" s="22" t="s">
        <v>4126</v>
      </c>
      <c r="D170" s="7" t="s">
        <v>4127</v>
      </c>
      <c r="E170" s="31" t="s">
        <v>4128</v>
      </c>
      <c r="F170" s="43" t="s">
        <v>4129</v>
      </c>
      <c r="G170" s="48" t="s">
        <v>4130</v>
      </c>
      <c r="H170" s="22" t="s">
        <v>4131</v>
      </c>
      <c r="I170" s="7" t="s">
        <v>4098</v>
      </c>
      <c r="J170" s="36"/>
      <c r="K170" s="27">
        <v>46115</v>
      </c>
      <c r="L170" s="27">
        <v>46448</v>
      </c>
      <c r="M170" s="22">
        <v>12</v>
      </c>
      <c r="N170" s="22"/>
      <c r="O170" s="7" t="s">
        <v>176</v>
      </c>
      <c r="P170" s="22"/>
      <c r="Q170" s="97" t="s">
        <v>4847</v>
      </c>
      <c r="R170" s="133"/>
      <c r="S170" s="141" t="s">
        <v>4073</v>
      </c>
      <c r="T170" s="141" t="s">
        <v>4073</v>
      </c>
      <c r="U170" s="29"/>
      <c r="V170"/>
      <c r="W170" s="29"/>
      <c r="X170" s="29"/>
    </row>
    <row r="171" spans="1:24" s="161" customFormat="1" ht="52.5" customHeight="1">
      <c r="A171" s="7">
        <v>170</v>
      </c>
      <c r="B171" s="350" t="s">
        <v>227</v>
      </c>
      <c r="C171" s="45" t="s">
        <v>4194</v>
      </c>
      <c r="D171" s="46" t="s">
        <v>4848</v>
      </c>
      <c r="E171" s="41" t="s">
        <v>4196</v>
      </c>
      <c r="F171" s="43">
        <v>8052632490</v>
      </c>
      <c r="G171" s="43" t="s">
        <v>4849</v>
      </c>
      <c r="H171" s="43" t="s">
        <v>241</v>
      </c>
      <c r="I171" s="7" t="s">
        <v>1709</v>
      </c>
      <c r="J171" s="36"/>
      <c r="K171" s="42" t="s">
        <v>2446</v>
      </c>
      <c r="L171" s="42" t="s">
        <v>2447</v>
      </c>
      <c r="M171" s="43">
        <v>12</v>
      </c>
      <c r="N171" s="43"/>
      <c r="O171" s="7" t="s">
        <v>176</v>
      </c>
      <c r="P171" s="22"/>
      <c r="Q171" s="186" t="s">
        <v>4850</v>
      </c>
      <c r="R171" s="133"/>
      <c r="S171" s="161" t="s">
        <v>4073</v>
      </c>
      <c r="T171" s="161" t="s">
        <v>4073</v>
      </c>
      <c r="U171"/>
      <c r="V171"/>
      <c r="W171"/>
      <c r="X171"/>
    </row>
    <row r="172" spans="1:24" s="161" customFormat="1" ht="71.25" customHeight="1">
      <c r="A172" s="139">
        <v>171</v>
      </c>
      <c r="B172" s="350" t="s">
        <v>227</v>
      </c>
      <c r="C172" s="161" t="s">
        <v>4851</v>
      </c>
      <c r="D172" s="147" t="s">
        <v>4851</v>
      </c>
      <c r="E172" s="147" t="s">
        <v>4852</v>
      </c>
      <c r="F172" s="143" t="s">
        <v>4853</v>
      </c>
      <c r="G172" s="143" t="s">
        <v>4854</v>
      </c>
      <c r="H172" s="143"/>
      <c r="I172" s="143"/>
      <c r="K172" s="250">
        <v>46026</v>
      </c>
      <c r="L172" s="161" t="s">
        <v>3750</v>
      </c>
      <c r="M172" s="143">
        <v>11</v>
      </c>
      <c r="N172" s="6"/>
      <c r="O172" s="44" t="s">
        <v>195</v>
      </c>
      <c r="Q172" s="147" t="s">
        <v>4855</v>
      </c>
    </row>
    <row r="173" spans="1:24" s="161" customFormat="1" ht="39.75" customHeight="1">
      <c r="A173" s="7">
        <v>172</v>
      </c>
      <c r="B173" s="350" t="s">
        <v>227</v>
      </c>
      <c r="C173" s="46" t="s">
        <v>4287</v>
      </c>
      <c r="D173" s="46" t="s">
        <v>4288</v>
      </c>
      <c r="E173" s="363" t="s">
        <v>4289</v>
      </c>
      <c r="F173" s="43">
        <v>9709363616</v>
      </c>
      <c r="G173" s="43" t="s">
        <v>4290</v>
      </c>
      <c r="H173" s="6"/>
      <c r="I173" s="44"/>
      <c r="J173" s="74"/>
      <c r="K173" s="250">
        <v>46026</v>
      </c>
      <c r="L173" s="161" t="s">
        <v>3750</v>
      </c>
      <c r="M173" s="43">
        <v>12</v>
      </c>
      <c r="N173" s="43"/>
      <c r="O173" s="7" t="s">
        <v>176</v>
      </c>
      <c r="P173" s="43"/>
      <c r="Q173" s="186" t="s">
        <v>4856</v>
      </c>
      <c r="R173" s="133" t="s">
        <v>4292</v>
      </c>
      <c r="S173" s="161" t="s">
        <v>243</v>
      </c>
      <c r="T173" s="161" t="s">
        <v>243</v>
      </c>
      <c r="U173"/>
      <c r="V173"/>
      <c r="W173"/>
      <c r="X173"/>
    </row>
    <row r="174" spans="1:24" s="161" customFormat="1" ht="51" customHeight="1">
      <c r="A174" s="7">
        <v>173</v>
      </c>
      <c r="B174" s="7" t="s">
        <v>227</v>
      </c>
      <c r="C174" s="46" t="s">
        <v>4217</v>
      </c>
      <c r="D174" s="45" t="s">
        <v>4218</v>
      </c>
      <c r="E174" s="46" t="s">
        <v>4219</v>
      </c>
      <c r="F174" s="43">
        <v>9954469105</v>
      </c>
      <c r="G174" s="43" t="s">
        <v>4220</v>
      </c>
      <c r="H174" s="43" t="s">
        <v>512</v>
      </c>
      <c r="I174" s="7" t="s">
        <v>1709</v>
      </c>
      <c r="J174" s="36"/>
      <c r="K174" s="42">
        <v>46058</v>
      </c>
      <c r="L174" s="42">
        <v>46391</v>
      </c>
      <c r="M174" s="43">
        <v>12</v>
      </c>
      <c r="N174" s="43"/>
      <c r="O174" s="7" t="s">
        <v>176</v>
      </c>
      <c r="P174" s="22"/>
      <c r="Q174" s="186" t="s">
        <v>4857</v>
      </c>
      <c r="R174" s="133"/>
      <c r="S174" s="161" t="s">
        <v>243</v>
      </c>
      <c r="T174" s="161" t="s">
        <v>4222</v>
      </c>
      <c r="U174"/>
      <c r="V174"/>
      <c r="W174"/>
      <c r="X174"/>
    </row>
    <row r="175" spans="1:24" s="161" customFormat="1" ht="15" customHeight="1">
      <c r="A175" s="139">
        <v>174</v>
      </c>
      <c r="B175" s="7" t="s">
        <v>227</v>
      </c>
      <c r="C175" s="161" t="s">
        <v>4858</v>
      </c>
      <c r="D175" s="147" t="s">
        <v>4859</v>
      </c>
      <c r="E175" s="147" t="s">
        <v>4860</v>
      </c>
      <c r="F175" s="143">
        <v>8073839802</v>
      </c>
      <c r="G175" s="143" t="s">
        <v>4861</v>
      </c>
      <c r="H175" s="143"/>
      <c r="I175" s="143"/>
      <c r="K175" s="250">
        <v>46177</v>
      </c>
      <c r="L175" s="250">
        <v>46510</v>
      </c>
      <c r="M175" s="143">
        <v>11</v>
      </c>
      <c r="N175" s="6"/>
      <c r="O175" s="7" t="s">
        <v>176</v>
      </c>
      <c r="Q175" s="161" t="s">
        <v>4862</v>
      </c>
    </row>
    <row r="176" spans="1:24" s="161" customFormat="1" ht="35.25" customHeight="1">
      <c r="A176" s="7">
        <v>175</v>
      </c>
      <c r="B176" s="52" t="s">
        <v>227</v>
      </c>
      <c r="C176" s="76" t="s">
        <v>4244</v>
      </c>
      <c r="D176" s="46" t="s">
        <v>4245</v>
      </c>
      <c r="E176" s="46" t="s">
        <v>4246</v>
      </c>
      <c r="F176" s="6">
        <v>9845271737</v>
      </c>
      <c r="G176" s="43" t="s">
        <v>4247</v>
      </c>
      <c r="H176" s="43" t="s">
        <v>248</v>
      </c>
      <c r="I176" s="7"/>
      <c r="J176" s="36"/>
      <c r="K176" s="42" t="s">
        <v>2469</v>
      </c>
      <c r="L176" s="42" t="s">
        <v>2470</v>
      </c>
      <c r="M176" s="43">
        <v>12</v>
      </c>
      <c r="N176" s="43"/>
      <c r="O176" s="44" t="s">
        <v>195</v>
      </c>
      <c r="P176" s="22"/>
      <c r="Q176" s="186" t="s">
        <v>4863</v>
      </c>
      <c r="R176" s="133" t="s">
        <v>4249</v>
      </c>
      <c r="S176" s="161" t="s">
        <v>243</v>
      </c>
      <c r="T176" s="161" t="s">
        <v>243</v>
      </c>
      <c r="U176"/>
      <c r="V176"/>
      <c r="W176"/>
      <c r="X176"/>
    </row>
    <row r="177" spans="1:20" s="161" customFormat="1" ht="49.5" customHeight="1">
      <c r="A177" s="7">
        <v>176</v>
      </c>
      <c r="B177" s="7" t="s">
        <v>227</v>
      </c>
      <c r="C177" s="45" t="s">
        <v>4234</v>
      </c>
      <c r="D177" s="46" t="s">
        <v>4235</v>
      </c>
      <c r="E177" s="41" t="s">
        <v>4236</v>
      </c>
      <c r="F177" s="43">
        <v>9311705004</v>
      </c>
      <c r="G177" s="43" t="s">
        <v>4237</v>
      </c>
      <c r="H177" s="43" t="s">
        <v>194</v>
      </c>
      <c r="I177" s="7"/>
      <c r="J177" s="36"/>
      <c r="K177" s="42" t="s">
        <v>3781</v>
      </c>
      <c r="L177" s="42" t="s">
        <v>3782</v>
      </c>
      <c r="M177" s="43">
        <v>12</v>
      </c>
      <c r="N177" s="43"/>
      <c r="O177" s="44" t="s">
        <v>195</v>
      </c>
      <c r="P177" s="22"/>
      <c r="Q177" s="186" t="s">
        <v>4864</v>
      </c>
      <c r="R177" s="133"/>
      <c r="S177" s="161" t="s">
        <v>243</v>
      </c>
      <c r="T177" s="161" t="s">
        <v>243</v>
      </c>
    </row>
    <row r="178" spans="1:20" s="161" customFormat="1" ht="30.75" customHeight="1">
      <c r="A178" s="7">
        <v>177</v>
      </c>
      <c r="B178" s="7" t="s">
        <v>227</v>
      </c>
      <c r="C178" s="45" t="s">
        <v>4265</v>
      </c>
      <c r="D178" s="46" t="s">
        <v>4266</v>
      </c>
      <c r="E178" s="46" t="s">
        <v>4267</v>
      </c>
      <c r="F178" s="43">
        <v>9036011393</v>
      </c>
      <c r="G178" s="43" t="s">
        <v>4268</v>
      </c>
      <c r="H178" s="43" t="s">
        <v>416</v>
      </c>
      <c r="I178" s="7"/>
      <c r="J178" s="53"/>
      <c r="K178" s="42" t="s">
        <v>2446</v>
      </c>
      <c r="L178" s="42" t="s">
        <v>2447</v>
      </c>
      <c r="M178" s="43">
        <v>12</v>
      </c>
      <c r="N178" s="43"/>
      <c r="O178" s="44" t="s">
        <v>195</v>
      </c>
      <c r="P178" s="22"/>
      <c r="Q178" s="186" t="s">
        <v>4865</v>
      </c>
      <c r="R178" s="133"/>
      <c r="S178" s="161" t="s">
        <v>243</v>
      </c>
    </row>
    <row r="179" spans="1:20" s="164" customFormat="1" ht="30.75" customHeight="1">
      <c r="A179" s="163">
        <v>178</v>
      </c>
      <c r="B179" s="44" t="s">
        <v>227</v>
      </c>
      <c r="C179" s="164" t="s">
        <v>4866</v>
      </c>
      <c r="D179" s="339" t="s">
        <v>4867</v>
      </c>
      <c r="E179" s="164" t="s">
        <v>4868</v>
      </c>
      <c r="F179" s="225" t="s">
        <v>4869</v>
      </c>
      <c r="G179" s="225" t="s">
        <v>4870</v>
      </c>
      <c r="H179" s="225"/>
      <c r="I179" s="225"/>
      <c r="K179" s="164" t="s">
        <v>2446</v>
      </c>
      <c r="L179" s="164" t="s">
        <v>2447</v>
      </c>
      <c r="M179" s="225">
        <v>11</v>
      </c>
      <c r="N179" s="6"/>
      <c r="O179" s="44" t="s">
        <v>176</v>
      </c>
      <c r="Q179" s="164" t="s">
        <v>4871</v>
      </c>
    </row>
    <row r="180" spans="1:20" s="161" customFormat="1" ht="36" customHeight="1">
      <c r="A180" s="133">
        <v>179</v>
      </c>
      <c r="B180" s="133" t="s">
        <v>227</v>
      </c>
      <c r="C180" s="145" t="s">
        <v>4355</v>
      </c>
      <c r="D180" s="145" t="s">
        <v>4356</v>
      </c>
      <c r="E180" s="147" t="s">
        <v>4357</v>
      </c>
      <c r="F180" s="139">
        <v>7989618716</v>
      </c>
      <c r="G180" s="139" t="s">
        <v>4358</v>
      </c>
      <c r="H180" s="139"/>
      <c r="I180" s="133"/>
      <c r="J180" s="138"/>
      <c r="K180" s="146" t="s">
        <v>3959</v>
      </c>
      <c r="L180" s="146" t="s">
        <v>4872</v>
      </c>
      <c r="M180" s="139">
        <v>12</v>
      </c>
      <c r="N180" s="139"/>
      <c r="O180" s="133" t="s">
        <v>176</v>
      </c>
      <c r="P180" s="139"/>
      <c r="Q180" s="133" t="s">
        <v>4873</v>
      </c>
      <c r="R180" s="161" t="s">
        <v>4360</v>
      </c>
      <c r="S180" s="161" t="s">
        <v>4073</v>
      </c>
      <c r="T180" s="161" t="s">
        <v>4073</v>
      </c>
    </row>
    <row r="181" spans="1:20" s="161" customFormat="1" ht="15" customHeight="1">
      <c r="A181" s="139">
        <v>180</v>
      </c>
      <c r="B181" s="133" t="s">
        <v>227</v>
      </c>
      <c r="C181" s="161" t="s">
        <v>4874</v>
      </c>
      <c r="D181" s="147" t="s">
        <v>4875</v>
      </c>
      <c r="E181" s="161" t="s">
        <v>4876</v>
      </c>
      <c r="F181" s="143">
        <v>9781637117</v>
      </c>
      <c r="G181" s="143" t="s">
        <v>4877</v>
      </c>
      <c r="H181" s="143"/>
      <c r="I181" s="143"/>
      <c r="K181" s="161" t="s">
        <v>118</v>
      </c>
      <c r="L181" s="161" t="s">
        <v>2501</v>
      </c>
      <c r="M181" s="143">
        <v>11</v>
      </c>
      <c r="N181" s="143"/>
      <c r="O181" s="133" t="s">
        <v>176</v>
      </c>
      <c r="Q181" s="161" t="s">
        <v>4878</v>
      </c>
      <c r="R181" s="194" t="s">
        <v>4879</v>
      </c>
    </row>
    <row r="182" spans="1:20" s="219" customFormat="1" ht="15" customHeight="1">
      <c r="A182" s="179">
        <v>181</v>
      </c>
      <c r="B182" s="131" t="s">
        <v>227</v>
      </c>
      <c r="C182" s="219" t="s">
        <v>4840</v>
      </c>
      <c r="D182" s="196" t="s">
        <v>4841</v>
      </c>
      <c r="E182" s="196" t="s">
        <v>4880</v>
      </c>
      <c r="F182" s="402">
        <v>9041838640</v>
      </c>
      <c r="G182" s="402" t="s">
        <v>4881</v>
      </c>
      <c r="H182" s="346"/>
      <c r="I182" s="346"/>
      <c r="K182" s="403">
        <v>46057</v>
      </c>
      <c r="L182" s="403">
        <v>46390</v>
      </c>
      <c r="M182" s="346">
        <v>12</v>
      </c>
      <c r="N182" s="346"/>
      <c r="O182" s="131" t="s">
        <v>176</v>
      </c>
      <c r="Q182" s="219" t="s">
        <v>4839</v>
      </c>
      <c r="S182" s="219" t="s">
        <v>4073</v>
      </c>
    </row>
    <row r="183" spans="1:20" s="161" customFormat="1" ht="33.75" customHeight="1">
      <c r="A183" s="139">
        <v>182</v>
      </c>
      <c r="B183" s="133" t="s">
        <v>227</v>
      </c>
      <c r="C183" s="161" t="s">
        <v>4882</v>
      </c>
      <c r="D183" s="147" t="s">
        <v>4883</v>
      </c>
      <c r="E183" s="161" t="s">
        <v>4884</v>
      </c>
      <c r="F183" s="143">
        <v>7428657069</v>
      </c>
      <c r="G183" s="143" t="s">
        <v>4885</v>
      </c>
      <c r="H183" s="143"/>
      <c r="I183" s="143"/>
      <c r="K183" s="250">
        <v>46027</v>
      </c>
      <c r="L183" s="161" t="s">
        <v>3784</v>
      </c>
      <c r="M183" s="143">
        <v>11</v>
      </c>
      <c r="N183" s="143"/>
      <c r="O183" s="133" t="s">
        <v>176</v>
      </c>
      <c r="Q183" s="161" t="s">
        <v>4886</v>
      </c>
      <c r="R183" s="161" t="s">
        <v>4887</v>
      </c>
    </row>
    <row r="184" spans="1:20" s="161" customFormat="1" ht="44.25" customHeight="1">
      <c r="A184" s="7">
        <v>183</v>
      </c>
      <c r="B184" s="133" t="s">
        <v>227</v>
      </c>
      <c r="C184" s="45" t="s">
        <v>4402</v>
      </c>
      <c r="D184" s="46" t="s">
        <v>4403</v>
      </c>
      <c r="E184" s="41" t="s">
        <v>4404</v>
      </c>
      <c r="F184" s="43">
        <v>9819130413</v>
      </c>
      <c r="G184" s="43" t="s">
        <v>4405</v>
      </c>
      <c r="H184" s="43"/>
      <c r="I184" s="44"/>
      <c r="J184" s="74"/>
      <c r="K184" s="42">
        <v>46058</v>
      </c>
      <c r="L184" s="42">
        <v>46391</v>
      </c>
      <c r="M184" s="43">
        <v>12</v>
      </c>
      <c r="N184" s="43"/>
      <c r="O184" s="7" t="s">
        <v>176</v>
      </c>
      <c r="P184" s="43" t="s">
        <v>4435</v>
      </c>
      <c r="Q184" s="186" t="s">
        <v>4888</v>
      </c>
      <c r="R184" s="133"/>
      <c r="S184" s="161" t="s">
        <v>4073</v>
      </c>
      <c r="T184" s="161" t="s">
        <v>4073</v>
      </c>
    </row>
    <row r="185" spans="1:20" s="161" customFormat="1" ht="34.5" customHeight="1">
      <c r="A185" s="7">
        <v>184</v>
      </c>
      <c r="B185" s="133" t="s">
        <v>227</v>
      </c>
      <c r="C185" s="45" t="s">
        <v>4303</v>
      </c>
      <c r="D185" s="46" t="s">
        <v>4304</v>
      </c>
      <c r="E185" s="41" t="s">
        <v>4305</v>
      </c>
      <c r="F185" s="43" t="s">
        <v>4306</v>
      </c>
      <c r="G185" s="43" t="s">
        <v>4307</v>
      </c>
      <c r="H185" s="43"/>
      <c r="I185" s="44"/>
      <c r="J185" s="74"/>
      <c r="K185" s="42" t="s">
        <v>4889</v>
      </c>
      <c r="L185" s="42" t="s">
        <v>4890</v>
      </c>
      <c r="M185" s="43">
        <v>12</v>
      </c>
      <c r="N185" s="43"/>
      <c r="O185" s="44" t="s">
        <v>195</v>
      </c>
      <c r="P185" s="43"/>
      <c r="Q185" s="186" t="s">
        <v>4891</v>
      </c>
      <c r="R185" s="133"/>
      <c r="S185" s="161" t="s">
        <v>4073</v>
      </c>
      <c r="T185" s="161" t="s">
        <v>4222</v>
      </c>
    </row>
    <row r="186" spans="1:20" s="161" customFormat="1" ht="36" customHeight="1">
      <c r="A186" s="7">
        <v>185</v>
      </c>
      <c r="B186" s="133" t="s">
        <v>227</v>
      </c>
      <c r="C186" s="45" t="s">
        <v>4318</v>
      </c>
      <c r="D186" s="46" t="s">
        <v>4319</v>
      </c>
      <c r="E186" s="41" t="s">
        <v>4320</v>
      </c>
      <c r="F186" s="43">
        <v>9535202452</v>
      </c>
      <c r="G186" s="43" t="s">
        <v>4321</v>
      </c>
      <c r="H186" s="43" t="s">
        <v>1737</v>
      </c>
      <c r="I186" s="44"/>
      <c r="J186" s="74"/>
      <c r="K186" s="42">
        <v>46208</v>
      </c>
      <c r="L186" s="42">
        <v>46543</v>
      </c>
      <c r="M186" s="43">
        <v>12</v>
      </c>
      <c r="N186" s="43"/>
      <c r="O186" s="44" t="s">
        <v>195</v>
      </c>
      <c r="P186" s="43"/>
      <c r="Q186" s="186" t="s">
        <v>4892</v>
      </c>
      <c r="R186" s="133" t="s">
        <v>4323</v>
      </c>
      <c r="S186" s="161" t="s">
        <v>4073</v>
      </c>
      <c r="T186" s="161" t="s">
        <v>4222</v>
      </c>
    </row>
    <row r="187" spans="1:20" s="161" customFormat="1" ht="41.25" customHeight="1">
      <c r="A187" s="7">
        <v>186</v>
      </c>
      <c r="B187" s="133" t="s">
        <v>227</v>
      </c>
      <c r="C187" s="45" t="s">
        <v>4283</v>
      </c>
      <c r="D187" s="46" t="s">
        <v>4284</v>
      </c>
      <c r="E187" s="41" t="s">
        <v>4285</v>
      </c>
      <c r="F187" s="43">
        <v>9811401101</v>
      </c>
      <c r="G187" s="6"/>
      <c r="H187" s="43" t="s">
        <v>1737</v>
      </c>
      <c r="I187" s="44"/>
      <c r="J187" s="74"/>
      <c r="K187" s="42">
        <v>46027</v>
      </c>
      <c r="L187" s="42" t="s">
        <v>4893</v>
      </c>
      <c r="M187" s="43">
        <v>12</v>
      </c>
      <c r="N187" s="43"/>
      <c r="O187" s="7" t="s">
        <v>176</v>
      </c>
      <c r="P187" s="43" t="s">
        <v>4435</v>
      </c>
      <c r="Q187" s="186" t="s">
        <v>4894</v>
      </c>
      <c r="R187" s="133" t="s">
        <v>4286</v>
      </c>
      <c r="S187" s="161" t="s">
        <v>4073</v>
      </c>
      <c r="T187" s="161" t="s">
        <v>4073</v>
      </c>
    </row>
    <row r="188" spans="1:20" s="161" customFormat="1" ht="36.75" customHeight="1">
      <c r="A188" s="7">
        <v>187</v>
      </c>
      <c r="B188" s="133" t="s">
        <v>227</v>
      </c>
      <c r="C188" s="46" t="s">
        <v>4389</v>
      </c>
      <c r="D188" s="46" t="s">
        <v>4389</v>
      </c>
      <c r="E188" s="46" t="s">
        <v>4390</v>
      </c>
      <c r="F188" s="43">
        <v>9833428539</v>
      </c>
      <c r="G188" s="43" t="s">
        <v>4391</v>
      </c>
      <c r="H188" s="43"/>
      <c r="I188" s="44"/>
      <c r="J188" s="74"/>
      <c r="K188" s="42"/>
      <c r="L188" s="42"/>
      <c r="M188" s="43">
        <v>12</v>
      </c>
      <c r="N188" s="43"/>
      <c r="O188" s="44" t="s">
        <v>195</v>
      </c>
      <c r="P188" s="43"/>
      <c r="Q188" s="186" t="s">
        <v>4895</v>
      </c>
      <c r="R188" s="133"/>
      <c r="S188" s="141" t="s">
        <v>4073</v>
      </c>
      <c r="T188" s="141" t="s">
        <v>4073</v>
      </c>
    </row>
    <row r="189" spans="1:20" s="161" customFormat="1" ht="33" customHeight="1">
      <c r="A189" s="7">
        <v>188</v>
      </c>
      <c r="B189" s="133" t="s">
        <v>227</v>
      </c>
      <c r="C189" s="45" t="s">
        <v>4398</v>
      </c>
      <c r="D189" s="46" t="s">
        <v>4399</v>
      </c>
      <c r="E189" s="46" t="s">
        <v>4400</v>
      </c>
      <c r="F189" s="43">
        <v>8197581117</v>
      </c>
      <c r="G189" s="43" t="s">
        <v>4377</v>
      </c>
      <c r="H189" s="43"/>
      <c r="I189" s="44"/>
      <c r="J189" s="74"/>
      <c r="K189" s="42" t="s">
        <v>2527</v>
      </c>
      <c r="L189" s="42" t="s">
        <v>2528</v>
      </c>
      <c r="M189" s="43">
        <v>12</v>
      </c>
      <c r="N189" s="43"/>
      <c r="O189" s="7" t="s">
        <v>176</v>
      </c>
      <c r="P189" s="43"/>
      <c r="Q189" s="186" t="s">
        <v>4896</v>
      </c>
      <c r="R189" s="133"/>
      <c r="S189" s="141" t="s">
        <v>4073</v>
      </c>
      <c r="T189" s="141" t="s">
        <v>4073</v>
      </c>
    </row>
    <row r="190" spans="1:20" s="161" customFormat="1" ht="52.5" customHeight="1">
      <c r="A190" s="7">
        <v>189</v>
      </c>
      <c r="B190" s="52" t="s">
        <v>227</v>
      </c>
      <c r="C190" s="76" t="s">
        <v>4250</v>
      </c>
      <c r="D190" s="46" t="s">
        <v>4251</v>
      </c>
      <c r="E190" s="46" t="s">
        <v>4252</v>
      </c>
      <c r="F190" s="43">
        <v>8789058573</v>
      </c>
      <c r="G190" s="43" t="s">
        <v>4253</v>
      </c>
      <c r="H190" s="43" t="s">
        <v>444</v>
      </c>
      <c r="I190" s="7"/>
      <c r="J190" s="36"/>
      <c r="K190" s="42" t="s">
        <v>4897</v>
      </c>
      <c r="L190" s="42" t="s">
        <v>3960</v>
      </c>
      <c r="M190" s="43">
        <v>12</v>
      </c>
      <c r="N190" s="43"/>
      <c r="O190" s="44" t="s">
        <v>195</v>
      </c>
      <c r="P190" s="22"/>
      <c r="Q190" s="186" t="s">
        <v>4898</v>
      </c>
      <c r="R190" s="133" t="s">
        <v>4254</v>
      </c>
      <c r="S190" s="161" t="s">
        <v>243</v>
      </c>
      <c r="T190" s="161" t="s">
        <v>243</v>
      </c>
    </row>
    <row r="191" spans="1:20" s="219" customFormat="1" ht="47.25" customHeight="1">
      <c r="A191" s="18">
        <v>190</v>
      </c>
      <c r="B191" s="299" t="s">
        <v>227</v>
      </c>
      <c r="C191" s="252" t="s">
        <v>4489</v>
      </c>
      <c r="D191" s="253" t="s">
        <v>4490</v>
      </c>
      <c r="E191" s="253" t="s">
        <v>4491</v>
      </c>
      <c r="F191" s="192" t="s">
        <v>4492</v>
      </c>
      <c r="G191" s="192" t="s">
        <v>4493</v>
      </c>
      <c r="H191" s="192"/>
      <c r="I191" s="177"/>
      <c r="J191" s="300"/>
      <c r="K191" s="257">
        <v>45835</v>
      </c>
      <c r="L191" s="257">
        <v>46169</v>
      </c>
      <c r="M191" s="192">
        <v>11</v>
      </c>
      <c r="N191" s="192"/>
      <c r="O191" s="18" t="s">
        <v>176</v>
      </c>
      <c r="P191" s="192" t="s">
        <v>4435</v>
      </c>
      <c r="Q191" s="258" t="s">
        <v>4899</v>
      </c>
      <c r="R191" s="131" t="s">
        <v>4495</v>
      </c>
      <c r="S191" s="219" t="s">
        <v>1714</v>
      </c>
      <c r="T191" s="219" t="s">
        <v>1714</v>
      </c>
    </row>
    <row r="192" spans="1:20" s="161" customFormat="1" ht="55.5" customHeight="1">
      <c r="A192" s="7">
        <v>191</v>
      </c>
      <c r="B192" s="52" t="s">
        <v>227</v>
      </c>
      <c r="C192" s="45" t="s">
        <v>4442</v>
      </c>
      <c r="D192" s="15" t="s">
        <v>4443</v>
      </c>
      <c r="E192" s="41" t="s">
        <v>4444</v>
      </c>
      <c r="F192" s="43">
        <v>9535382261</v>
      </c>
      <c r="G192" s="43" t="s">
        <v>4445</v>
      </c>
      <c r="H192" s="43"/>
      <c r="I192" s="44"/>
      <c r="J192" s="74"/>
      <c r="K192" s="42" t="s">
        <v>4900</v>
      </c>
      <c r="L192" s="42">
        <v>46727</v>
      </c>
      <c r="M192" s="43">
        <v>12</v>
      </c>
      <c r="N192" s="43"/>
      <c r="O192" s="44" t="s">
        <v>195</v>
      </c>
      <c r="P192" s="43"/>
      <c r="Q192" s="186" t="s">
        <v>4901</v>
      </c>
      <c r="R192" s="133" t="s">
        <v>4447</v>
      </c>
      <c r="S192" s="161" t="s">
        <v>1714</v>
      </c>
      <c r="T192" s="161" t="s">
        <v>1714</v>
      </c>
    </row>
    <row r="193" spans="1:20" s="161" customFormat="1" ht="39.75" customHeight="1">
      <c r="A193" s="7">
        <v>192</v>
      </c>
      <c r="B193" s="52" t="s">
        <v>227</v>
      </c>
      <c r="C193" s="45" t="s">
        <v>4417</v>
      </c>
      <c r="D193" s="46" t="s">
        <v>4418</v>
      </c>
      <c r="E193" s="41" t="s">
        <v>4419</v>
      </c>
      <c r="F193" s="43">
        <v>9982196666</v>
      </c>
      <c r="G193" s="43" t="s">
        <v>4420</v>
      </c>
      <c r="H193" s="43"/>
      <c r="I193" s="44"/>
      <c r="J193" s="74"/>
      <c r="K193" s="42">
        <v>46148</v>
      </c>
      <c r="L193" s="42">
        <v>46482</v>
      </c>
      <c r="M193" s="43">
        <v>12</v>
      </c>
      <c r="N193" s="43"/>
      <c r="O193" s="44" t="s">
        <v>195</v>
      </c>
      <c r="P193" s="43"/>
      <c r="Q193" s="186" t="s">
        <v>4902</v>
      </c>
      <c r="R193" s="133"/>
      <c r="T193" s="161" t="s">
        <v>1714</v>
      </c>
    </row>
    <row r="194" spans="1:20" s="161" customFormat="1" ht="38.25" customHeight="1">
      <c r="A194" s="7">
        <v>193</v>
      </c>
      <c r="B194" s="52" t="s">
        <v>227</v>
      </c>
      <c r="C194" s="45" t="s">
        <v>4412</v>
      </c>
      <c r="D194" s="46" t="s">
        <v>4413</v>
      </c>
      <c r="E194" s="41" t="s">
        <v>4414</v>
      </c>
      <c r="F194" s="43">
        <v>9822056006</v>
      </c>
      <c r="G194" s="43" t="s">
        <v>4415</v>
      </c>
      <c r="H194" s="43"/>
      <c r="I194" s="44"/>
      <c r="J194" s="74"/>
      <c r="K194" s="42">
        <v>46271</v>
      </c>
      <c r="L194" s="42">
        <v>46604</v>
      </c>
      <c r="M194" s="43">
        <v>12</v>
      </c>
      <c r="N194" s="43"/>
      <c r="O194" s="44" t="s">
        <v>195</v>
      </c>
      <c r="P194" s="43"/>
      <c r="Q194" s="186" t="s">
        <v>4903</v>
      </c>
      <c r="R194" s="133"/>
      <c r="T194" s="161" t="s">
        <v>1714</v>
      </c>
    </row>
    <row r="195" spans="1:20" s="164" customFormat="1" ht="48.75" customHeight="1">
      <c r="A195" s="44">
        <v>194</v>
      </c>
      <c r="B195" s="52" t="s">
        <v>227</v>
      </c>
      <c r="C195" s="45" t="s">
        <v>4508</v>
      </c>
      <c r="D195" s="46" t="s">
        <v>4509</v>
      </c>
      <c r="E195" s="41" t="s">
        <v>4510</v>
      </c>
      <c r="F195" s="43">
        <v>9840292873</v>
      </c>
      <c r="G195" s="43" t="s">
        <v>1495</v>
      </c>
      <c r="H195" s="43"/>
      <c r="I195" s="44"/>
      <c r="J195" s="74"/>
      <c r="K195" s="42">
        <v>45846</v>
      </c>
      <c r="L195" s="42">
        <v>46181</v>
      </c>
      <c r="M195" s="43">
        <v>11</v>
      </c>
      <c r="N195" s="43"/>
      <c r="O195" s="44" t="s">
        <v>195</v>
      </c>
      <c r="P195" s="43"/>
      <c r="Q195" s="186" t="s">
        <v>4904</v>
      </c>
      <c r="R195" s="168" t="s">
        <v>4512</v>
      </c>
      <c r="T195" s="164" t="s">
        <v>1714</v>
      </c>
    </row>
    <row r="196" spans="1:20" s="161" customFormat="1" ht="39" customHeight="1">
      <c r="A196" s="133">
        <v>195</v>
      </c>
      <c r="B196" s="139" t="s">
        <v>227</v>
      </c>
      <c r="C196" s="141" t="s">
        <v>4422</v>
      </c>
      <c r="D196" s="145" t="s">
        <v>4423</v>
      </c>
      <c r="E196" s="147" t="s">
        <v>4424</v>
      </c>
      <c r="F196" s="139" t="s">
        <v>4425</v>
      </c>
      <c r="G196" s="139" t="s">
        <v>4426</v>
      </c>
      <c r="H196" s="139"/>
      <c r="I196" s="133"/>
      <c r="J196" s="138"/>
      <c r="K196" s="146" t="s">
        <v>4900</v>
      </c>
      <c r="L196" s="146">
        <v>46727</v>
      </c>
      <c r="M196" s="139">
        <v>12</v>
      </c>
      <c r="N196" s="139"/>
      <c r="O196" s="133" t="s">
        <v>176</v>
      </c>
      <c r="P196" s="139" t="s">
        <v>4435</v>
      </c>
      <c r="Q196" s="133" t="s">
        <v>4905</v>
      </c>
      <c r="R196" s="133"/>
      <c r="T196" s="161" t="s">
        <v>1714</v>
      </c>
    </row>
    <row r="197" spans="1:20" s="161" customFormat="1" ht="39.75" customHeight="1">
      <c r="A197" s="7">
        <v>196</v>
      </c>
      <c r="B197" s="139" t="s">
        <v>227</v>
      </c>
      <c r="C197" s="45" t="s">
        <v>4428</v>
      </c>
      <c r="D197" s="46" t="s">
        <v>4429</v>
      </c>
      <c r="E197" s="41" t="s">
        <v>4430</v>
      </c>
      <c r="F197" s="43" t="s">
        <v>4431</v>
      </c>
      <c r="G197" s="43" t="s">
        <v>4432</v>
      </c>
      <c r="H197" s="43" t="s">
        <v>4433</v>
      </c>
      <c r="I197" s="44"/>
      <c r="J197" s="74"/>
      <c r="K197" s="42" t="s">
        <v>2588</v>
      </c>
      <c r="L197" s="42" t="s">
        <v>2625</v>
      </c>
      <c r="M197" s="43">
        <v>12</v>
      </c>
      <c r="N197" s="43"/>
      <c r="O197" s="7" t="s">
        <v>176</v>
      </c>
      <c r="P197" s="43"/>
      <c r="Q197" s="186" t="s">
        <v>4906</v>
      </c>
      <c r="R197" s="133" t="s">
        <v>4434</v>
      </c>
      <c r="S197" s="161" t="s">
        <v>4435</v>
      </c>
      <c r="T197" s="161" t="s">
        <v>1714</v>
      </c>
    </row>
    <row r="198" spans="1:20" s="161" customFormat="1" ht="48" customHeight="1">
      <c r="A198" s="7">
        <v>197</v>
      </c>
      <c r="B198" s="139" t="s">
        <v>227</v>
      </c>
      <c r="C198" s="38" t="s">
        <v>4464</v>
      </c>
      <c r="D198" s="15" t="s">
        <v>4465</v>
      </c>
      <c r="E198" s="60" t="s">
        <v>4466</v>
      </c>
      <c r="F198" s="43">
        <v>9686262712</v>
      </c>
      <c r="G198" s="43" t="s">
        <v>4467</v>
      </c>
      <c r="H198" s="43" t="s">
        <v>4468</v>
      </c>
      <c r="I198" s="44"/>
      <c r="J198" s="74"/>
      <c r="K198" s="42" t="s">
        <v>4907</v>
      </c>
      <c r="L198" s="42" t="s">
        <v>4908</v>
      </c>
      <c r="M198" s="43">
        <v>12</v>
      </c>
      <c r="N198" s="43"/>
      <c r="O198" s="7" t="s">
        <v>176</v>
      </c>
      <c r="P198" s="43"/>
      <c r="Q198" s="186" t="s">
        <v>4909</v>
      </c>
      <c r="R198" s="133" t="s">
        <v>4470</v>
      </c>
      <c r="S198" s="161" t="s">
        <v>4435</v>
      </c>
      <c r="T198" s="161" t="s">
        <v>1714</v>
      </c>
    </row>
    <row r="199" spans="1:20" s="161" customFormat="1" ht="65.25" customHeight="1">
      <c r="A199" s="139">
        <v>198</v>
      </c>
      <c r="B199" s="139" t="s">
        <v>227</v>
      </c>
      <c r="C199" s="161" t="s">
        <v>4910</v>
      </c>
      <c r="D199" s="147" t="s">
        <v>4911</v>
      </c>
      <c r="E199" s="147" t="s">
        <v>4912</v>
      </c>
      <c r="F199" s="143">
        <v>9916974139</v>
      </c>
      <c r="G199" s="143" t="s">
        <v>4913</v>
      </c>
      <c r="H199" s="143"/>
      <c r="I199" s="143"/>
      <c r="K199" s="161" t="s">
        <v>2557</v>
      </c>
      <c r="L199" s="161" t="s">
        <v>2558</v>
      </c>
      <c r="M199" s="143">
        <v>12</v>
      </c>
      <c r="N199" s="6"/>
      <c r="O199" s="7" t="s">
        <v>176</v>
      </c>
      <c r="Q199" s="147" t="s">
        <v>4914</v>
      </c>
      <c r="R199" s="161" t="s">
        <v>4915</v>
      </c>
      <c r="S199" s="161" t="s">
        <v>4916</v>
      </c>
    </row>
    <row r="200" spans="1:20" s="161" customFormat="1" ht="48" customHeight="1">
      <c r="A200" s="7">
        <v>199</v>
      </c>
      <c r="B200" s="52" t="s">
        <v>227</v>
      </c>
      <c r="C200" s="46" t="s">
        <v>4479</v>
      </c>
      <c r="D200" s="46" t="s">
        <v>4480</v>
      </c>
      <c r="E200" s="41" t="s">
        <v>4481</v>
      </c>
      <c r="F200" s="43">
        <v>9663311035</v>
      </c>
      <c r="G200" s="43"/>
      <c r="H200" s="43" t="s">
        <v>1737</v>
      </c>
      <c r="I200" s="44"/>
      <c r="J200" s="74"/>
      <c r="K200" s="42" t="s">
        <v>4917</v>
      </c>
      <c r="L200" s="42" t="s">
        <v>2592</v>
      </c>
      <c r="M200" s="43">
        <v>12</v>
      </c>
      <c r="N200" s="43"/>
      <c r="O200" s="7" t="s">
        <v>176</v>
      </c>
      <c r="P200" s="43"/>
      <c r="Q200" s="186" t="s">
        <v>4918</v>
      </c>
      <c r="R200" s="133" t="s">
        <v>4483</v>
      </c>
      <c r="S200" s="161" t="s">
        <v>4435</v>
      </c>
      <c r="T200" s="161" t="s">
        <v>1714</v>
      </c>
    </row>
    <row r="201" spans="1:20" s="161" customFormat="1" ht="35.25" customHeight="1">
      <c r="A201" s="7">
        <v>200</v>
      </c>
      <c r="B201" s="52" t="s">
        <v>227</v>
      </c>
      <c r="C201" s="45" t="s">
        <v>4525</v>
      </c>
      <c r="D201" s="46" t="s">
        <v>4526</v>
      </c>
      <c r="E201" s="41" t="s">
        <v>4527</v>
      </c>
      <c r="F201" s="43">
        <v>8882802824</v>
      </c>
      <c r="G201" s="43" t="s">
        <v>4528</v>
      </c>
      <c r="H201" s="43"/>
      <c r="I201" s="44"/>
      <c r="J201" s="74"/>
      <c r="K201" s="42" t="s">
        <v>4919</v>
      </c>
      <c r="L201" s="42" t="s">
        <v>4920</v>
      </c>
      <c r="M201" s="43">
        <v>12</v>
      </c>
      <c r="N201" s="43"/>
      <c r="O201" s="44" t="s">
        <v>195</v>
      </c>
      <c r="P201" s="43"/>
      <c r="Q201" s="186" t="s">
        <v>4921</v>
      </c>
      <c r="R201" s="133"/>
      <c r="S201" s="161" t="s">
        <v>1714</v>
      </c>
      <c r="T201" s="161" t="s">
        <v>1714</v>
      </c>
    </row>
    <row r="202" spans="1:20" s="161" customFormat="1" ht="55.5" customHeight="1">
      <c r="A202" s="7">
        <v>201</v>
      </c>
      <c r="B202" s="52" t="s">
        <v>227</v>
      </c>
      <c r="C202" s="60" t="s">
        <v>4475</v>
      </c>
      <c r="D202" s="60" t="s">
        <v>4475</v>
      </c>
      <c r="E202" s="60" t="s">
        <v>4476</v>
      </c>
      <c r="F202" s="43">
        <v>8884095333</v>
      </c>
      <c r="G202" s="43" t="s">
        <v>4477</v>
      </c>
      <c r="H202" s="43"/>
      <c r="I202" s="44"/>
      <c r="J202" s="74"/>
      <c r="K202" s="42" t="s">
        <v>4922</v>
      </c>
      <c r="L202" s="42" t="s">
        <v>2620</v>
      </c>
      <c r="M202" s="43">
        <v>12</v>
      </c>
      <c r="N202" s="43"/>
      <c r="O202" s="44" t="s">
        <v>195</v>
      </c>
      <c r="P202" s="43"/>
      <c r="Q202" s="186" t="s">
        <v>4923</v>
      </c>
      <c r="R202" s="133"/>
      <c r="S202" s="161" t="s">
        <v>1714</v>
      </c>
      <c r="T202" s="161" t="s">
        <v>1714</v>
      </c>
    </row>
    <row r="203" spans="1:20" s="219" customFormat="1" ht="49.5" customHeight="1">
      <c r="A203" s="18">
        <v>202</v>
      </c>
      <c r="B203" s="299" t="s">
        <v>227</v>
      </c>
      <c r="C203" s="252" t="s">
        <v>4496</v>
      </c>
      <c r="D203" s="253" t="s">
        <v>4497</v>
      </c>
      <c r="E203" s="254" t="s">
        <v>4498</v>
      </c>
      <c r="F203" s="192">
        <v>8317487277</v>
      </c>
      <c r="G203" s="192" t="s">
        <v>4499</v>
      </c>
      <c r="H203" s="192"/>
      <c r="I203" s="177"/>
      <c r="J203" s="300"/>
      <c r="K203" s="257" t="s">
        <v>2599</v>
      </c>
      <c r="L203" s="257" t="s">
        <v>4924</v>
      </c>
      <c r="M203" s="192">
        <v>24</v>
      </c>
      <c r="N203" s="192"/>
      <c r="O203" s="177" t="s">
        <v>195</v>
      </c>
      <c r="P203" s="192"/>
      <c r="Q203" s="258" t="s">
        <v>4925</v>
      </c>
      <c r="R203" s="131" t="s">
        <v>4926</v>
      </c>
      <c r="S203" s="219" t="s">
        <v>1714</v>
      </c>
      <c r="T203" s="219" t="s">
        <v>1714</v>
      </c>
    </row>
    <row r="204" spans="1:20" s="161" customFormat="1" ht="48" customHeight="1">
      <c r="A204" s="7">
        <v>203</v>
      </c>
      <c r="B204" s="7" t="s">
        <v>211</v>
      </c>
      <c r="C204" s="45" t="s">
        <v>4223</v>
      </c>
      <c r="D204" s="46" t="s">
        <v>4224</v>
      </c>
      <c r="E204" s="41" t="s">
        <v>4225</v>
      </c>
      <c r="F204" s="43">
        <v>6361788167</v>
      </c>
      <c r="G204" s="43" t="s">
        <v>4226</v>
      </c>
      <c r="H204" s="43" t="s">
        <v>618</v>
      </c>
      <c r="I204" s="7" t="s">
        <v>1709</v>
      </c>
      <c r="J204" s="36"/>
      <c r="K204" s="42">
        <v>46210</v>
      </c>
      <c r="L204" s="42" t="s">
        <v>2409</v>
      </c>
      <c r="M204" s="43">
        <v>12</v>
      </c>
      <c r="N204" s="43"/>
      <c r="O204" s="7" t="s">
        <v>176</v>
      </c>
      <c r="P204" s="22"/>
      <c r="Q204" s="186" t="s">
        <v>4927</v>
      </c>
      <c r="R204" s="133" t="s">
        <v>4435</v>
      </c>
      <c r="T204" s="161" t="s">
        <v>4222</v>
      </c>
    </row>
    <row r="205" spans="1:20" s="161" customFormat="1" ht="54.75" customHeight="1">
      <c r="A205" s="7">
        <v>204</v>
      </c>
      <c r="B205" s="7" t="s">
        <v>211</v>
      </c>
      <c r="C205" s="45"/>
      <c r="D205" s="46" t="s">
        <v>4484</v>
      </c>
      <c r="E205" s="41" t="s">
        <v>4485</v>
      </c>
      <c r="F205" s="44" t="s">
        <v>4486</v>
      </c>
      <c r="G205" s="43" t="s">
        <v>4487</v>
      </c>
      <c r="H205" s="43"/>
      <c r="I205" s="44"/>
      <c r="J205" s="74"/>
      <c r="K205" s="42" t="s">
        <v>4928</v>
      </c>
      <c r="L205" s="42" t="s">
        <v>2592</v>
      </c>
      <c r="M205" s="43">
        <v>12</v>
      </c>
      <c r="N205" s="43"/>
      <c r="O205" s="7" t="s">
        <v>176</v>
      </c>
      <c r="P205" s="43"/>
      <c r="Q205" s="186" t="s">
        <v>4929</v>
      </c>
      <c r="R205" s="133" t="s">
        <v>4435</v>
      </c>
      <c r="S205" s="161" t="s">
        <v>1714</v>
      </c>
      <c r="T205" s="161" t="s">
        <v>1714</v>
      </c>
    </row>
    <row r="206" spans="1:20" s="161" customFormat="1" ht="38.25" customHeight="1">
      <c r="A206" s="139">
        <v>205</v>
      </c>
      <c r="B206" s="143" t="s">
        <v>227</v>
      </c>
      <c r="C206" t="s">
        <v>4930</v>
      </c>
      <c r="D206" s="147" t="s">
        <v>4931</v>
      </c>
      <c r="E206" s="433" t="s">
        <v>4932</v>
      </c>
      <c r="F206" s="433">
        <v>9971491677</v>
      </c>
      <c r="G206" s="433" t="s">
        <v>4273</v>
      </c>
      <c r="H206" s="143"/>
      <c r="I206" s="143"/>
      <c r="K206" s="161" t="s">
        <v>4933</v>
      </c>
      <c r="L206" s="161" t="s">
        <v>4934</v>
      </c>
      <c r="M206" s="43">
        <v>24</v>
      </c>
      <c r="N206" s="143"/>
      <c r="O206" s="44" t="s">
        <v>195</v>
      </c>
      <c r="Q206" s="434" t="s">
        <v>4935</v>
      </c>
      <c r="R206" s="161">
        <v>10.8</v>
      </c>
    </row>
    <row r="207" spans="1:20" s="164" customFormat="1" ht="41.25" customHeight="1">
      <c r="A207" s="163">
        <v>206</v>
      </c>
      <c r="B207" s="52" t="s">
        <v>227</v>
      </c>
      <c r="C207" t="s">
        <v>4936</v>
      </c>
      <c r="D207" s="57" t="s">
        <v>4937</v>
      </c>
      <c r="E207" s="339"/>
      <c r="F207">
        <v>9052697651</v>
      </c>
      <c r="G207" s="225"/>
      <c r="H207" s="225"/>
      <c r="I207" s="225"/>
      <c r="K207" s="164" t="s">
        <v>4938</v>
      </c>
      <c r="L207" s="164" t="s">
        <v>4939</v>
      </c>
      <c r="M207" s="225">
        <v>11</v>
      </c>
      <c r="O207" s="339" t="s">
        <v>4940</v>
      </c>
      <c r="Q207" s="164" t="s">
        <v>4941</v>
      </c>
    </row>
    <row r="208" spans="1:20" s="161" customFormat="1" ht="35.25" customHeight="1">
      <c r="A208" s="139">
        <v>207</v>
      </c>
      <c r="B208" s="139" t="s">
        <v>227</v>
      </c>
      <c r="D208" s="147" t="s">
        <v>4942</v>
      </c>
      <c r="F208" s="143"/>
      <c r="G208" s="143"/>
      <c r="H208" s="143"/>
      <c r="I208" s="143"/>
      <c r="K208" s="161" t="s">
        <v>3859</v>
      </c>
      <c r="L208" s="161" t="s">
        <v>4943</v>
      </c>
      <c r="M208" s="143"/>
      <c r="N208" s="143"/>
      <c r="O208" s="133" t="s">
        <v>176</v>
      </c>
      <c r="P208" s="139"/>
      <c r="Q208" s="133" t="s">
        <v>4944</v>
      </c>
      <c r="R208" s="161">
        <v>7</v>
      </c>
    </row>
    <row r="209" spans="1:20" s="161" customFormat="1" ht="35.25" customHeight="1">
      <c r="A209" s="139">
        <v>208</v>
      </c>
      <c r="B209" s="143" t="s">
        <v>227</v>
      </c>
      <c r="D209" s="147" t="s">
        <v>4945</v>
      </c>
      <c r="F209" s="143"/>
      <c r="G209" s="143"/>
      <c r="H209" s="143"/>
      <c r="I209" s="143"/>
      <c r="M209" s="143">
        <v>11</v>
      </c>
      <c r="N209" s="143"/>
      <c r="O209" s="133" t="s">
        <v>176</v>
      </c>
      <c r="Q209" s="435" t="s">
        <v>4946</v>
      </c>
      <c r="R209" s="161">
        <v>7</v>
      </c>
    </row>
    <row r="210" spans="1:20" s="161" customFormat="1" ht="35.25" customHeight="1">
      <c r="A210" s="139">
        <v>209</v>
      </c>
      <c r="B210" s="143" t="s">
        <v>227</v>
      </c>
      <c r="C210" s="430" t="s">
        <v>4947</v>
      </c>
      <c r="D210" s="147" t="s">
        <v>4948</v>
      </c>
      <c r="E210" s="436" t="s">
        <v>4949</v>
      </c>
      <c r="F210" s="436">
        <v>8217431588</v>
      </c>
      <c r="G210" s="436">
        <v>8217431588</v>
      </c>
      <c r="H210" s="143"/>
      <c r="I210" s="143"/>
      <c r="K210" s="146">
        <v>46087</v>
      </c>
      <c r="L210" s="146">
        <v>46452</v>
      </c>
      <c r="M210" s="139" t="s">
        <v>4950</v>
      </c>
      <c r="N210" s="139"/>
      <c r="O210" s="133" t="s">
        <v>195</v>
      </c>
      <c r="Q210" s="435" t="s">
        <v>4951</v>
      </c>
      <c r="R210" s="161">
        <v>6</v>
      </c>
    </row>
    <row r="211" spans="1:20" s="161" customFormat="1" ht="32.25" customHeight="1">
      <c r="A211" s="139">
        <v>210</v>
      </c>
      <c r="B211" s="143" t="s">
        <v>227</v>
      </c>
      <c r="C211" s="161" t="s">
        <v>4952</v>
      </c>
      <c r="D211" s="147" t="s">
        <v>4953</v>
      </c>
      <c r="F211" s="143">
        <v>7200051008</v>
      </c>
      <c r="G211" s="143"/>
      <c r="H211" s="143"/>
      <c r="I211" s="143"/>
      <c r="K211" s="161" t="s">
        <v>4954</v>
      </c>
      <c r="L211" s="161" t="s">
        <v>4955</v>
      </c>
      <c r="M211" s="143">
        <v>11</v>
      </c>
      <c r="N211" s="143"/>
      <c r="O211" s="133" t="s">
        <v>176</v>
      </c>
      <c r="Q211" s="161" t="s">
        <v>4956</v>
      </c>
      <c r="R211" s="161">
        <v>6</v>
      </c>
    </row>
    <row r="212" spans="1:20" s="477" customFormat="1" ht="32.25" customHeight="1">
      <c r="A212" s="18">
        <v>211</v>
      </c>
      <c r="B212" s="346" t="s">
        <v>227</v>
      </c>
      <c r="C212" s="252" t="s">
        <v>4374</v>
      </c>
      <c r="D212" s="253" t="s">
        <v>4375</v>
      </c>
      <c r="E212" s="254" t="s">
        <v>4376</v>
      </c>
      <c r="F212" s="192">
        <v>9740731101</v>
      </c>
      <c r="G212" s="192" t="s">
        <v>4377</v>
      </c>
      <c r="H212" s="192"/>
      <c r="I212" s="177"/>
      <c r="J212" s="300"/>
      <c r="K212" s="257" t="s">
        <v>4957</v>
      </c>
      <c r="L212" s="257" t="s">
        <v>4958</v>
      </c>
      <c r="M212" s="192">
        <v>12</v>
      </c>
      <c r="N212" s="192"/>
      <c r="O212" s="18" t="s">
        <v>176</v>
      </c>
      <c r="P212" s="192"/>
      <c r="Q212" s="258" t="s">
        <v>4959</v>
      </c>
      <c r="R212" s="131">
        <v>7</v>
      </c>
      <c r="S212" s="219"/>
      <c r="T212" s="219" t="s">
        <v>1714</v>
      </c>
    </row>
    <row r="213" spans="1:20" s="161" customFormat="1" ht="60" customHeight="1">
      <c r="A213" s="7">
        <v>212</v>
      </c>
      <c r="B213" s="143" t="s">
        <v>227</v>
      </c>
      <c r="C213" s="45" t="s">
        <v>4960</v>
      </c>
      <c r="D213" s="46" t="s">
        <v>4504</v>
      </c>
      <c r="E213" s="41" t="s">
        <v>4505</v>
      </c>
      <c r="F213" s="43">
        <v>7899058386</v>
      </c>
      <c r="G213" s="43" t="s">
        <v>4506</v>
      </c>
      <c r="H213" s="43"/>
      <c r="I213" s="44"/>
      <c r="J213" s="74"/>
      <c r="K213" s="42">
        <v>46060</v>
      </c>
      <c r="L213" s="42">
        <v>46394</v>
      </c>
      <c r="M213" s="43">
        <v>12</v>
      </c>
      <c r="N213" s="43"/>
      <c r="O213" s="44" t="s">
        <v>195</v>
      </c>
      <c r="P213" s="43"/>
      <c r="Q213" s="186" t="s">
        <v>4961</v>
      </c>
      <c r="R213" s="133"/>
      <c r="S213" s="161">
        <v>7</v>
      </c>
      <c r="T213" s="161" t="s">
        <v>1714</v>
      </c>
    </row>
    <row r="214" spans="1:20" s="161" customFormat="1" ht="55.5" customHeight="1">
      <c r="A214" s="7">
        <v>99</v>
      </c>
      <c r="B214" s="52" t="s">
        <v>227</v>
      </c>
      <c r="C214" s="45" t="s">
        <v>4566</v>
      </c>
      <c r="D214" s="46" t="s">
        <v>4567</v>
      </c>
      <c r="E214" s="41" t="s">
        <v>4568</v>
      </c>
      <c r="F214" s="43">
        <v>9709700009</v>
      </c>
      <c r="G214" s="43" t="s">
        <v>4569</v>
      </c>
      <c r="H214" s="43" t="s">
        <v>248</v>
      </c>
      <c r="I214" s="44" t="s">
        <v>4540</v>
      </c>
      <c r="J214" s="74">
        <v>8178581997</v>
      </c>
      <c r="K214" s="42" t="s">
        <v>3867</v>
      </c>
      <c r="L214" s="42" t="s">
        <v>3868</v>
      </c>
      <c r="M214" s="43">
        <v>12</v>
      </c>
      <c r="N214" s="43"/>
      <c r="O214" s="7" t="s">
        <v>176</v>
      </c>
      <c r="P214" s="43"/>
      <c r="Q214" s="186" t="s">
        <v>4962</v>
      </c>
      <c r="R214" s="133" t="s">
        <v>4571</v>
      </c>
      <c r="S214" s="147">
        <v>6</v>
      </c>
      <c r="T214" s="161" t="s">
        <v>4073</v>
      </c>
    </row>
    <row r="215" spans="1:20" s="161" customFormat="1" ht="45.75" customHeight="1">
      <c r="A215" s="7">
        <v>98</v>
      </c>
      <c r="B215" s="52" t="s">
        <v>227</v>
      </c>
      <c r="C215" s="45" t="s">
        <v>4559</v>
      </c>
      <c r="D215" s="46" t="s">
        <v>4560</v>
      </c>
      <c r="E215" s="41" t="s">
        <v>4561</v>
      </c>
      <c r="F215" s="43" t="s">
        <v>4562</v>
      </c>
      <c r="G215" s="43" t="s">
        <v>4563</v>
      </c>
      <c r="H215" s="43" t="s">
        <v>268</v>
      </c>
      <c r="I215" s="44" t="s">
        <v>4540</v>
      </c>
      <c r="J215" s="74">
        <v>8178581997</v>
      </c>
      <c r="K215" s="42" t="s">
        <v>2627</v>
      </c>
      <c r="L215" s="42" t="s">
        <v>2628</v>
      </c>
      <c r="M215" s="43">
        <v>11</v>
      </c>
      <c r="N215" s="43"/>
      <c r="O215" s="7" t="s">
        <v>176</v>
      </c>
      <c r="P215" s="43"/>
      <c r="Q215" s="186" t="s">
        <v>4963</v>
      </c>
      <c r="R215" s="133"/>
      <c r="S215" s="161">
        <v>7</v>
      </c>
      <c r="T215" s="161" t="s">
        <v>4073</v>
      </c>
    </row>
    <row r="216" spans="1:20" s="161" customFormat="1" ht="48" customHeight="1">
      <c r="A216" s="7">
        <v>101</v>
      </c>
      <c r="B216" s="52" t="s">
        <v>227</v>
      </c>
      <c r="C216" s="45" t="s">
        <v>4579</v>
      </c>
      <c r="D216" s="46" t="s">
        <v>4580</v>
      </c>
      <c r="E216" s="41" t="s">
        <v>4581</v>
      </c>
      <c r="F216" s="43">
        <v>8317487277</v>
      </c>
      <c r="G216" s="43" t="s">
        <v>4499</v>
      </c>
      <c r="H216" s="43" t="s">
        <v>1966</v>
      </c>
      <c r="I216" s="44" t="s">
        <v>4352</v>
      </c>
      <c r="J216" s="74">
        <v>8800209527</v>
      </c>
      <c r="K216" s="27">
        <v>46212</v>
      </c>
      <c r="L216" s="27">
        <v>46943</v>
      </c>
      <c r="M216" s="43">
        <v>24</v>
      </c>
      <c r="N216" s="43"/>
      <c r="O216" s="7" t="s">
        <v>195</v>
      </c>
      <c r="P216" s="43"/>
      <c r="Q216" s="186" t="s">
        <v>4964</v>
      </c>
      <c r="R216" s="133"/>
      <c r="T216" s="161" t="s">
        <v>4073</v>
      </c>
    </row>
    <row r="217" spans="1:20" s="161" customFormat="1" ht="38.25" customHeight="1">
      <c r="A217" s="7">
        <v>111</v>
      </c>
      <c r="B217" s="52" t="s">
        <v>227</v>
      </c>
      <c r="C217" s="141" t="s">
        <v>4636</v>
      </c>
      <c r="D217" s="189" t="s">
        <v>4637</v>
      </c>
      <c r="E217" s="170" t="s">
        <v>4597</v>
      </c>
      <c r="F217" s="43">
        <v>8197210333</v>
      </c>
      <c r="G217" s="43" t="s">
        <v>4638</v>
      </c>
      <c r="H217" s="43" t="s">
        <v>202</v>
      </c>
      <c r="I217" s="44" t="s">
        <v>4540</v>
      </c>
      <c r="J217" s="74">
        <v>8178581997</v>
      </c>
      <c r="K217" s="42" t="s">
        <v>2668</v>
      </c>
      <c r="L217" s="42" t="s">
        <v>2669</v>
      </c>
      <c r="M217" s="43">
        <v>11</v>
      </c>
      <c r="N217" s="43"/>
      <c r="O217" s="7" t="s">
        <v>176</v>
      </c>
      <c r="P217" s="43"/>
      <c r="Q217" s="186" t="s">
        <v>4965</v>
      </c>
      <c r="R217" s="133"/>
      <c r="S217" s="194" t="s">
        <v>4640</v>
      </c>
      <c r="T217" s="161" t="s">
        <v>4073</v>
      </c>
    </row>
    <row r="218" spans="1:20" s="161" customFormat="1" ht="45.75" customHeight="1">
      <c r="A218" s="7">
        <v>110</v>
      </c>
      <c r="B218" s="52" t="s">
        <v>227</v>
      </c>
      <c r="C218" s="141" t="s">
        <v>4630</v>
      </c>
      <c r="D218" s="145" t="s">
        <v>4631</v>
      </c>
      <c r="E218" s="170" t="s">
        <v>4632</v>
      </c>
      <c r="F218" s="43">
        <v>8197210333</v>
      </c>
      <c r="G218" s="43" t="s">
        <v>4633</v>
      </c>
      <c r="H218" s="43" t="s">
        <v>202</v>
      </c>
      <c r="I218" s="44" t="s">
        <v>4540</v>
      </c>
      <c r="J218" s="74">
        <v>8178581997</v>
      </c>
      <c r="K218" s="42" t="s">
        <v>4966</v>
      </c>
      <c r="L218" s="42" t="s">
        <v>4967</v>
      </c>
      <c r="M218" s="43">
        <v>11</v>
      </c>
      <c r="N218" s="43"/>
      <c r="O218" s="7" t="s">
        <v>176</v>
      </c>
      <c r="P218" s="43"/>
      <c r="Q218" s="186" t="s">
        <v>4968</v>
      </c>
      <c r="R218" s="133"/>
      <c r="S218" s="194" t="s">
        <v>4635</v>
      </c>
      <c r="T218" s="161" t="s">
        <v>4073</v>
      </c>
    </row>
    <row r="219" spans="1:20" s="161" customFormat="1" ht="36" customHeight="1">
      <c r="A219" s="7">
        <v>93</v>
      </c>
      <c r="B219" s="52" t="s">
        <v>227</v>
      </c>
      <c r="C219" s="45" t="s">
        <v>4530</v>
      </c>
      <c r="D219" s="46" t="s">
        <v>4531</v>
      </c>
      <c r="E219" s="41" t="s">
        <v>4532</v>
      </c>
      <c r="F219" s="43" t="s">
        <v>4533</v>
      </c>
      <c r="G219" s="43" t="s">
        <v>4534</v>
      </c>
      <c r="H219" s="43"/>
      <c r="I219" s="44"/>
      <c r="J219" s="74"/>
      <c r="K219" s="42">
        <v>46032</v>
      </c>
      <c r="L219" s="42" t="s">
        <v>2573</v>
      </c>
      <c r="M219" s="43">
        <v>12</v>
      </c>
      <c r="N219" s="43"/>
      <c r="O219" s="7" t="s">
        <v>176</v>
      </c>
      <c r="P219" s="43"/>
      <c r="Q219" s="186" t="s">
        <v>4969</v>
      </c>
      <c r="R219" s="133"/>
      <c r="T219" s="161" t="s">
        <v>4073</v>
      </c>
    </row>
    <row r="220" spans="1:20" s="161" customFormat="1" ht="15" customHeight="1">
      <c r="A220" s="139"/>
      <c r="B220" s="143"/>
      <c r="D220" s="147"/>
      <c r="F220" s="143"/>
      <c r="G220" s="143"/>
      <c r="H220" s="143"/>
      <c r="I220" s="143"/>
      <c r="M220" s="143"/>
      <c r="N220" s="143"/>
    </row>
    <row r="221" spans="1:20" s="161" customFormat="1" ht="15" customHeight="1">
      <c r="A221" s="139"/>
      <c r="B221" s="143"/>
      <c r="D221" s="147"/>
      <c r="F221" s="143"/>
      <c r="G221" s="143"/>
      <c r="H221" s="143"/>
      <c r="I221" s="143"/>
      <c r="M221" s="143"/>
      <c r="N221" s="143"/>
    </row>
    <row r="222" spans="1:20" s="161" customFormat="1" ht="15" customHeight="1">
      <c r="A222" s="139"/>
      <c r="B222" s="143"/>
      <c r="D222" s="147"/>
      <c r="F222" s="143"/>
      <c r="G222" s="143"/>
      <c r="H222" s="143"/>
      <c r="I222" s="143"/>
      <c r="M222" s="143"/>
      <c r="N222" s="143"/>
    </row>
    <row r="223" spans="1:20" s="161" customFormat="1" ht="15" customHeight="1">
      <c r="A223" s="139"/>
      <c r="B223" s="143"/>
      <c r="D223" s="147"/>
      <c r="F223" s="143"/>
      <c r="G223" s="143"/>
      <c r="H223" s="143"/>
      <c r="I223" s="143"/>
      <c r="M223" s="143"/>
      <c r="N223" s="143"/>
    </row>
  </sheetData>
  <dataValidations count="2">
    <dataValidation type="list" allowBlank="1" showInputMessage="1" showErrorMessage="1" sqref="O1:O34 O36:O91 O93:O114 O117:O127 O129:O144 O146:O166 O168:O206 O208:O219" xr:uid="{97D5F435-3A1A-438E-912D-6AD760F0E376}">
      <formula1>$X$2:$X$10</formula1>
    </dataValidation>
    <dataValidation type="list" allowBlank="1" showInputMessage="1" showErrorMessage="1" sqref="O35 O92 O115:O116" xr:uid="{B2968A1B-20C6-489C-815E-3F4BD61B763D}">
      <formula1>$AC$2:$AC$10</formula1>
    </dataValidation>
  </dataValidations>
  <hyperlinks>
    <hyperlink ref="S3" r:id="rId1" xr:uid="{023A2B3D-0EB7-429E-9D86-EEB9AEB605E2}"/>
    <hyperlink ref="S5" r:id="rId2" xr:uid="{8C08E7BD-8640-4749-8B1D-4BB523568008}"/>
    <hyperlink ref="S105" r:id="rId3" xr:uid="{4FA7E0B0-AEAA-4509-8460-C0872E62A166}"/>
    <hyperlink ref="S106" r:id="rId4" xr:uid="{B91FA28C-82CE-4F8D-8F59-A06F34A90CA7}"/>
    <hyperlink ref="S108" r:id="rId5" xr:uid="{5D6B507C-E743-42C1-B147-7B0D3C756C87}"/>
    <hyperlink ref="S109" r:id="rId6" xr:uid="{D47C1FC7-04AB-46A9-80D3-03AAFF8B2C38}"/>
    <hyperlink ref="S112" r:id="rId7" xr:uid="{9A237194-73AC-4CE6-81D1-91F26CABDD13}"/>
    <hyperlink ref="S111" r:id="rId8" xr:uid="{465FA76C-1F50-4C28-9EE1-19DC705BEA11}"/>
    <hyperlink ref="S113" r:id="rId9" xr:uid="{9653395A-FE06-4A5B-8403-F5C0E430D0CC}"/>
    <hyperlink ref="S117" r:id="rId10" xr:uid="{6B5988FE-78B9-4826-8D05-57B195393332}"/>
    <hyperlink ref="S119" r:id="rId11" xr:uid="{8CD72B28-2F14-4442-B72B-DB3C4F4A374B}"/>
    <hyperlink ref="S120" r:id="rId12" xr:uid="{C7CDC598-2BF6-4A1B-A2C4-9B92CA4DFAFF}"/>
    <hyperlink ref="S121" r:id="rId13" xr:uid="{E59639BD-DA19-4AFD-8780-910114EC1064}"/>
    <hyperlink ref="R130" r:id="rId14" xr:uid="{7665ABFE-6F72-4E33-B943-33232E3E7DDB}"/>
    <hyperlink ref="T137" r:id="rId15" xr:uid="{81699265-2982-4028-9601-1CBDEFA01AF0}"/>
    <hyperlink ref="T139" r:id="rId16" xr:uid="{48F22CF7-026A-486D-9A70-B2A2A3021CEF}"/>
    <hyperlink ref="S147" r:id="rId17" xr:uid="{F206CE56-3433-421F-99EA-A94C00D4E56E}"/>
    <hyperlink ref="S150" r:id="rId18" xr:uid="{2C0D34B1-8A9A-42B6-9EC4-A929D68336CD}"/>
    <hyperlink ref="S151" r:id="rId19" xr:uid="{AE8A51D5-A411-4B4D-8534-1F01424BC7DE}"/>
    <hyperlink ref="S152" r:id="rId20" xr:uid="{1AE59D66-6AAC-4C89-8714-720419621123}"/>
    <hyperlink ref="S159" r:id="rId21" xr:uid="{1DAEC4D0-B1F7-45D2-82EC-E3321AF722D1}"/>
    <hyperlink ref="S161" r:id="rId22" xr:uid="{07C0EC30-EF7A-4F43-B696-BE798FD57B1D}"/>
    <hyperlink ref="S162" r:id="rId23" xr:uid="{8A13501C-356C-4FE8-A196-8918936AB5B2}"/>
    <hyperlink ref="S165" r:id="rId24" xr:uid="{3251F75E-C04D-4D14-A70C-05B6AEBD4CA5}"/>
    <hyperlink ref="R181" r:id="rId25" xr:uid="{71B74C32-C0F5-4F78-9A42-981FF6E55FB9}"/>
    <hyperlink ref="S217" r:id="rId26" xr:uid="{BDFD88FE-63D7-477B-AF3D-B23C5BB45F71}"/>
    <hyperlink ref="S218" r:id="rId27" xr:uid="{CA4F0492-4AB6-463E-BE2F-9C7A1843DBBA}"/>
  </hyperlinks>
  <pageMargins left="0.7" right="0.7" top="0.75" bottom="0.75" header="0.3" footer="0.3"/>
  <pageSetup paperSize="11" orientation="portrait" horizontalDpi="4294967293" r:id="rId2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5900-D01A-4EE7-B6AE-EA0187CA6465}">
  <dimension ref="A1:Z127"/>
  <sheetViews>
    <sheetView workbookViewId="0">
      <pane xSplit="1" ySplit="1" topLeftCell="B117" activePane="bottomRight" state="frozen"/>
      <selection pane="bottomRight" activeCell="A121" sqref="A121:XFD121"/>
      <selection pane="bottomLeft"/>
      <selection pane="topRight"/>
    </sheetView>
  </sheetViews>
  <sheetFormatPr defaultRowHeight="15" customHeight="1"/>
  <cols>
    <col min="1" max="1" width="5.85546875" style="34" bestFit="1" customWidth="1"/>
    <col min="2" max="2" width="4.85546875" style="6" bestFit="1" customWidth="1"/>
    <col min="3" max="3" width="22.85546875" customWidth="1"/>
    <col min="4" max="4" width="28.28515625" style="90" customWidth="1"/>
    <col min="5" max="5" width="34" customWidth="1"/>
    <col min="6" max="6" width="12.5703125" style="6" customWidth="1"/>
    <col min="7" max="7" width="12.7109375" style="6" customWidth="1"/>
    <col min="8" max="8" width="12.42578125" style="6" customWidth="1"/>
    <col min="9" max="9" width="11.140625" style="6" customWidth="1"/>
    <col min="10" max="10" width="11.7109375" style="6" customWidth="1"/>
    <col min="11" max="11" width="11.42578125" customWidth="1"/>
    <col min="12" max="12" width="11.85546875" customWidth="1"/>
    <col min="13" max="13" width="12.85546875" customWidth="1"/>
    <col min="14" max="15" width="9.140625" customWidth="1"/>
    <col min="16" max="17" width="25.28515625" customWidth="1"/>
    <col min="18" max="18" width="13.28515625" customWidth="1"/>
    <col min="19" max="19" width="25.140625" customWidth="1"/>
    <col min="20" max="20" width="22.28515625" customWidth="1"/>
    <col min="21" max="21" width="15" customWidth="1"/>
  </cols>
  <sheetData>
    <row r="1" spans="1:26" s="161" customFormat="1" ht="30.75">
      <c r="A1" s="131" t="s">
        <v>147</v>
      </c>
      <c r="B1" s="131" t="s">
        <v>148</v>
      </c>
      <c r="C1" s="131" t="s">
        <v>149</v>
      </c>
      <c r="D1" s="323" t="s">
        <v>150</v>
      </c>
      <c r="E1" s="131" t="s">
        <v>151</v>
      </c>
      <c r="F1" s="131" t="s">
        <v>152</v>
      </c>
      <c r="G1" s="131" t="s">
        <v>153</v>
      </c>
      <c r="H1" s="131" t="s">
        <v>154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/>
      <c r="P1" s="131" t="s">
        <v>162</v>
      </c>
      <c r="Q1" s="131"/>
      <c r="R1" s="131" t="s">
        <v>163</v>
      </c>
      <c r="S1" s="131" t="s">
        <v>164</v>
      </c>
      <c r="T1" s="131" t="s">
        <v>4970</v>
      </c>
      <c r="U1" s="131" t="s">
        <v>4971</v>
      </c>
    </row>
    <row r="2" spans="1:26" s="161" customFormat="1" ht="55.5">
      <c r="A2" s="133">
        <v>1</v>
      </c>
      <c r="B2" s="133" t="s">
        <v>211</v>
      </c>
      <c r="C2" s="133" t="s">
        <v>4972</v>
      </c>
      <c r="D2" s="324" t="s">
        <v>4973</v>
      </c>
      <c r="E2" s="325" t="s">
        <v>4974</v>
      </c>
      <c r="F2" s="326">
        <v>9911172979</v>
      </c>
      <c r="G2" s="156" t="s">
        <v>4975</v>
      </c>
      <c r="H2" s="133" t="s">
        <v>1737</v>
      </c>
      <c r="I2" s="133" t="s">
        <v>4976</v>
      </c>
      <c r="J2" s="133" t="s">
        <v>4977</v>
      </c>
      <c r="K2" s="133" t="s">
        <v>4978</v>
      </c>
      <c r="L2" s="136">
        <v>45694</v>
      </c>
      <c r="M2" s="136">
        <v>46027</v>
      </c>
      <c r="N2" s="133">
        <v>11</v>
      </c>
      <c r="O2" s="133"/>
      <c r="P2" s="133" t="s">
        <v>195</v>
      </c>
      <c r="Q2" s="133"/>
      <c r="R2" s="133"/>
      <c r="S2" s="201" t="s">
        <v>2701</v>
      </c>
      <c r="T2" s="201"/>
      <c r="U2" s="133"/>
    </row>
    <row r="3" spans="1:26" s="161" customFormat="1" ht="45.75">
      <c r="A3" s="133">
        <v>2</v>
      </c>
      <c r="B3" s="133" t="s">
        <v>227</v>
      </c>
      <c r="C3" s="133" t="s">
        <v>4979</v>
      </c>
      <c r="D3" s="137" t="s">
        <v>4980</v>
      </c>
      <c r="E3" s="327" t="s">
        <v>4981</v>
      </c>
      <c r="F3" s="156">
        <v>9528777771</v>
      </c>
      <c r="G3" s="156" t="s">
        <v>4982</v>
      </c>
      <c r="H3" s="133" t="s">
        <v>241</v>
      </c>
      <c r="I3" s="133" t="s">
        <v>4976</v>
      </c>
      <c r="J3" s="133" t="s">
        <v>4977</v>
      </c>
      <c r="K3" s="133" t="s">
        <v>4978</v>
      </c>
      <c r="L3" s="136">
        <v>45702</v>
      </c>
      <c r="M3" s="136">
        <v>46036</v>
      </c>
      <c r="N3" s="133">
        <v>11</v>
      </c>
      <c r="O3" s="133"/>
      <c r="P3" s="133" t="s">
        <v>195</v>
      </c>
      <c r="Q3" s="133"/>
      <c r="R3" s="133"/>
      <c r="S3" s="201" t="s">
        <v>2701</v>
      </c>
      <c r="T3" s="201"/>
      <c r="U3" s="133"/>
    </row>
    <row r="4" spans="1:26" s="161" customFormat="1" ht="45.75">
      <c r="A4" s="139">
        <v>3</v>
      </c>
      <c r="B4" s="133" t="s">
        <v>227</v>
      </c>
      <c r="C4" s="133" t="s">
        <v>4983</v>
      </c>
      <c r="D4" s="137" t="s">
        <v>4984</v>
      </c>
      <c r="E4" s="140" t="s">
        <v>4985</v>
      </c>
      <c r="F4" s="139"/>
      <c r="G4" s="156" t="s">
        <v>4986</v>
      </c>
      <c r="H4" s="133" t="s">
        <v>202</v>
      </c>
      <c r="I4" s="133" t="s">
        <v>4976</v>
      </c>
      <c r="J4" s="133" t="s">
        <v>4977</v>
      </c>
      <c r="K4" s="133" t="s">
        <v>4978</v>
      </c>
      <c r="L4" s="142">
        <v>45722</v>
      </c>
      <c r="M4" s="142">
        <v>46059</v>
      </c>
      <c r="N4" s="133">
        <v>11</v>
      </c>
      <c r="O4" s="133"/>
      <c r="P4" s="133" t="s">
        <v>195</v>
      </c>
      <c r="Q4" s="133"/>
      <c r="R4" s="139"/>
      <c r="S4" s="133" t="s">
        <v>4987</v>
      </c>
      <c r="T4" s="133"/>
      <c r="U4" s="139"/>
    </row>
    <row r="5" spans="1:26" s="161" customFormat="1" ht="45.75">
      <c r="A5" s="139">
        <v>4</v>
      </c>
      <c r="B5" s="133" t="s">
        <v>227</v>
      </c>
      <c r="C5" s="139" t="s">
        <v>4988</v>
      </c>
      <c r="D5" s="137" t="s">
        <v>4989</v>
      </c>
      <c r="E5" s="140" t="s">
        <v>4990</v>
      </c>
      <c r="F5" s="139">
        <v>9839114355</v>
      </c>
      <c r="G5" s="139" t="s">
        <v>4991</v>
      </c>
      <c r="H5" s="139" t="s">
        <v>241</v>
      </c>
      <c r="I5" s="133" t="s">
        <v>4976</v>
      </c>
      <c r="J5" s="133" t="s">
        <v>4977</v>
      </c>
      <c r="K5" s="133" t="s">
        <v>4978</v>
      </c>
      <c r="L5" s="142">
        <v>45727</v>
      </c>
      <c r="M5" s="142">
        <v>46064</v>
      </c>
      <c r="N5" s="133">
        <v>11</v>
      </c>
      <c r="O5" s="133"/>
      <c r="P5" s="133" t="s">
        <v>195</v>
      </c>
      <c r="Q5" s="133"/>
      <c r="R5" s="139"/>
      <c r="S5" s="133" t="s">
        <v>4992</v>
      </c>
      <c r="T5" s="133"/>
      <c r="U5" s="139"/>
    </row>
    <row r="6" spans="1:26" s="198" customFormat="1" ht="45.75">
      <c r="A6" s="131">
        <v>5</v>
      </c>
      <c r="B6" s="131" t="s">
        <v>227</v>
      </c>
      <c r="C6" s="179" t="s">
        <v>4993</v>
      </c>
      <c r="D6" s="323" t="s">
        <v>4994</v>
      </c>
      <c r="E6" s="328" t="s">
        <v>4995</v>
      </c>
      <c r="F6" s="179"/>
      <c r="G6" s="179" t="s">
        <v>4996</v>
      </c>
      <c r="H6" s="179" t="s">
        <v>3991</v>
      </c>
      <c r="I6" s="131" t="s">
        <v>4976</v>
      </c>
      <c r="J6" s="131" t="s">
        <v>4977</v>
      </c>
      <c r="K6" s="131" t="s">
        <v>4978</v>
      </c>
      <c r="L6" s="329">
        <v>45729</v>
      </c>
      <c r="M6" s="329">
        <v>46066</v>
      </c>
      <c r="N6" s="131">
        <v>11</v>
      </c>
      <c r="O6" s="131"/>
      <c r="P6" s="131" t="s">
        <v>195</v>
      </c>
      <c r="Q6" s="131"/>
      <c r="R6" s="179" t="s">
        <v>243</v>
      </c>
      <c r="S6" s="131" t="s">
        <v>4997</v>
      </c>
      <c r="T6" s="179" t="s">
        <v>243</v>
      </c>
      <c r="U6" s="179"/>
      <c r="W6" s="219"/>
      <c r="X6" s="219"/>
    </row>
    <row r="7" spans="1:26" s="198" customFormat="1" ht="55.5">
      <c r="A7" s="131">
        <v>6</v>
      </c>
      <c r="B7" s="131" t="s">
        <v>227</v>
      </c>
      <c r="C7" s="179" t="s">
        <v>4998</v>
      </c>
      <c r="D7" s="323" t="s">
        <v>4999</v>
      </c>
      <c r="E7" s="328" t="s">
        <v>5000</v>
      </c>
      <c r="F7" s="179">
        <v>9972010011</v>
      </c>
      <c r="G7" s="179" t="s">
        <v>5001</v>
      </c>
      <c r="H7" s="179" t="s">
        <v>2767</v>
      </c>
      <c r="I7" s="131" t="s">
        <v>4976</v>
      </c>
      <c r="J7" s="131" t="s">
        <v>4977</v>
      </c>
      <c r="K7" s="131" t="s">
        <v>4978</v>
      </c>
      <c r="L7" s="329">
        <v>45741</v>
      </c>
      <c r="M7" s="329">
        <v>46078</v>
      </c>
      <c r="N7" s="179">
        <v>11</v>
      </c>
      <c r="O7" s="179"/>
      <c r="P7" s="131" t="s">
        <v>195</v>
      </c>
      <c r="Q7" s="131"/>
      <c r="R7" s="179"/>
      <c r="S7" s="131" t="s">
        <v>5002</v>
      </c>
      <c r="T7" s="179" t="s">
        <v>243</v>
      </c>
      <c r="U7" s="179"/>
      <c r="W7" s="219"/>
      <c r="X7" s="219"/>
      <c r="Z7" s="132"/>
    </row>
    <row r="8" spans="1:26" s="219" customFormat="1" ht="106.5">
      <c r="A8" s="179">
        <v>7</v>
      </c>
      <c r="B8" s="179" t="s">
        <v>211</v>
      </c>
      <c r="C8" s="179" t="s">
        <v>5003</v>
      </c>
      <c r="D8" s="323" t="s">
        <v>5004</v>
      </c>
      <c r="E8" s="323" t="s">
        <v>5005</v>
      </c>
      <c r="F8" s="179"/>
      <c r="G8" s="179" t="s">
        <v>5006</v>
      </c>
      <c r="H8" s="179" t="s">
        <v>690</v>
      </c>
      <c r="I8" s="131" t="s">
        <v>4976</v>
      </c>
      <c r="J8" s="131" t="s">
        <v>4977</v>
      </c>
      <c r="K8" s="131" t="s">
        <v>4978</v>
      </c>
      <c r="L8" s="329">
        <v>45742</v>
      </c>
      <c r="M8" s="329">
        <v>46079</v>
      </c>
      <c r="N8" s="179">
        <v>11</v>
      </c>
      <c r="O8" s="179"/>
      <c r="P8" s="131" t="s">
        <v>176</v>
      </c>
      <c r="Q8" s="131"/>
      <c r="R8" s="179"/>
      <c r="S8" s="179" t="s">
        <v>5007</v>
      </c>
      <c r="T8" s="179" t="s">
        <v>243</v>
      </c>
      <c r="U8" s="179"/>
    </row>
    <row r="9" spans="1:26" s="161" customFormat="1" ht="76.5">
      <c r="A9" s="139">
        <v>8</v>
      </c>
      <c r="B9" s="139"/>
      <c r="C9" s="133" t="s">
        <v>5008</v>
      </c>
      <c r="D9" s="137" t="s">
        <v>5009</v>
      </c>
      <c r="E9" s="206" t="s">
        <v>5010</v>
      </c>
      <c r="F9" s="139">
        <v>9431170559</v>
      </c>
      <c r="G9" s="139" t="s">
        <v>5011</v>
      </c>
      <c r="H9" s="139" t="s">
        <v>5012</v>
      </c>
      <c r="I9" s="133" t="s">
        <v>5013</v>
      </c>
      <c r="J9" s="133" t="s">
        <v>4977</v>
      </c>
      <c r="K9" s="185"/>
      <c r="L9" s="142">
        <v>45747</v>
      </c>
      <c r="M9" s="142" t="s">
        <v>5014</v>
      </c>
      <c r="N9" s="139">
        <v>11</v>
      </c>
      <c r="O9" s="139"/>
      <c r="P9" s="133" t="s">
        <v>195</v>
      </c>
      <c r="Q9" s="133"/>
      <c r="R9" s="139"/>
      <c r="S9" s="133" t="s">
        <v>5015</v>
      </c>
      <c r="T9" s="133"/>
      <c r="U9" s="139"/>
    </row>
    <row r="10" spans="1:26" s="161" customFormat="1" ht="76.5">
      <c r="A10" s="133">
        <v>9</v>
      </c>
      <c r="B10" s="139"/>
      <c r="C10" s="133" t="s">
        <v>5016</v>
      </c>
      <c r="D10" s="137" t="s">
        <v>5017</v>
      </c>
      <c r="E10" s="206" t="s">
        <v>5018</v>
      </c>
      <c r="F10" s="208">
        <v>9844772913</v>
      </c>
      <c r="G10" s="133" t="s">
        <v>5019</v>
      </c>
      <c r="H10" s="133" t="s">
        <v>2767</v>
      </c>
      <c r="I10" s="133" t="s">
        <v>4976</v>
      </c>
      <c r="J10" s="133" t="s">
        <v>4977</v>
      </c>
      <c r="K10" s="185"/>
      <c r="L10" s="142">
        <v>45755</v>
      </c>
      <c r="M10" s="142">
        <v>46089</v>
      </c>
      <c r="N10" s="139">
        <v>11</v>
      </c>
      <c r="O10" s="139"/>
      <c r="P10" s="133" t="s">
        <v>195</v>
      </c>
      <c r="Q10" s="133"/>
      <c r="R10" s="139"/>
      <c r="S10" s="207" t="s">
        <v>5020</v>
      </c>
      <c r="T10" s="207"/>
      <c r="U10" s="139"/>
    </row>
    <row r="11" spans="1:26" s="161" customFormat="1" ht="60.75">
      <c r="A11" s="133">
        <v>10</v>
      </c>
      <c r="B11" s="139"/>
      <c r="C11" s="139" t="s">
        <v>5021</v>
      </c>
      <c r="D11" s="137" t="s">
        <v>5022</v>
      </c>
      <c r="E11" s="206" t="s">
        <v>5023</v>
      </c>
      <c r="F11" s="133">
        <v>9911722331</v>
      </c>
      <c r="G11" s="133" t="s">
        <v>5024</v>
      </c>
      <c r="H11" s="133" t="s">
        <v>194</v>
      </c>
      <c r="I11" s="133" t="s">
        <v>4976</v>
      </c>
      <c r="J11" s="133" t="s">
        <v>4977</v>
      </c>
      <c r="K11" s="185"/>
      <c r="L11" s="142">
        <v>45765</v>
      </c>
      <c r="M11" s="142">
        <v>46099</v>
      </c>
      <c r="N11" s="139">
        <v>11</v>
      </c>
      <c r="O11" s="139"/>
      <c r="P11" s="133" t="s">
        <v>195</v>
      </c>
      <c r="Q11" s="133"/>
      <c r="R11" s="139"/>
      <c r="S11" s="207" t="s">
        <v>5025</v>
      </c>
      <c r="T11" s="207"/>
      <c r="U11" s="139"/>
    </row>
    <row r="12" spans="1:26" s="141" customFormat="1" ht="167.25">
      <c r="A12" s="139">
        <v>11</v>
      </c>
      <c r="B12" s="139"/>
      <c r="C12" s="139" t="s">
        <v>5026</v>
      </c>
      <c r="D12" s="137" t="s">
        <v>5027</v>
      </c>
      <c r="E12" s="137" t="s">
        <v>5028</v>
      </c>
      <c r="F12" s="139"/>
      <c r="G12" s="139" t="s">
        <v>5029</v>
      </c>
      <c r="H12" s="139"/>
      <c r="I12" s="133" t="s">
        <v>5013</v>
      </c>
      <c r="J12" s="133" t="s">
        <v>4977</v>
      </c>
      <c r="K12" s="138"/>
      <c r="L12" s="142">
        <v>45765</v>
      </c>
      <c r="M12" s="142">
        <v>46099</v>
      </c>
      <c r="N12" s="139">
        <v>11</v>
      </c>
      <c r="O12" s="139"/>
      <c r="P12" s="133" t="s">
        <v>176</v>
      </c>
      <c r="Q12" s="133"/>
      <c r="R12" s="139"/>
      <c r="S12" s="133" t="s">
        <v>5030</v>
      </c>
      <c r="T12" s="133"/>
      <c r="U12" s="139"/>
    </row>
    <row r="13" spans="1:26" s="141" customFormat="1" ht="106.5">
      <c r="A13" s="139">
        <v>12</v>
      </c>
      <c r="B13" s="139"/>
      <c r="C13" s="139" t="s">
        <v>5031</v>
      </c>
      <c r="D13" s="330" t="s">
        <v>5032</v>
      </c>
      <c r="E13" s="137" t="s">
        <v>5033</v>
      </c>
      <c r="F13" s="139">
        <v>8618184090</v>
      </c>
      <c r="G13" s="139" t="s">
        <v>5034</v>
      </c>
      <c r="H13" s="139"/>
      <c r="I13" s="133" t="s">
        <v>5013</v>
      </c>
      <c r="J13" s="133" t="s">
        <v>4977</v>
      </c>
      <c r="K13" s="185"/>
      <c r="L13" s="142">
        <v>45807</v>
      </c>
      <c r="M13" s="142">
        <v>46142</v>
      </c>
      <c r="N13" s="139">
        <v>11</v>
      </c>
      <c r="O13" s="139"/>
      <c r="P13" s="133" t="s">
        <v>176</v>
      </c>
      <c r="Q13" s="133"/>
      <c r="R13" s="139"/>
      <c r="S13" s="133" t="s">
        <v>5035</v>
      </c>
      <c r="T13" s="133"/>
      <c r="U13" s="139"/>
    </row>
    <row r="14" spans="1:26" s="198" customFormat="1" ht="60.75">
      <c r="A14" s="131">
        <v>13</v>
      </c>
      <c r="B14" s="179"/>
      <c r="C14" s="179" t="s">
        <v>5036</v>
      </c>
      <c r="D14" s="323" t="s">
        <v>5037</v>
      </c>
      <c r="E14" s="323" t="s">
        <v>5038</v>
      </c>
      <c r="F14" s="179">
        <v>9819837879</v>
      </c>
      <c r="G14" s="179" t="s">
        <v>5039</v>
      </c>
      <c r="H14" s="179"/>
      <c r="I14" s="131" t="s">
        <v>3700</v>
      </c>
      <c r="J14" s="131" t="s">
        <v>4977</v>
      </c>
      <c r="K14" s="264"/>
      <c r="L14" s="329">
        <v>45770</v>
      </c>
      <c r="M14" s="329">
        <v>46104</v>
      </c>
      <c r="N14" s="179">
        <v>11</v>
      </c>
      <c r="O14" s="179"/>
      <c r="P14" s="131" t="s">
        <v>195</v>
      </c>
      <c r="Q14" s="131"/>
      <c r="R14" s="179" t="s">
        <v>243</v>
      </c>
      <c r="S14" s="131" t="s">
        <v>5040</v>
      </c>
      <c r="T14" s="131" t="s">
        <v>243</v>
      </c>
      <c r="U14" s="179"/>
    </row>
    <row r="15" spans="1:26" s="141" customFormat="1" ht="91.5">
      <c r="A15" s="133">
        <v>14</v>
      </c>
      <c r="B15" s="139"/>
      <c r="C15" s="139" t="s">
        <v>5041</v>
      </c>
      <c r="D15" s="137" t="s">
        <v>5042</v>
      </c>
      <c r="E15" s="137" t="s">
        <v>5043</v>
      </c>
      <c r="F15" s="139">
        <v>8143435579</v>
      </c>
      <c r="G15" s="139" t="s">
        <v>5044</v>
      </c>
      <c r="H15" s="139"/>
      <c r="I15" s="133" t="s">
        <v>3700</v>
      </c>
      <c r="J15" s="133" t="s">
        <v>4977</v>
      </c>
      <c r="K15" s="185"/>
      <c r="L15" s="142">
        <v>45772</v>
      </c>
      <c r="M15" s="142">
        <v>46106</v>
      </c>
      <c r="N15" s="139">
        <v>11</v>
      </c>
      <c r="O15" s="139"/>
      <c r="P15" s="133" t="s">
        <v>195</v>
      </c>
      <c r="Q15" s="133"/>
      <c r="R15" s="139"/>
      <c r="S15" s="133" t="s">
        <v>5045</v>
      </c>
      <c r="T15" s="133"/>
      <c r="U15" s="139"/>
    </row>
    <row r="16" spans="1:26" s="198" customFormat="1" ht="45.75">
      <c r="A16" s="179">
        <v>15</v>
      </c>
      <c r="B16" s="179"/>
      <c r="C16" s="198" t="s">
        <v>5046</v>
      </c>
      <c r="D16" s="323" t="s">
        <v>5047</v>
      </c>
      <c r="E16" s="132" t="s">
        <v>5048</v>
      </c>
      <c r="F16" s="179">
        <v>9384023456</v>
      </c>
      <c r="G16" s="179" t="s">
        <v>5049</v>
      </c>
      <c r="H16" s="179"/>
      <c r="I16" s="131" t="s">
        <v>3700</v>
      </c>
      <c r="J16" s="131" t="s">
        <v>4977</v>
      </c>
      <c r="L16" s="329">
        <v>45775</v>
      </c>
      <c r="M16" s="265">
        <v>46109</v>
      </c>
      <c r="N16" s="179">
        <v>11</v>
      </c>
      <c r="O16" s="179"/>
      <c r="P16" s="131" t="s">
        <v>195</v>
      </c>
      <c r="Q16" s="131"/>
      <c r="R16" s="179"/>
      <c r="S16" s="179" t="s">
        <v>5050</v>
      </c>
      <c r="T16" s="179"/>
      <c r="U16" s="219" t="s">
        <v>513</v>
      </c>
      <c r="V16" s="219" t="s">
        <v>513</v>
      </c>
      <c r="W16" s="219" t="s">
        <v>513</v>
      </c>
    </row>
    <row r="17" spans="1:23" s="219" customFormat="1" ht="91.5">
      <c r="A17" s="179">
        <v>16</v>
      </c>
      <c r="B17" s="179"/>
      <c r="C17" s="198" t="s">
        <v>5051</v>
      </c>
      <c r="D17" s="323" t="s">
        <v>5052</v>
      </c>
      <c r="E17" s="132" t="s">
        <v>5053</v>
      </c>
      <c r="F17" s="179">
        <v>9866655789</v>
      </c>
      <c r="G17" s="179" t="s">
        <v>5054</v>
      </c>
      <c r="H17" s="131"/>
      <c r="I17" s="131" t="s">
        <v>3700</v>
      </c>
      <c r="J17" s="131" t="s">
        <v>4977</v>
      </c>
      <c r="K17" s="337"/>
      <c r="L17" s="329">
        <v>45777</v>
      </c>
      <c r="M17" s="265">
        <v>46111</v>
      </c>
      <c r="N17" s="179">
        <v>11</v>
      </c>
      <c r="O17" s="179"/>
      <c r="P17" s="131" t="s">
        <v>195</v>
      </c>
      <c r="Q17" s="131"/>
      <c r="R17" s="179"/>
      <c r="S17" s="131" t="s">
        <v>5055</v>
      </c>
      <c r="T17" s="131"/>
      <c r="U17" s="219" t="s">
        <v>513</v>
      </c>
      <c r="V17" s="219" t="s">
        <v>513</v>
      </c>
      <c r="W17" s="219" t="s">
        <v>513</v>
      </c>
    </row>
    <row r="18" spans="1:23" s="161" customFormat="1" ht="76.5">
      <c r="A18" s="133">
        <v>17</v>
      </c>
      <c r="B18" s="139"/>
      <c r="C18" s="141" t="s">
        <v>5056</v>
      </c>
      <c r="D18" s="331" t="s">
        <v>5057</v>
      </c>
      <c r="E18" s="145" t="s">
        <v>5058</v>
      </c>
      <c r="F18" s="139"/>
      <c r="G18" s="139" t="s">
        <v>5059</v>
      </c>
      <c r="H18" s="133"/>
      <c r="I18" s="133" t="s">
        <v>3700</v>
      </c>
      <c r="J18" s="133" t="s">
        <v>4977</v>
      </c>
      <c r="K18" s="138"/>
      <c r="L18" s="146" t="s">
        <v>316</v>
      </c>
      <c r="M18" s="146"/>
      <c r="N18" s="139">
        <v>11</v>
      </c>
      <c r="O18" s="139"/>
      <c r="P18" s="133" t="s">
        <v>176</v>
      </c>
      <c r="Q18" s="133"/>
      <c r="R18" s="139" t="s">
        <v>316</v>
      </c>
      <c r="S18" s="133" t="s">
        <v>5060</v>
      </c>
      <c r="T18" s="133"/>
      <c r="U18" s="139"/>
    </row>
    <row r="19" spans="1:23" s="219" customFormat="1" ht="106.5">
      <c r="A19" s="131">
        <v>18</v>
      </c>
      <c r="B19" s="179"/>
      <c r="C19" s="198" t="s">
        <v>5061</v>
      </c>
      <c r="D19" s="323" t="s">
        <v>5062</v>
      </c>
      <c r="E19" s="132" t="s">
        <v>5063</v>
      </c>
      <c r="F19" s="179">
        <v>7387301097</v>
      </c>
      <c r="G19" s="179" t="s">
        <v>5064</v>
      </c>
      <c r="H19" s="131"/>
      <c r="I19" s="131" t="s">
        <v>3700</v>
      </c>
      <c r="J19" s="131" t="s">
        <v>4977</v>
      </c>
      <c r="K19" s="264"/>
      <c r="L19" s="265">
        <v>45783</v>
      </c>
      <c r="M19" s="265">
        <v>46118</v>
      </c>
      <c r="N19" s="179">
        <v>11</v>
      </c>
      <c r="O19" s="179"/>
      <c r="P19" s="131" t="s">
        <v>195</v>
      </c>
      <c r="Q19" s="131"/>
      <c r="R19" s="179"/>
      <c r="S19" s="131" t="s">
        <v>5065</v>
      </c>
      <c r="T19" s="131"/>
      <c r="U19" s="179" t="s">
        <v>513</v>
      </c>
      <c r="V19" s="179" t="s">
        <v>513</v>
      </c>
      <c r="W19" s="179" t="s">
        <v>513</v>
      </c>
    </row>
    <row r="20" spans="1:23" s="161" customFormat="1" ht="76.5">
      <c r="A20" s="139">
        <v>19</v>
      </c>
      <c r="B20" s="139"/>
      <c r="C20" s="145" t="s">
        <v>5066</v>
      </c>
      <c r="D20" s="137" t="s">
        <v>5067</v>
      </c>
      <c r="E20" s="145" t="s">
        <v>5068</v>
      </c>
      <c r="F20" s="139"/>
      <c r="G20" s="139" t="s">
        <v>5069</v>
      </c>
      <c r="H20" s="133"/>
      <c r="I20" s="133" t="s">
        <v>3700</v>
      </c>
      <c r="J20" s="133" t="s">
        <v>4977</v>
      </c>
      <c r="K20" s="185"/>
      <c r="L20" s="146">
        <v>45784</v>
      </c>
      <c r="M20" s="146">
        <v>46119</v>
      </c>
      <c r="N20" s="139">
        <v>11</v>
      </c>
      <c r="O20" s="139"/>
      <c r="P20" s="133" t="s">
        <v>195</v>
      </c>
      <c r="Q20" s="133"/>
      <c r="R20" s="139"/>
      <c r="S20" s="139" t="s">
        <v>5070</v>
      </c>
      <c r="T20" s="139"/>
      <c r="U20" s="139"/>
    </row>
    <row r="21" spans="1:23" s="219" customFormat="1" ht="60.75">
      <c r="A21" s="179">
        <v>20</v>
      </c>
      <c r="B21" s="179"/>
      <c r="C21" s="198" t="s">
        <v>5071</v>
      </c>
      <c r="D21" s="323" t="s">
        <v>5072</v>
      </c>
      <c r="E21" s="196" t="s">
        <v>5073</v>
      </c>
      <c r="F21" s="198">
        <v>9909264449</v>
      </c>
      <c r="G21" s="198" t="s">
        <v>5074</v>
      </c>
      <c r="H21" s="179"/>
      <c r="I21" s="179" t="s">
        <v>5075</v>
      </c>
      <c r="J21" s="131" t="s">
        <v>4977</v>
      </c>
      <c r="K21" s="264"/>
      <c r="L21" s="265">
        <v>45791</v>
      </c>
      <c r="M21" s="265">
        <v>46126</v>
      </c>
      <c r="N21" s="179">
        <v>11</v>
      </c>
      <c r="O21" s="179"/>
      <c r="P21" s="131" t="s">
        <v>195</v>
      </c>
      <c r="Q21" s="131"/>
      <c r="R21" s="179"/>
      <c r="S21" s="131" t="s">
        <v>5076</v>
      </c>
      <c r="T21" s="131"/>
      <c r="U21" s="179" t="s">
        <v>513</v>
      </c>
      <c r="V21" s="219" t="s">
        <v>513</v>
      </c>
      <c r="W21" s="219" t="s">
        <v>513</v>
      </c>
    </row>
    <row r="22" spans="1:23" s="219" customFormat="1" ht="121.5">
      <c r="A22" s="131">
        <v>21</v>
      </c>
      <c r="B22" s="179"/>
      <c r="C22" s="219" t="s">
        <v>5077</v>
      </c>
      <c r="D22" s="396" t="s">
        <v>5078</v>
      </c>
      <c r="E22" s="196" t="s">
        <v>5079</v>
      </c>
      <c r="F22" s="346">
        <v>9953338281</v>
      </c>
      <c r="G22" s="346" t="s">
        <v>5080</v>
      </c>
      <c r="H22" s="179"/>
      <c r="I22" s="179" t="s">
        <v>5081</v>
      </c>
      <c r="J22" s="131" t="s">
        <v>4977</v>
      </c>
      <c r="K22" s="264"/>
      <c r="L22" s="265">
        <v>45796</v>
      </c>
      <c r="M22" s="265">
        <v>46131</v>
      </c>
      <c r="N22" s="179">
        <v>11</v>
      </c>
      <c r="O22" s="179"/>
      <c r="P22" s="131" t="s">
        <v>195</v>
      </c>
      <c r="Q22" s="131"/>
      <c r="R22" s="179"/>
      <c r="S22" s="131" t="s">
        <v>5082</v>
      </c>
      <c r="T22" s="131"/>
      <c r="U22" s="179" t="s">
        <v>513</v>
      </c>
      <c r="V22" s="179" t="s">
        <v>513</v>
      </c>
      <c r="W22" s="179" t="s">
        <v>513</v>
      </c>
    </row>
    <row r="23" spans="1:23" s="161" customFormat="1" ht="60.75">
      <c r="A23" s="133">
        <v>22</v>
      </c>
      <c r="B23" s="148"/>
      <c r="C23" s="188" t="s">
        <v>5083</v>
      </c>
      <c r="D23" s="332" t="s">
        <v>5084</v>
      </c>
      <c r="E23" s="209" t="s">
        <v>5085</v>
      </c>
      <c r="F23" s="148">
        <v>7278899764</v>
      </c>
      <c r="G23" s="148" t="s">
        <v>5086</v>
      </c>
      <c r="H23" s="148"/>
      <c r="I23" s="148" t="s">
        <v>5087</v>
      </c>
      <c r="J23" s="133" t="s">
        <v>4977</v>
      </c>
      <c r="K23" s="138"/>
      <c r="L23" s="152">
        <v>45804</v>
      </c>
      <c r="M23" s="152">
        <v>46139</v>
      </c>
      <c r="N23" s="139">
        <v>11</v>
      </c>
      <c r="O23" s="139"/>
      <c r="P23" s="133" t="s">
        <v>195</v>
      </c>
      <c r="Q23" s="133"/>
      <c r="R23" s="148"/>
      <c r="S23" s="150" t="s">
        <v>5088</v>
      </c>
      <c r="T23" s="150"/>
      <c r="U23" s="148"/>
    </row>
    <row r="24" spans="1:23" s="141" customFormat="1" ht="91.5">
      <c r="A24" s="139">
        <v>23</v>
      </c>
      <c r="B24" s="139"/>
      <c r="C24" s="333" t="s">
        <v>5089</v>
      </c>
      <c r="D24" s="137" t="s">
        <v>5090</v>
      </c>
      <c r="E24" s="145" t="s">
        <v>5091</v>
      </c>
      <c r="F24" s="139">
        <v>9591407926</v>
      </c>
      <c r="G24" s="139"/>
      <c r="H24" s="139"/>
      <c r="I24" s="139" t="s">
        <v>3700</v>
      </c>
      <c r="J24" s="133" t="s">
        <v>4977</v>
      </c>
      <c r="K24" s="138"/>
      <c r="L24" s="146">
        <v>45797</v>
      </c>
      <c r="M24" s="146">
        <v>46132</v>
      </c>
      <c r="N24" s="139">
        <v>11</v>
      </c>
      <c r="O24" s="139"/>
      <c r="P24" s="133" t="s">
        <v>195</v>
      </c>
      <c r="Q24" s="133"/>
      <c r="R24" s="139"/>
      <c r="S24" s="133" t="s">
        <v>5092</v>
      </c>
      <c r="T24" s="133"/>
      <c r="U24" s="139"/>
    </row>
    <row r="25" spans="1:23" s="198" customFormat="1" ht="76.5">
      <c r="A25" s="179">
        <v>24</v>
      </c>
      <c r="B25" s="179"/>
      <c r="C25" s="198" t="s">
        <v>5093</v>
      </c>
      <c r="D25" s="323" t="s">
        <v>5094</v>
      </c>
      <c r="E25" s="132" t="s">
        <v>5095</v>
      </c>
      <c r="F25" s="179">
        <v>9910715857</v>
      </c>
      <c r="G25" s="179" t="s">
        <v>5096</v>
      </c>
      <c r="H25" s="179"/>
      <c r="I25" s="179" t="s">
        <v>3700</v>
      </c>
      <c r="J25" s="131" t="s">
        <v>4977</v>
      </c>
      <c r="K25" s="337"/>
      <c r="L25" s="265">
        <v>45803</v>
      </c>
      <c r="M25" s="265">
        <v>46138</v>
      </c>
      <c r="N25" s="179">
        <v>11</v>
      </c>
      <c r="O25" s="179"/>
      <c r="P25" s="131" t="s">
        <v>195</v>
      </c>
      <c r="Q25" s="131"/>
      <c r="R25" s="179"/>
      <c r="S25" s="131" t="s">
        <v>5097</v>
      </c>
      <c r="T25" s="131"/>
      <c r="U25" s="179" t="s">
        <v>513</v>
      </c>
      <c r="V25" s="198" t="s">
        <v>513</v>
      </c>
      <c r="W25" s="198" t="s">
        <v>513</v>
      </c>
    </row>
    <row r="26" spans="1:23" s="219" customFormat="1" ht="106.5">
      <c r="A26" s="131">
        <v>25</v>
      </c>
      <c r="B26" s="179"/>
      <c r="C26" s="198" t="s">
        <v>4374</v>
      </c>
      <c r="D26" s="323" t="s">
        <v>5098</v>
      </c>
      <c r="E26" s="196" t="s">
        <v>5099</v>
      </c>
      <c r="F26" s="346"/>
      <c r="G26" s="346" t="s">
        <v>4377</v>
      </c>
      <c r="H26" s="179"/>
      <c r="I26" s="131" t="s">
        <v>5013</v>
      </c>
      <c r="J26" s="131" t="s">
        <v>4977</v>
      </c>
      <c r="K26" s="337"/>
      <c r="L26" s="265">
        <v>45800</v>
      </c>
      <c r="M26" s="265">
        <v>46135</v>
      </c>
      <c r="N26" s="179">
        <v>11</v>
      </c>
      <c r="O26" s="179"/>
      <c r="P26" s="131" t="s">
        <v>176</v>
      </c>
      <c r="Q26" s="131"/>
      <c r="R26" s="179"/>
      <c r="S26" s="131" t="s">
        <v>5100</v>
      </c>
      <c r="T26" s="131"/>
      <c r="U26" s="179" t="s">
        <v>1714</v>
      </c>
    </row>
    <row r="27" spans="1:23" s="219" customFormat="1" ht="60.75">
      <c r="A27" s="131">
        <v>26</v>
      </c>
      <c r="B27" s="179"/>
      <c r="C27" s="198" t="s">
        <v>5101</v>
      </c>
      <c r="D27" s="323" t="s">
        <v>5102</v>
      </c>
      <c r="E27" s="196" t="s">
        <v>5103</v>
      </c>
      <c r="F27" s="179"/>
      <c r="G27" s="179" t="s">
        <v>5104</v>
      </c>
      <c r="H27" s="179"/>
      <c r="I27" s="179" t="s">
        <v>5105</v>
      </c>
      <c r="J27" s="131" t="s">
        <v>4977</v>
      </c>
      <c r="K27" s="264"/>
      <c r="L27" s="265">
        <v>45804</v>
      </c>
      <c r="M27" s="265">
        <v>46139</v>
      </c>
      <c r="N27" s="179">
        <v>11</v>
      </c>
      <c r="O27" s="179"/>
      <c r="P27" s="131" t="s">
        <v>195</v>
      </c>
      <c r="Q27" s="131"/>
      <c r="R27" s="179"/>
      <c r="S27" s="131" t="s">
        <v>5106</v>
      </c>
      <c r="T27" s="131"/>
      <c r="U27" s="179" t="s">
        <v>513</v>
      </c>
      <c r="V27" s="179" t="s">
        <v>513</v>
      </c>
    </row>
    <row r="28" spans="1:23" s="219" customFormat="1" ht="91.5">
      <c r="A28" s="179">
        <v>27</v>
      </c>
      <c r="B28" s="179"/>
      <c r="C28" s="198" t="s">
        <v>5107</v>
      </c>
      <c r="D28" s="323" t="s">
        <v>5108</v>
      </c>
      <c r="E28" s="196" t="s">
        <v>5109</v>
      </c>
      <c r="F28" s="179"/>
      <c r="G28" s="179" t="s">
        <v>5110</v>
      </c>
      <c r="H28" s="179"/>
      <c r="I28" s="131" t="s">
        <v>5013</v>
      </c>
      <c r="J28" s="131" t="s">
        <v>4977</v>
      </c>
      <c r="K28" s="337"/>
      <c r="L28" s="265">
        <v>45803</v>
      </c>
      <c r="M28" s="265">
        <v>46138</v>
      </c>
      <c r="N28" s="179">
        <v>11</v>
      </c>
      <c r="O28" s="179"/>
      <c r="P28" s="131" t="s">
        <v>195</v>
      </c>
      <c r="Q28" s="131"/>
      <c r="R28" s="179"/>
      <c r="S28" s="131" t="s">
        <v>5111</v>
      </c>
      <c r="T28" s="131"/>
      <c r="U28" s="179" t="s">
        <v>513</v>
      </c>
    </row>
    <row r="29" spans="1:23" s="161" customFormat="1">
      <c r="A29" s="139">
        <v>28</v>
      </c>
      <c r="B29" s="143"/>
      <c r="D29" s="206"/>
      <c r="F29" s="143"/>
      <c r="G29" s="143"/>
      <c r="H29" s="143"/>
      <c r="I29" s="143"/>
      <c r="J29" s="143"/>
      <c r="S29" s="133" t="s">
        <v>4276</v>
      </c>
      <c r="T29" s="133"/>
    </row>
    <row r="30" spans="1:23" s="219" customFormat="1" ht="76.5">
      <c r="A30" s="131">
        <v>29</v>
      </c>
      <c r="B30" s="179"/>
      <c r="C30" s="198" t="s">
        <v>5112</v>
      </c>
      <c r="D30" s="323" t="s">
        <v>5113</v>
      </c>
      <c r="E30" s="196" t="s">
        <v>5114</v>
      </c>
      <c r="F30" s="179"/>
      <c r="G30" s="179" t="s">
        <v>5115</v>
      </c>
      <c r="H30" s="179"/>
      <c r="I30" s="131" t="s">
        <v>5105</v>
      </c>
      <c r="J30" s="131"/>
      <c r="K30" s="337"/>
      <c r="L30" s="265">
        <v>45811</v>
      </c>
      <c r="M30" s="265">
        <v>46145</v>
      </c>
      <c r="N30" s="179">
        <v>11</v>
      </c>
      <c r="O30" s="179"/>
      <c r="P30" s="131" t="s">
        <v>195</v>
      </c>
      <c r="Q30" s="131"/>
      <c r="R30" s="179"/>
      <c r="S30" s="131" t="s">
        <v>5116</v>
      </c>
      <c r="T30" s="131"/>
      <c r="U30" s="179" t="s">
        <v>513</v>
      </c>
      <c r="V30" s="219" t="s">
        <v>513</v>
      </c>
    </row>
    <row r="31" spans="1:23" s="219" customFormat="1" ht="76.5">
      <c r="A31" s="131">
        <v>30</v>
      </c>
      <c r="B31" s="179"/>
      <c r="C31" s="198" t="s">
        <v>5117</v>
      </c>
      <c r="D31" s="323" t="s">
        <v>5118</v>
      </c>
      <c r="E31" s="132" t="s">
        <v>5119</v>
      </c>
      <c r="F31" s="179"/>
      <c r="G31" s="179" t="s">
        <v>5120</v>
      </c>
      <c r="H31" s="179"/>
      <c r="I31" s="131" t="s">
        <v>5105</v>
      </c>
      <c r="J31" s="131"/>
      <c r="K31" s="337"/>
      <c r="L31" s="265">
        <v>45813</v>
      </c>
      <c r="M31" s="265">
        <v>46147</v>
      </c>
      <c r="N31" s="179">
        <v>11</v>
      </c>
      <c r="O31" s="179"/>
      <c r="P31" s="131" t="s">
        <v>195</v>
      </c>
      <c r="Q31" s="131"/>
      <c r="R31" s="179"/>
      <c r="S31" s="131" t="s">
        <v>5121</v>
      </c>
      <c r="T31" s="131"/>
      <c r="U31" s="179" t="s">
        <v>513</v>
      </c>
      <c r="V31" s="219" t="s">
        <v>513</v>
      </c>
      <c r="W31" s="219" t="s">
        <v>513</v>
      </c>
    </row>
    <row r="32" spans="1:23" s="219" customFormat="1" ht="121.5">
      <c r="A32" s="179">
        <v>31</v>
      </c>
      <c r="B32" s="179"/>
      <c r="C32" s="398" t="s">
        <v>5122</v>
      </c>
      <c r="D32" s="323" t="s">
        <v>5123</v>
      </c>
      <c r="E32" s="196" t="s">
        <v>5124</v>
      </c>
      <c r="F32" s="179"/>
      <c r="G32" s="179" t="s">
        <v>5125</v>
      </c>
      <c r="H32" s="179"/>
      <c r="I32" s="131"/>
      <c r="J32" s="131"/>
      <c r="K32" s="337"/>
      <c r="L32" s="265">
        <v>45831</v>
      </c>
      <c r="M32" s="265">
        <v>46226</v>
      </c>
      <c r="N32" s="179">
        <v>11</v>
      </c>
      <c r="O32" s="179"/>
      <c r="P32" s="131" t="s">
        <v>195</v>
      </c>
      <c r="Q32" s="131"/>
      <c r="R32" s="179"/>
      <c r="S32" s="131" t="s">
        <v>5126</v>
      </c>
      <c r="T32" s="131"/>
      <c r="U32" s="179" t="s">
        <v>513</v>
      </c>
      <c r="V32" s="219" t="s">
        <v>513</v>
      </c>
      <c r="W32" s="219" t="s">
        <v>513</v>
      </c>
    </row>
    <row r="33" spans="1:23" s="161" customFormat="1" ht="30.75">
      <c r="A33" s="139">
        <v>32</v>
      </c>
      <c r="B33" s="139"/>
      <c r="C33" s="145" t="s">
        <v>5127</v>
      </c>
      <c r="D33" s="333" t="s">
        <v>5128</v>
      </c>
      <c r="E33" s="145" t="s">
        <v>5129</v>
      </c>
      <c r="F33" s="139"/>
      <c r="G33" s="208" t="s">
        <v>5130</v>
      </c>
      <c r="H33" s="139"/>
      <c r="I33" s="133"/>
      <c r="J33" s="133"/>
      <c r="K33" s="185"/>
      <c r="L33" s="334">
        <v>45819</v>
      </c>
      <c r="M33" s="334">
        <v>46153</v>
      </c>
      <c r="N33" s="139">
        <v>11</v>
      </c>
      <c r="O33" s="139"/>
      <c r="P33" s="133" t="s">
        <v>195</v>
      </c>
      <c r="Q33" s="133"/>
      <c r="R33" s="139"/>
      <c r="S33" s="133" t="s">
        <v>5131</v>
      </c>
      <c r="T33" s="133"/>
      <c r="U33" s="139"/>
    </row>
    <row r="34" spans="1:23" s="219" customFormat="1" ht="76.5">
      <c r="A34" s="131">
        <v>33</v>
      </c>
      <c r="B34" s="179"/>
      <c r="C34" s="398" t="s">
        <v>5132</v>
      </c>
      <c r="D34" s="398" t="s">
        <v>5133</v>
      </c>
      <c r="E34" s="398" t="s">
        <v>5134</v>
      </c>
      <c r="F34" s="398">
        <v>9742770730</v>
      </c>
      <c r="G34" s="398" t="s">
        <v>5135</v>
      </c>
      <c r="H34" s="398" t="s">
        <v>5136</v>
      </c>
      <c r="I34" s="346"/>
      <c r="J34" s="346"/>
      <c r="K34" s="337"/>
      <c r="L34" s="426">
        <v>45831</v>
      </c>
      <c r="M34" s="426">
        <v>46165</v>
      </c>
      <c r="N34" s="179">
        <v>11</v>
      </c>
      <c r="O34" s="179"/>
      <c r="P34" s="131" t="s">
        <v>176</v>
      </c>
      <c r="Q34" s="131"/>
      <c r="R34" s="179"/>
      <c r="S34" s="131" t="s">
        <v>5137</v>
      </c>
      <c r="T34" s="131"/>
      <c r="U34" s="179" t="s">
        <v>513</v>
      </c>
      <c r="V34" s="219" t="s">
        <v>513</v>
      </c>
    </row>
    <row r="35" spans="1:23" s="161" customFormat="1" ht="61.5">
      <c r="A35" s="133">
        <v>34</v>
      </c>
      <c r="B35" s="139"/>
      <c r="C35" s="208" t="s">
        <v>5138</v>
      </c>
      <c r="D35" s="208" t="s">
        <v>5139</v>
      </c>
      <c r="E35" s="208" t="s">
        <v>5140</v>
      </c>
      <c r="F35" s="208">
        <v>9971159330</v>
      </c>
      <c r="G35" s="208" t="s">
        <v>5141</v>
      </c>
      <c r="H35" s="208" t="s">
        <v>5142</v>
      </c>
      <c r="I35" s="143"/>
      <c r="J35" s="143"/>
      <c r="K35" s="185"/>
      <c r="L35" s="334">
        <v>45835</v>
      </c>
      <c r="M35" s="334">
        <v>46169</v>
      </c>
      <c r="N35" s="139">
        <v>11</v>
      </c>
      <c r="O35" s="139"/>
      <c r="P35" s="133" t="s">
        <v>176</v>
      </c>
      <c r="Q35" s="133"/>
      <c r="R35" s="139"/>
      <c r="S35" s="133" t="s">
        <v>5143</v>
      </c>
      <c r="T35" s="133"/>
      <c r="U35" s="139"/>
    </row>
    <row r="36" spans="1:23" s="161" customFormat="1" ht="61.5">
      <c r="A36" s="139">
        <v>35</v>
      </c>
      <c r="B36" s="139"/>
      <c r="C36" s="208" t="s">
        <v>5144</v>
      </c>
      <c r="D36" s="208" t="s">
        <v>5145</v>
      </c>
      <c r="E36" s="208" t="s">
        <v>5146</v>
      </c>
      <c r="F36" s="208">
        <v>7218196231</v>
      </c>
      <c r="G36" s="208" t="s">
        <v>5147</v>
      </c>
      <c r="H36" s="208" t="s">
        <v>5148</v>
      </c>
      <c r="I36" s="143"/>
      <c r="J36" s="143"/>
      <c r="K36" s="185"/>
      <c r="L36" s="334">
        <v>45838</v>
      </c>
      <c r="M36" s="334">
        <v>46172</v>
      </c>
      <c r="N36" s="139">
        <v>11</v>
      </c>
      <c r="O36" s="139"/>
      <c r="P36" s="133" t="s">
        <v>195</v>
      </c>
      <c r="Q36" s="133"/>
      <c r="R36" s="139"/>
      <c r="S36" s="133" t="s">
        <v>5149</v>
      </c>
      <c r="T36" s="133"/>
      <c r="U36" s="139"/>
    </row>
    <row r="37" spans="1:23" s="161" customFormat="1" ht="30.75">
      <c r="A37" s="139">
        <v>36</v>
      </c>
      <c r="B37" s="139"/>
      <c r="C37" s="208" t="s">
        <v>5150</v>
      </c>
      <c r="D37" s="208" t="s">
        <v>5151</v>
      </c>
      <c r="E37" s="208" t="s">
        <v>5152</v>
      </c>
      <c r="F37" s="208">
        <v>9663389608</v>
      </c>
      <c r="G37" s="208" t="s">
        <v>5153</v>
      </c>
      <c r="H37" s="208" t="s">
        <v>5154</v>
      </c>
      <c r="I37" s="143"/>
      <c r="J37" s="143"/>
      <c r="K37" s="185"/>
      <c r="L37" s="334">
        <v>45838</v>
      </c>
      <c r="M37" s="334">
        <v>46172</v>
      </c>
      <c r="N37" s="139">
        <v>11</v>
      </c>
      <c r="O37" s="139"/>
      <c r="P37" s="133" t="s">
        <v>195</v>
      </c>
      <c r="Q37" s="133"/>
      <c r="R37" s="139"/>
      <c r="S37" s="133" t="s">
        <v>5155</v>
      </c>
      <c r="T37" s="133"/>
      <c r="U37" s="139"/>
    </row>
    <row r="38" spans="1:23" s="219" customFormat="1" ht="60.75">
      <c r="A38" s="131">
        <v>37</v>
      </c>
      <c r="B38" s="179"/>
      <c r="C38" s="198" t="s">
        <v>5156</v>
      </c>
      <c r="D38" s="323" t="s">
        <v>5157</v>
      </c>
      <c r="E38" s="132" t="s">
        <v>5158</v>
      </c>
      <c r="F38" s="179">
        <v>8765696060</v>
      </c>
      <c r="G38" s="179" t="s">
        <v>5159</v>
      </c>
      <c r="H38" s="179" t="s">
        <v>5160</v>
      </c>
      <c r="I38" s="131"/>
      <c r="J38" s="131"/>
      <c r="K38" s="337"/>
      <c r="L38" s="265">
        <v>45841</v>
      </c>
      <c r="M38" s="265">
        <v>46175</v>
      </c>
      <c r="N38" s="179">
        <v>11</v>
      </c>
      <c r="O38" s="179"/>
      <c r="P38" s="131" t="s">
        <v>195</v>
      </c>
      <c r="Q38" s="131"/>
      <c r="R38" s="179"/>
      <c r="S38" s="131" t="s">
        <v>5161</v>
      </c>
      <c r="T38" s="131"/>
      <c r="U38" s="179" t="s">
        <v>513</v>
      </c>
      <c r="V38" s="219" t="s">
        <v>513</v>
      </c>
      <c r="W38" s="219" t="s">
        <v>513</v>
      </c>
    </row>
    <row r="39" spans="1:23" s="219" customFormat="1" ht="60.75">
      <c r="A39" s="131">
        <v>38</v>
      </c>
      <c r="B39" s="179"/>
      <c r="C39" s="198" t="s">
        <v>5162</v>
      </c>
      <c r="D39" s="323" t="s">
        <v>5163</v>
      </c>
      <c r="E39" s="132" t="s">
        <v>5164</v>
      </c>
      <c r="F39" s="179">
        <v>9820712107</v>
      </c>
      <c r="G39" s="179" t="s">
        <v>5165</v>
      </c>
      <c r="H39" s="179" t="s">
        <v>529</v>
      </c>
      <c r="I39" s="131"/>
      <c r="J39" s="131"/>
      <c r="K39" s="337"/>
      <c r="L39" s="265">
        <v>45843</v>
      </c>
      <c r="M39" s="265">
        <v>46177</v>
      </c>
      <c r="N39" s="179">
        <v>11</v>
      </c>
      <c r="O39" s="179"/>
      <c r="P39" s="131" t="s">
        <v>195</v>
      </c>
      <c r="Q39" s="131"/>
      <c r="R39" s="179"/>
      <c r="S39" s="131" t="s">
        <v>5166</v>
      </c>
      <c r="T39" s="131"/>
      <c r="U39" s="179" t="s">
        <v>513</v>
      </c>
      <c r="V39" s="219" t="s">
        <v>513</v>
      </c>
      <c r="W39" s="219" t="s">
        <v>513</v>
      </c>
    </row>
    <row r="40" spans="1:23" s="161" customFormat="1" ht="30.75">
      <c r="A40" s="139">
        <v>39</v>
      </c>
      <c r="B40" s="139"/>
      <c r="C40" s="141"/>
      <c r="D40" s="137" t="s">
        <v>5167</v>
      </c>
      <c r="E40" s="145" t="s">
        <v>1086</v>
      </c>
      <c r="F40" s="139"/>
      <c r="G40" s="139"/>
      <c r="H40" s="139"/>
      <c r="I40" s="133"/>
      <c r="J40" s="133"/>
      <c r="K40" s="185"/>
      <c r="L40" s="146"/>
      <c r="M40" s="146"/>
      <c r="N40" s="139"/>
      <c r="O40" s="139"/>
      <c r="P40" s="133"/>
      <c r="Q40" s="133"/>
      <c r="R40" s="139"/>
      <c r="S40" s="133"/>
      <c r="T40" s="133"/>
      <c r="U40" s="139"/>
    </row>
    <row r="41" spans="1:23" s="161" customFormat="1" ht="76.5">
      <c r="A41" s="139">
        <v>40</v>
      </c>
      <c r="B41" s="139"/>
      <c r="C41" s="145" t="s">
        <v>5168</v>
      </c>
      <c r="D41" s="137" t="s">
        <v>5169</v>
      </c>
      <c r="E41" s="145" t="s">
        <v>5170</v>
      </c>
      <c r="F41" s="139">
        <v>99551100008</v>
      </c>
      <c r="G41" s="139"/>
      <c r="H41" s="139"/>
      <c r="I41" s="133"/>
      <c r="J41" s="133"/>
      <c r="K41" s="185"/>
      <c r="L41" s="146">
        <v>45849</v>
      </c>
      <c r="M41" s="146">
        <v>46184</v>
      </c>
      <c r="N41" s="139">
        <v>11</v>
      </c>
      <c r="O41" s="139"/>
      <c r="P41" s="133" t="s">
        <v>176</v>
      </c>
      <c r="Q41" s="133"/>
      <c r="R41" s="139"/>
      <c r="S41" s="133" t="s">
        <v>5171</v>
      </c>
      <c r="T41" s="133"/>
      <c r="U41" s="139"/>
    </row>
    <row r="42" spans="1:23" s="161" customFormat="1" ht="60.75">
      <c r="A42" s="133">
        <v>41</v>
      </c>
      <c r="B42" s="139"/>
      <c r="C42" s="141" t="s">
        <v>5172</v>
      </c>
      <c r="D42" s="137" t="s">
        <v>5173</v>
      </c>
      <c r="E42" s="145" t="s">
        <v>5174</v>
      </c>
      <c r="F42" s="139"/>
      <c r="G42" s="139" t="s">
        <v>5175</v>
      </c>
      <c r="H42" s="139"/>
      <c r="I42" s="133"/>
      <c r="J42" s="133"/>
      <c r="K42" s="194"/>
      <c r="L42" s="146"/>
      <c r="M42" s="146"/>
      <c r="N42" s="139">
        <v>11</v>
      </c>
      <c r="O42" s="139"/>
      <c r="P42" s="133" t="s">
        <v>195</v>
      </c>
      <c r="Q42" s="133"/>
      <c r="R42" s="139" t="s">
        <v>5176</v>
      </c>
      <c r="S42" s="133" t="s">
        <v>5177</v>
      </c>
      <c r="T42" s="133"/>
      <c r="U42" s="139"/>
    </row>
    <row r="43" spans="1:23" s="161" customFormat="1" ht="60.75">
      <c r="A43" s="133">
        <v>42</v>
      </c>
      <c r="B43" s="139"/>
      <c r="C43" s="141"/>
      <c r="D43" s="137" t="s">
        <v>5178</v>
      </c>
      <c r="E43" s="145" t="s">
        <v>5179</v>
      </c>
      <c r="F43" s="139"/>
      <c r="G43" s="139" t="s">
        <v>5180</v>
      </c>
      <c r="H43" s="139"/>
      <c r="I43" s="133"/>
      <c r="J43" s="133"/>
      <c r="K43" s="185"/>
      <c r="L43" s="146">
        <v>45847</v>
      </c>
      <c r="M43" s="146">
        <v>46181</v>
      </c>
      <c r="N43" s="139">
        <v>11</v>
      </c>
      <c r="O43" s="139"/>
      <c r="P43" s="133" t="s">
        <v>195</v>
      </c>
      <c r="Q43" s="133"/>
      <c r="R43" s="139"/>
      <c r="S43" s="133" t="s">
        <v>5181</v>
      </c>
      <c r="T43" s="133"/>
      <c r="U43" s="139"/>
    </row>
    <row r="44" spans="1:23" s="219" customFormat="1" ht="76.5">
      <c r="A44" s="179">
        <v>43</v>
      </c>
      <c r="B44" s="179"/>
      <c r="C44" s="198" t="s">
        <v>5182</v>
      </c>
      <c r="D44" s="323" t="s">
        <v>5183</v>
      </c>
      <c r="E44" s="132" t="s">
        <v>5184</v>
      </c>
      <c r="F44" s="179">
        <v>9892191768</v>
      </c>
      <c r="G44" s="179" t="s">
        <v>5185</v>
      </c>
      <c r="H44" s="179" t="s">
        <v>529</v>
      </c>
      <c r="I44" s="131" t="s">
        <v>5186</v>
      </c>
      <c r="J44" s="131" t="s">
        <v>5187</v>
      </c>
      <c r="K44" s="337">
        <v>9310953621</v>
      </c>
      <c r="L44" s="265">
        <v>45849</v>
      </c>
      <c r="M44" s="265">
        <v>46184</v>
      </c>
      <c r="N44" s="179">
        <v>11</v>
      </c>
      <c r="O44" s="179"/>
      <c r="P44" s="131" t="s">
        <v>195</v>
      </c>
      <c r="Q44" s="131"/>
      <c r="R44" s="179"/>
      <c r="S44" s="131" t="s">
        <v>5188</v>
      </c>
      <c r="T44" s="131"/>
      <c r="U44" s="179" t="s">
        <v>513</v>
      </c>
    </row>
    <row r="45" spans="1:23" s="161" customFormat="1" ht="60.75">
      <c r="A45" s="139">
        <v>44</v>
      </c>
      <c r="B45" s="139"/>
      <c r="C45" s="141" t="s">
        <v>5189</v>
      </c>
      <c r="D45" s="137" t="s">
        <v>5190</v>
      </c>
      <c r="E45" s="147" t="s">
        <v>5191</v>
      </c>
      <c r="F45" s="139">
        <v>9895774552</v>
      </c>
      <c r="G45" s="139" t="s">
        <v>5192</v>
      </c>
      <c r="H45" s="139" t="s">
        <v>202</v>
      </c>
      <c r="I45" s="133" t="s">
        <v>5193</v>
      </c>
      <c r="J45" s="133" t="s">
        <v>5194</v>
      </c>
      <c r="K45" s="138">
        <v>9311445271</v>
      </c>
      <c r="L45" s="146">
        <v>45854</v>
      </c>
      <c r="M45" s="146">
        <v>46189</v>
      </c>
      <c r="N45" s="139">
        <v>11</v>
      </c>
      <c r="O45" s="139"/>
      <c r="P45" s="133" t="s">
        <v>176</v>
      </c>
      <c r="Q45" s="133"/>
      <c r="R45" s="139"/>
      <c r="S45" s="133" t="s">
        <v>5195</v>
      </c>
      <c r="T45" s="133"/>
      <c r="U45" s="139"/>
    </row>
    <row r="46" spans="1:23" s="161" customFormat="1" ht="76.5">
      <c r="A46" s="133">
        <v>45</v>
      </c>
      <c r="B46" s="139"/>
      <c r="C46" s="145" t="s">
        <v>5196</v>
      </c>
      <c r="D46" s="137" t="s">
        <v>5197</v>
      </c>
      <c r="E46" s="147" t="s">
        <v>5198</v>
      </c>
      <c r="F46" s="139">
        <v>6307257457</v>
      </c>
      <c r="G46" s="139" t="s">
        <v>5199</v>
      </c>
      <c r="H46" s="133" t="s">
        <v>241</v>
      </c>
      <c r="I46" s="133" t="s">
        <v>5200</v>
      </c>
      <c r="J46" s="133" t="s">
        <v>4977</v>
      </c>
      <c r="K46" s="138">
        <v>7703887096</v>
      </c>
      <c r="L46" s="146">
        <v>45852</v>
      </c>
      <c r="M46" s="146">
        <v>46187</v>
      </c>
      <c r="N46" s="139">
        <v>11</v>
      </c>
      <c r="O46" s="139"/>
      <c r="P46" s="133" t="s">
        <v>195</v>
      </c>
      <c r="Q46" s="133"/>
      <c r="R46" s="139"/>
      <c r="S46" s="133" t="s">
        <v>5201</v>
      </c>
      <c r="T46" s="133"/>
      <c r="U46" s="139"/>
    </row>
    <row r="47" spans="1:23" s="161" customFormat="1" ht="76.5">
      <c r="A47" s="133">
        <v>46</v>
      </c>
      <c r="B47" s="139"/>
      <c r="C47" s="145" t="s">
        <v>5202</v>
      </c>
      <c r="D47" s="137" t="s">
        <v>5203</v>
      </c>
      <c r="E47" s="147" t="s">
        <v>5204</v>
      </c>
      <c r="F47" s="139">
        <v>9246327435</v>
      </c>
      <c r="G47" s="139" t="s">
        <v>5205</v>
      </c>
      <c r="H47" s="133" t="s">
        <v>3085</v>
      </c>
      <c r="I47" s="133" t="s">
        <v>5193</v>
      </c>
      <c r="J47" s="133" t="s">
        <v>5194</v>
      </c>
      <c r="K47" s="138">
        <v>9311445271</v>
      </c>
      <c r="L47" s="146">
        <v>45850</v>
      </c>
      <c r="M47" s="146">
        <v>46185</v>
      </c>
      <c r="N47" s="139">
        <v>11</v>
      </c>
      <c r="O47" s="139"/>
      <c r="P47" s="133" t="s">
        <v>195</v>
      </c>
      <c r="Q47" s="133"/>
      <c r="R47" s="139"/>
      <c r="S47" s="133" t="s">
        <v>5206</v>
      </c>
      <c r="T47" s="133"/>
      <c r="U47" s="139"/>
    </row>
    <row r="48" spans="1:23" s="161" customFormat="1" ht="60.75">
      <c r="A48" s="139">
        <v>47</v>
      </c>
      <c r="B48" s="139"/>
      <c r="C48" s="141" t="s">
        <v>5207</v>
      </c>
      <c r="D48" s="137" t="s">
        <v>5208</v>
      </c>
      <c r="E48" s="147" t="s">
        <v>5209</v>
      </c>
      <c r="F48" s="139">
        <v>9625779954</v>
      </c>
      <c r="G48" s="139" t="s">
        <v>5210</v>
      </c>
      <c r="H48" s="139" t="s">
        <v>194</v>
      </c>
      <c r="I48" s="133" t="s">
        <v>5211</v>
      </c>
      <c r="J48" s="133" t="s">
        <v>5187</v>
      </c>
      <c r="K48" s="138" t="s">
        <v>5212</v>
      </c>
      <c r="L48" s="146">
        <v>45854</v>
      </c>
      <c r="M48" s="146">
        <v>46189</v>
      </c>
      <c r="N48" s="139">
        <v>11</v>
      </c>
      <c r="O48" s="139"/>
      <c r="P48" s="133" t="s">
        <v>195</v>
      </c>
      <c r="Q48" s="133"/>
      <c r="R48" s="139"/>
      <c r="S48" s="133" t="s">
        <v>5213</v>
      </c>
      <c r="T48" s="133"/>
      <c r="U48" s="139"/>
    </row>
    <row r="49" spans="1:22" s="161" customFormat="1" ht="183">
      <c r="A49" s="139">
        <v>48</v>
      </c>
      <c r="B49" s="139"/>
      <c r="C49" s="141"/>
      <c r="D49" s="137" t="s">
        <v>5214</v>
      </c>
      <c r="E49" s="147" t="s">
        <v>5215</v>
      </c>
      <c r="F49" s="139" t="s">
        <v>5216</v>
      </c>
      <c r="G49" s="139" t="s">
        <v>5217</v>
      </c>
      <c r="H49" s="139"/>
      <c r="I49" s="139"/>
      <c r="J49" s="133"/>
      <c r="K49" s="138"/>
      <c r="L49" s="146">
        <v>45859</v>
      </c>
      <c r="M49" s="146">
        <v>46194</v>
      </c>
      <c r="N49" s="139">
        <v>11</v>
      </c>
      <c r="O49" s="139"/>
      <c r="P49" s="133" t="s">
        <v>195</v>
      </c>
      <c r="Q49" s="133"/>
      <c r="R49" s="139"/>
      <c r="S49" s="133" t="s">
        <v>5218</v>
      </c>
      <c r="T49" s="133"/>
      <c r="U49" s="139"/>
    </row>
    <row r="50" spans="1:22" s="161" customFormat="1" ht="45.75">
      <c r="A50" s="133">
        <v>49</v>
      </c>
      <c r="B50" s="139"/>
      <c r="C50" s="141" t="s">
        <v>5219</v>
      </c>
      <c r="D50" s="137" t="s">
        <v>5220</v>
      </c>
      <c r="E50" s="147" t="s">
        <v>5221</v>
      </c>
      <c r="F50" s="139">
        <v>9635238543</v>
      </c>
      <c r="G50" s="139" t="s">
        <v>5222</v>
      </c>
      <c r="H50" s="139" t="s">
        <v>303</v>
      </c>
      <c r="I50" s="139"/>
      <c r="J50" s="133"/>
      <c r="K50" s="138"/>
      <c r="L50" s="146">
        <v>45855</v>
      </c>
      <c r="M50" s="146">
        <v>46190</v>
      </c>
      <c r="N50" s="139">
        <v>11</v>
      </c>
      <c r="O50" s="139"/>
      <c r="P50" s="133" t="s">
        <v>195</v>
      </c>
      <c r="Q50" s="133"/>
      <c r="R50" s="139"/>
      <c r="S50" s="133" t="s">
        <v>5223</v>
      </c>
      <c r="T50" s="133" t="s">
        <v>5224</v>
      </c>
      <c r="U50" s="139"/>
    </row>
    <row r="51" spans="1:22" s="219" customFormat="1" ht="76.5">
      <c r="A51" s="179">
        <v>51</v>
      </c>
      <c r="B51" s="179"/>
      <c r="C51" s="132" t="s">
        <v>5225</v>
      </c>
      <c r="D51" s="323" t="s">
        <v>5226</v>
      </c>
      <c r="E51" s="196" t="s">
        <v>5227</v>
      </c>
      <c r="F51" s="179">
        <v>9959937741</v>
      </c>
      <c r="G51" s="179" t="s">
        <v>5228</v>
      </c>
      <c r="H51" s="179" t="s">
        <v>5229</v>
      </c>
      <c r="I51" s="131" t="s">
        <v>5230</v>
      </c>
      <c r="J51" s="131" t="s">
        <v>4977</v>
      </c>
      <c r="K51" s="264">
        <v>9910556824</v>
      </c>
      <c r="L51" s="265">
        <v>45857</v>
      </c>
      <c r="M51" s="265">
        <v>46192</v>
      </c>
      <c r="N51" s="179">
        <v>11</v>
      </c>
      <c r="O51" s="179"/>
      <c r="P51" s="131" t="s">
        <v>195</v>
      </c>
      <c r="Q51" s="131"/>
      <c r="R51" s="179"/>
      <c r="S51" s="131" t="s">
        <v>5231</v>
      </c>
      <c r="T51" s="131"/>
      <c r="U51" s="179" t="s">
        <v>1714</v>
      </c>
      <c r="V51" s="219" t="s">
        <v>513</v>
      </c>
    </row>
    <row r="52" spans="1:22" s="161" customFormat="1" ht="45.75">
      <c r="A52" s="139">
        <v>52</v>
      </c>
      <c r="B52" s="139"/>
      <c r="C52" s="145" t="s">
        <v>5232</v>
      </c>
      <c r="D52" s="137" t="s">
        <v>5233</v>
      </c>
      <c r="E52" s="147" t="s">
        <v>5234</v>
      </c>
      <c r="F52" s="139">
        <v>7337457252</v>
      </c>
      <c r="G52" s="139" t="s">
        <v>5235</v>
      </c>
      <c r="H52" s="139" t="s">
        <v>1737</v>
      </c>
      <c r="I52" s="133" t="s">
        <v>5236</v>
      </c>
      <c r="J52" s="133"/>
      <c r="K52" s="138"/>
      <c r="L52" s="146">
        <v>45860</v>
      </c>
      <c r="M52" s="146">
        <v>46195</v>
      </c>
      <c r="N52" s="139">
        <v>11</v>
      </c>
      <c r="O52" s="139"/>
      <c r="P52" s="133" t="s">
        <v>195</v>
      </c>
      <c r="Q52" s="133"/>
      <c r="R52" s="139"/>
      <c r="S52" s="133" t="s">
        <v>5237</v>
      </c>
      <c r="T52" s="133"/>
      <c r="U52" s="139"/>
    </row>
    <row r="53" spans="1:22" s="161" customFormat="1" ht="45.75">
      <c r="A53" s="133">
        <v>53</v>
      </c>
      <c r="B53" s="139"/>
      <c r="C53" s="145" t="s">
        <v>5238</v>
      </c>
      <c r="D53" s="331" t="s">
        <v>5239</v>
      </c>
      <c r="E53" s="147" t="s">
        <v>5240</v>
      </c>
      <c r="F53" s="139"/>
      <c r="G53" s="139" t="s">
        <v>5241</v>
      </c>
      <c r="H53" s="139" t="s">
        <v>416</v>
      </c>
      <c r="I53" s="139"/>
      <c r="J53" s="133"/>
      <c r="K53" s="138"/>
      <c r="L53" s="146"/>
      <c r="M53" s="146"/>
      <c r="N53" s="139"/>
      <c r="O53" s="139"/>
      <c r="P53" s="133" t="s">
        <v>176</v>
      </c>
      <c r="Q53" s="133"/>
      <c r="R53" s="139" t="s">
        <v>316</v>
      </c>
      <c r="S53" s="133" t="s">
        <v>5242</v>
      </c>
      <c r="T53" s="133"/>
      <c r="U53" s="139"/>
    </row>
    <row r="54" spans="1:22" s="161" customFormat="1" ht="76.5">
      <c r="A54" s="133">
        <v>54</v>
      </c>
      <c r="B54" s="139"/>
      <c r="C54" s="145" t="s">
        <v>5243</v>
      </c>
      <c r="D54" s="137" t="s">
        <v>5244</v>
      </c>
      <c r="E54" s="147" t="s">
        <v>5245</v>
      </c>
      <c r="F54" s="139">
        <v>9392399152</v>
      </c>
      <c r="G54" s="139" t="s">
        <v>5246</v>
      </c>
      <c r="H54" s="139" t="s">
        <v>5229</v>
      </c>
      <c r="I54" s="133" t="s">
        <v>5186</v>
      </c>
      <c r="J54" s="133" t="s">
        <v>5187</v>
      </c>
      <c r="K54" s="185">
        <v>9310953621</v>
      </c>
      <c r="L54" s="146">
        <v>45868</v>
      </c>
      <c r="M54" s="146">
        <v>46203</v>
      </c>
      <c r="N54" s="139">
        <v>11</v>
      </c>
      <c r="O54" s="139"/>
      <c r="P54" s="133" t="s">
        <v>195</v>
      </c>
      <c r="Q54" s="133"/>
      <c r="R54" s="139"/>
      <c r="S54" s="133" t="s">
        <v>5247</v>
      </c>
      <c r="T54" s="133"/>
      <c r="U54" s="139"/>
    </row>
    <row r="55" spans="1:22" s="161" customFormat="1" ht="60.75">
      <c r="A55" s="139">
        <v>55</v>
      </c>
      <c r="B55" s="139"/>
      <c r="C55" s="145" t="s">
        <v>5248</v>
      </c>
      <c r="D55" s="137" t="s">
        <v>5249</v>
      </c>
      <c r="E55" s="147" t="s">
        <v>5250</v>
      </c>
      <c r="F55" s="139">
        <v>9895284743</v>
      </c>
      <c r="G55" s="133" t="s">
        <v>5251</v>
      </c>
      <c r="H55" s="139"/>
      <c r="I55" s="133" t="s">
        <v>5211</v>
      </c>
      <c r="J55" s="133" t="s">
        <v>5187</v>
      </c>
      <c r="K55" s="138" t="s">
        <v>5212</v>
      </c>
      <c r="L55" s="146"/>
      <c r="M55" s="146"/>
      <c r="N55" s="139">
        <v>11</v>
      </c>
      <c r="O55" s="139"/>
      <c r="P55" s="133" t="s">
        <v>195</v>
      </c>
      <c r="Q55" s="133"/>
      <c r="R55" s="139" t="s">
        <v>5252</v>
      </c>
      <c r="S55" s="133" t="s">
        <v>5253</v>
      </c>
      <c r="T55" s="133"/>
      <c r="U55" s="139"/>
    </row>
    <row r="56" spans="1:22" s="161" customFormat="1" ht="60.75">
      <c r="A56" s="139">
        <v>56</v>
      </c>
      <c r="B56" s="139"/>
      <c r="C56" s="141" t="s">
        <v>5254</v>
      </c>
      <c r="D56" s="137" t="s">
        <v>5255</v>
      </c>
      <c r="E56" s="147" t="s">
        <v>5256</v>
      </c>
      <c r="F56" s="139">
        <v>8700672289</v>
      </c>
      <c r="G56" s="139" t="s">
        <v>5257</v>
      </c>
      <c r="H56" s="139"/>
      <c r="I56" s="133" t="s">
        <v>5211</v>
      </c>
      <c r="J56" s="133" t="s">
        <v>5187</v>
      </c>
      <c r="K56" s="138" t="s">
        <v>5212</v>
      </c>
      <c r="L56" s="146">
        <v>45869</v>
      </c>
      <c r="M56" s="146">
        <v>46203</v>
      </c>
      <c r="N56" s="139">
        <v>11</v>
      </c>
      <c r="O56" s="139"/>
      <c r="P56" s="133" t="s">
        <v>195</v>
      </c>
      <c r="Q56" s="133"/>
      <c r="R56" s="139"/>
      <c r="S56" s="133" t="s">
        <v>5258</v>
      </c>
      <c r="T56" s="133"/>
      <c r="U56" s="139"/>
    </row>
    <row r="57" spans="1:22" s="161" customFormat="1" ht="106.5">
      <c r="A57" s="133">
        <v>57</v>
      </c>
      <c r="B57" s="139"/>
      <c r="C57" s="141" t="s">
        <v>5259</v>
      </c>
      <c r="D57" s="137" t="s">
        <v>5260</v>
      </c>
      <c r="E57" s="147" t="s">
        <v>5261</v>
      </c>
      <c r="F57" s="139"/>
      <c r="G57" s="139" t="s">
        <v>5262</v>
      </c>
      <c r="H57" s="139"/>
      <c r="I57" s="133" t="s">
        <v>5236</v>
      </c>
      <c r="J57" s="133"/>
      <c r="K57" s="138"/>
      <c r="L57" s="146">
        <v>45868</v>
      </c>
      <c r="M57" s="146">
        <v>46203</v>
      </c>
      <c r="N57" s="139">
        <v>11</v>
      </c>
      <c r="O57" s="139"/>
      <c r="P57" s="133" t="s">
        <v>176</v>
      </c>
      <c r="Q57" s="133"/>
      <c r="R57" s="139"/>
      <c r="S57" s="133" t="s">
        <v>5263</v>
      </c>
      <c r="T57" s="133" t="s">
        <v>5264</v>
      </c>
      <c r="U57" s="139"/>
    </row>
    <row r="58" spans="1:22" s="161" customFormat="1" ht="91.5">
      <c r="A58" s="133">
        <v>58</v>
      </c>
      <c r="B58" s="139" t="s">
        <v>227</v>
      </c>
      <c r="C58" s="145" t="s">
        <v>5265</v>
      </c>
      <c r="D58" s="137" t="s">
        <v>5266</v>
      </c>
      <c r="E58" s="147" t="s">
        <v>5267</v>
      </c>
      <c r="F58" s="139">
        <v>9899190649</v>
      </c>
      <c r="G58" s="133" t="s">
        <v>5268</v>
      </c>
      <c r="H58" s="139" t="s">
        <v>194</v>
      </c>
      <c r="I58" s="133" t="s">
        <v>5211</v>
      </c>
      <c r="J58" s="133" t="s">
        <v>5187</v>
      </c>
      <c r="K58" s="138">
        <v>8448243983</v>
      </c>
      <c r="L58" s="146">
        <v>45880</v>
      </c>
      <c r="M58" s="146">
        <v>46244</v>
      </c>
      <c r="N58" s="139">
        <v>11</v>
      </c>
      <c r="O58" s="139"/>
      <c r="P58" s="133" t="s">
        <v>195</v>
      </c>
      <c r="Q58" s="133"/>
      <c r="R58" s="139"/>
      <c r="S58" s="133" t="s">
        <v>5269</v>
      </c>
      <c r="T58" s="133"/>
      <c r="U58" s="139"/>
    </row>
    <row r="59" spans="1:22" s="219" customFormat="1" ht="137.25">
      <c r="A59" s="131">
        <v>59</v>
      </c>
      <c r="B59" s="179" t="s">
        <v>227</v>
      </c>
      <c r="C59" s="132" t="s">
        <v>5270</v>
      </c>
      <c r="D59" s="323" t="s">
        <v>5271</v>
      </c>
      <c r="E59" s="196" t="s">
        <v>5272</v>
      </c>
      <c r="F59" s="179"/>
      <c r="G59" s="179" t="s">
        <v>5273</v>
      </c>
      <c r="H59" s="179" t="s">
        <v>194</v>
      </c>
      <c r="I59" s="179" t="s">
        <v>3700</v>
      </c>
      <c r="J59" s="131" t="s">
        <v>4977</v>
      </c>
      <c r="K59" s="264">
        <v>7703887096</v>
      </c>
      <c r="L59" s="265"/>
      <c r="M59" s="265"/>
      <c r="N59" s="179">
        <v>11</v>
      </c>
      <c r="O59" s="179"/>
      <c r="P59" s="131" t="s">
        <v>176</v>
      </c>
      <c r="Q59" s="131"/>
      <c r="R59" s="131" t="s">
        <v>5274</v>
      </c>
      <c r="S59" s="131" t="s">
        <v>5275</v>
      </c>
      <c r="T59" s="131" t="s">
        <v>279</v>
      </c>
      <c r="U59" s="179"/>
    </row>
    <row r="60" spans="1:22" s="161" customFormat="1" ht="91.5">
      <c r="A60" s="133">
        <v>60</v>
      </c>
      <c r="B60" s="139" t="s">
        <v>227</v>
      </c>
      <c r="C60" s="145" t="s">
        <v>5276</v>
      </c>
      <c r="D60" s="137" t="s">
        <v>5277</v>
      </c>
      <c r="E60" s="147" t="s">
        <v>5278</v>
      </c>
      <c r="F60" s="139">
        <v>8778016583</v>
      </c>
      <c r="G60" s="139" t="s">
        <v>5279</v>
      </c>
      <c r="H60" s="139" t="s">
        <v>5280</v>
      </c>
      <c r="I60" s="139" t="s">
        <v>5186</v>
      </c>
      <c r="J60" s="133" t="s">
        <v>5187</v>
      </c>
      <c r="K60" s="138">
        <v>9310953621</v>
      </c>
      <c r="L60" s="146">
        <v>45891</v>
      </c>
      <c r="M60" s="146">
        <v>46225</v>
      </c>
      <c r="N60" s="139">
        <v>11</v>
      </c>
      <c r="O60" s="139"/>
      <c r="P60" s="133" t="s">
        <v>195</v>
      </c>
      <c r="Q60" s="133"/>
      <c r="R60" s="139"/>
      <c r="S60" s="133" t="s">
        <v>5281</v>
      </c>
      <c r="T60" s="133"/>
      <c r="U60" s="139"/>
    </row>
    <row r="61" spans="1:22" s="161" customFormat="1" ht="60.75">
      <c r="A61" s="133">
        <v>61</v>
      </c>
      <c r="B61" s="139" t="s">
        <v>227</v>
      </c>
      <c r="C61" s="141" t="s">
        <v>5282</v>
      </c>
      <c r="D61" s="137" t="s">
        <v>5283</v>
      </c>
      <c r="E61" s="147" t="s">
        <v>5284</v>
      </c>
      <c r="F61" s="139">
        <v>7044079906</v>
      </c>
      <c r="G61" s="139" t="s">
        <v>5285</v>
      </c>
      <c r="H61" s="139" t="s">
        <v>677</v>
      </c>
      <c r="I61" s="139" t="s">
        <v>3700</v>
      </c>
      <c r="J61" s="133" t="s">
        <v>4977</v>
      </c>
      <c r="K61" s="138">
        <v>7703887096</v>
      </c>
      <c r="L61" s="146">
        <v>45883</v>
      </c>
      <c r="M61" s="146">
        <v>45852</v>
      </c>
      <c r="N61" s="139">
        <v>11</v>
      </c>
      <c r="O61" s="139"/>
      <c r="P61" s="133" t="s">
        <v>3938</v>
      </c>
      <c r="Q61" s="133"/>
      <c r="R61" s="139"/>
      <c r="S61" s="133" t="s">
        <v>5286</v>
      </c>
      <c r="T61" s="133"/>
      <c r="U61" s="139"/>
    </row>
    <row r="62" spans="1:22" s="161" customFormat="1" ht="45.75">
      <c r="A62" s="133">
        <v>62</v>
      </c>
      <c r="B62" s="139" t="s">
        <v>227</v>
      </c>
      <c r="C62" s="141" t="s">
        <v>5287</v>
      </c>
      <c r="D62" s="137" t="s">
        <v>5288</v>
      </c>
      <c r="E62" s="147" t="s">
        <v>5289</v>
      </c>
      <c r="F62" s="139">
        <v>8136992254</v>
      </c>
      <c r="G62" s="139" t="s">
        <v>5290</v>
      </c>
      <c r="H62" s="139" t="s">
        <v>202</v>
      </c>
      <c r="I62" s="139" t="s">
        <v>5211</v>
      </c>
      <c r="J62" s="133" t="s">
        <v>5187</v>
      </c>
      <c r="K62" s="138">
        <v>8448243983</v>
      </c>
      <c r="L62" s="146">
        <v>45890</v>
      </c>
      <c r="M62" s="146">
        <v>46224</v>
      </c>
      <c r="N62" s="139">
        <v>11</v>
      </c>
      <c r="O62" s="139"/>
      <c r="P62" s="133" t="s">
        <v>195</v>
      </c>
      <c r="Q62" s="133"/>
      <c r="R62" s="139"/>
      <c r="S62" s="133" t="s">
        <v>5291</v>
      </c>
      <c r="T62" s="133"/>
      <c r="U62" s="139"/>
    </row>
    <row r="63" spans="1:22" s="161" customFormat="1" ht="60.75">
      <c r="A63" s="133">
        <v>63</v>
      </c>
      <c r="B63" s="139" t="s">
        <v>227</v>
      </c>
      <c r="C63" s="141" t="s">
        <v>5292</v>
      </c>
      <c r="D63" s="137" t="s">
        <v>5293</v>
      </c>
      <c r="E63" s="147" t="s">
        <v>5294</v>
      </c>
      <c r="F63" s="139"/>
      <c r="G63" s="139" t="s">
        <v>5295</v>
      </c>
      <c r="H63" s="139" t="s">
        <v>684</v>
      </c>
      <c r="I63" s="139" t="s">
        <v>5296</v>
      </c>
      <c r="J63" s="133" t="s">
        <v>4977</v>
      </c>
      <c r="K63" s="138">
        <v>8130554459</v>
      </c>
      <c r="L63" s="146">
        <v>45890</v>
      </c>
      <c r="M63" s="146">
        <v>46224</v>
      </c>
      <c r="N63" s="139">
        <v>11</v>
      </c>
      <c r="O63" s="139"/>
      <c r="P63" s="133" t="s">
        <v>176</v>
      </c>
      <c r="Q63" s="133"/>
      <c r="R63" s="139"/>
      <c r="S63" s="133" t="s">
        <v>5297</v>
      </c>
      <c r="T63" s="133"/>
      <c r="U63" s="139"/>
    </row>
    <row r="64" spans="1:22" s="219" customFormat="1" ht="45.75">
      <c r="A64" s="131">
        <v>64</v>
      </c>
      <c r="B64" s="179" t="s">
        <v>227</v>
      </c>
      <c r="C64" s="198" t="s">
        <v>5298</v>
      </c>
      <c r="D64" s="323" t="s">
        <v>5299</v>
      </c>
      <c r="E64" s="196" t="s">
        <v>5300</v>
      </c>
      <c r="F64" s="179"/>
      <c r="G64" s="179" t="s">
        <v>5301</v>
      </c>
      <c r="H64" s="179" t="s">
        <v>194</v>
      </c>
      <c r="I64" s="179" t="s">
        <v>5186</v>
      </c>
      <c r="J64" s="131" t="s">
        <v>5187</v>
      </c>
      <c r="K64" s="264">
        <v>9310953621</v>
      </c>
      <c r="L64" s="265"/>
      <c r="M64" s="265"/>
      <c r="N64" s="179">
        <v>11</v>
      </c>
      <c r="O64" s="179"/>
      <c r="P64" s="131" t="s">
        <v>195</v>
      </c>
      <c r="Q64" s="131"/>
      <c r="R64" s="179" t="s">
        <v>5302</v>
      </c>
      <c r="S64" s="131" t="s">
        <v>5303</v>
      </c>
      <c r="T64" s="131"/>
      <c r="U64" s="179" t="s">
        <v>513</v>
      </c>
    </row>
    <row r="65" spans="1:21" s="161" customFormat="1" ht="45.75">
      <c r="A65" s="133">
        <v>65</v>
      </c>
      <c r="B65" s="139" t="s">
        <v>1789</v>
      </c>
      <c r="C65" s="141" t="s">
        <v>5304</v>
      </c>
      <c r="D65" s="137" t="s">
        <v>5305</v>
      </c>
      <c r="E65" s="147" t="s">
        <v>5306</v>
      </c>
      <c r="F65" s="139">
        <v>9972845378</v>
      </c>
      <c r="G65" s="139" t="s">
        <v>5307</v>
      </c>
      <c r="H65" s="139" t="s">
        <v>5308</v>
      </c>
      <c r="I65" s="139" t="s">
        <v>3700</v>
      </c>
      <c r="J65" s="133" t="s">
        <v>4977</v>
      </c>
      <c r="K65" s="138">
        <v>7703887096</v>
      </c>
      <c r="L65" s="146">
        <v>45894</v>
      </c>
      <c r="M65" s="146">
        <v>46228</v>
      </c>
      <c r="N65" s="139">
        <v>11</v>
      </c>
      <c r="O65" s="139"/>
      <c r="P65" s="133" t="s">
        <v>176</v>
      </c>
      <c r="Q65" s="133"/>
      <c r="R65" s="139"/>
      <c r="S65" s="133" t="s">
        <v>5309</v>
      </c>
      <c r="T65" s="133"/>
      <c r="U65" s="139"/>
    </row>
    <row r="66" spans="1:21" s="161" customFormat="1" ht="45.75">
      <c r="A66" s="133">
        <v>66</v>
      </c>
      <c r="B66" s="139" t="s">
        <v>227</v>
      </c>
      <c r="C66" s="141" t="s">
        <v>5310</v>
      </c>
      <c r="D66" s="137" t="s">
        <v>5311</v>
      </c>
      <c r="E66" s="147" t="s">
        <v>5312</v>
      </c>
      <c r="F66" s="139">
        <v>9606953100</v>
      </c>
      <c r="G66" s="139" t="s">
        <v>5313</v>
      </c>
      <c r="H66" s="139" t="s">
        <v>1737</v>
      </c>
      <c r="I66" s="139" t="s">
        <v>3700</v>
      </c>
      <c r="J66" s="133" t="s">
        <v>4977</v>
      </c>
      <c r="K66" s="138">
        <v>7703887096</v>
      </c>
      <c r="L66" s="146">
        <v>45897</v>
      </c>
      <c r="M66" s="146">
        <v>46231</v>
      </c>
      <c r="N66" s="139">
        <v>11</v>
      </c>
      <c r="O66" s="139"/>
      <c r="P66" s="133" t="s">
        <v>195</v>
      </c>
      <c r="Q66" s="133"/>
      <c r="R66" s="139"/>
      <c r="S66" s="133" t="s">
        <v>5314</v>
      </c>
      <c r="T66" s="133" t="s">
        <v>5315</v>
      </c>
      <c r="U66" s="139"/>
    </row>
    <row r="67" spans="1:21" s="161" customFormat="1" ht="45.75">
      <c r="A67" s="133">
        <v>67</v>
      </c>
      <c r="B67" s="139" t="s">
        <v>227</v>
      </c>
      <c r="C67" s="141" t="s">
        <v>5316</v>
      </c>
      <c r="D67" s="137" t="s">
        <v>5317</v>
      </c>
      <c r="E67" s="147" t="s">
        <v>5318</v>
      </c>
      <c r="F67" s="139">
        <v>9811110690</v>
      </c>
      <c r="G67" s="139" t="s">
        <v>5319</v>
      </c>
      <c r="H67" s="139" t="s">
        <v>194</v>
      </c>
      <c r="I67" s="139" t="s">
        <v>5186</v>
      </c>
      <c r="J67" s="133" t="s">
        <v>5187</v>
      </c>
      <c r="K67" s="138">
        <v>9310953621</v>
      </c>
      <c r="L67" s="146">
        <v>45902</v>
      </c>
      <c r="M67" s="146">
        <v>46236</v>
      </c>
      <c r="N67" s="139">
        <v>11</v>
      </c>
      <c r="O67" s="139"/>
      <c r="P67" s="133" t="s">
        <v>195</v>
      </c>
      <c r="Q67" s="133"/>
      <c r="R67" s="139"/>
      <c r="S67" s="133" t="s">
        <v>5320</v>
      </c>
      <c r="T67" s="133"/>
      <c r="U67" s="139"/>
    </row>
    <row r="68" spans="1:21" s="161" customFormat="1" ht="60.75">
      <c r="A68" s="133">
        <v>68</v>
      </c>
      <c r="B68" s="139" t="s">
        <v>227</v>
      </c>
      <c r="C68" s="145" t="s">
        <v>5321</v>
      </c>
      <c r="D68" s="137" t="s">
        <v>5322</v>
      </c>
      <c r="E68" s="147" t="s">
        <v>5323</v>
      </c>
      <c r="F68" s="139">
        <v>9824104301</v>
      </c>
      <c r="G68" s="139" t="s">
        <v>5324</v>
      </c>
      <c r="H68" s="139" t="s">
        <v>1737</v>
      </c>
      <c r="I68" s="139" t="s">
        <v>5325</v>
      </c>
      <c r="J68" s="133" t="s">
        <v>5326</v>
      </c>
      <c r="K68" s="138">
        <v>7007048982</v>
      </c>
      <c r="L68" s="146">
        <v>45905</v>
      </c>
      <c r="M68" s="146">
        <v>46239</v>
      </c>
      <c r="N68" s="139">
        <v>11</v>
      </c>
      <c r="O68" s="139"/>
      <c r="P68" s="133" t="s">
        <v>176</v>
      </c>
      <c r="Q68" s="133"/>
      <c r="R68" s="139"/>
      <c r="S68" s="133" t="s">
        <v>5327</v>
      </c>
      <c r="T68" s="133"/>
      <c r="U68" s="139"/>
    </row>
    <row r="69" spans="1:21" s="219" customFormat="1" ht="76.5">
      <c r="A69" s="131">
        <v>69</v>
      </c>
      <c r="B69" s="179" t="s">
        <v>227</v>
      </c>
      <c r="C69" s="198" t="s">
        <v>5328</v>
      </c>
      <c r="D69" s="323" t="s">
        <v>5329</v>
      </c>
      <c r="E69" s="196" t="s">
        <v>5330</v>
      </c>
      <c r="F69" s="179"/>
      <c r="G69" s="179" t="s">
        <v>5331</v>
      </c>
      <c r="H69" s="179" t="s">
        <v>1737</v>
      </c>
      <c r="I69" s="179" t="s">
        <v>5332</v>
      </c>
      <c r="J69" s="131" t="s">
        <v>5333</v>
      </c>
      <c r="K69" s="264" t="s">
        <v>5334</v>
      </c>
      <c r="L69" s="265"/>
      <c r="M69" s="265"/>
      <c r="N69" s="179">
        <v>11</v>
      </c>
      <c r="O69" s="179"/>
      <c r="P69" s="131" t="s">
        <v>176</v>
      </c>
      <c r="Q69" s="131"/>
      <c r="R69" s="179" t="s">
        <v>5335</v>
      </c>
      <c r="S69" s="131" t="s">
        <v>5336</v>
      </c>
      <c r="T69" s="131"/>
      <c r="U69" s="179" t="s">
        <v>513</v>
      </c>
    </row>
    <row r="70" spans="1:21" s="161" customFormat="1" ht="45.75">
      <c r="A70" s="133">
        <v>70</v>
      </c>
      <c r="B70" s="139" t="s">
        <v>227</v>
      </c>
      <c r="C70" s="141" t="s">
        <v>5337</v>
      </c>
      <c r="D70" s="137" t="s">
        <v>5338</v>
      </c>
      <c r="E70" s="147" t="s">
        <v>5339</v>
      </c>
      <c r="F70" s="139">
        <v>9811110690</v>
      </c>
      <c r="G70" s="139" t="s">
        <v>5340</v>
      </c>
      <c r="H70" s="139" t="s">
        <v>261</v>
      </c>
      <c r="I70" s="139" t="s">
        <v>5341</v>
      </c>
      <c r="J70" s="133"/>
      <c r="K70" s="138"/>
      <c r="L70" s="146"/>
      <c r="M70" s="146"/>
      <c r="N70" s="139">
        <v>11</v>
      </c>
      <c r="O70" s="139"/>
      <c r="P70" s="133" t="s">
        <v>195</v>
      </c>
      <c r="Q70" s="133"/>
      <c r="R70" s="139" t="s">
        <v>5342</v>
      </c>
      <c r="S70" s="133" t="s">
        <v>5343</v>
      </c>
      <c r="T70" s="133"/>
      <c r="U70" s="139"/>
    </row>
    <row r="71" spans="1:21" s="219" customFormat="1" ht="45.75">
      <c r="A71" s="131">
        <v>71</v>
      </c>
      <c r="B71" s="179" t="s">
        <v>227</v>
      </c>
      <c r="C71" s="198" t="s">
        <v>5344</v>
      </c>
      <c r="D71" s="323" t="s">
        <v>5345</v>
      </c>
      <c r="E71" s="196" t="s">
        <v>4575</v>
      </c>
      <c r="F71" s="179">
        <v>8394064317</v>
      </c>
      <c r="G71" s="179" t="s">
        <v>4576</v>
      </c>
      <c r="H71" s="131" t="s">
        <v>241</v>
      </c>
      <c r="I71" s="179" t="s">
        <v>3700</v>
      </c>
      <c r="J71" s="131" t="s">
        <v>4977</v>
      </c>
      <c r="K71" s="264">
        <v>7703887096</v>
      </c>
      <c r="L71" s="265">
        <v>45903</v>
      </c>
      <c r="M71" s="265">
        <v>46237</v>
      </c>
      <c r="N71" s="179">
        <v>11</v>
      </c>
      <c r="O71" s="179"/>
      <c r="P71" s="131" t="s">
        <v>195</v>
      </c>
      <c r="Q71" s="131"/>
      <c r="R71" s="179"/>
      <c r="S71" s="131" t="s">
        <v>5346</v>
      </c>
      <c r="T71" s="131"/>
      <c r="U71" s="179" t="s">
        <v>513</v>
      </c>
    </row>
    <row r="72" spans="1:21" s="161" customFormat="1" ht="91.5">
      <c r="A72" s="133">
        <v>72</v>
      </c>
      <c r="B72" s="139" t="s">
        <v>227</v>
      </c>
      <c r="C72" s="145" t="s">
        <v>5347</v>
      </c>
      <c r="D72" s="137" t="s">
        <v>5348</v>
      </c>
      <c r="E72" s="147" t="s">
        <v>5349</v>
      </c>
      <c r="F72" s="139">
        <v>9820809527</v>
      </c>
      <c r="G72" s="139" t="s">
        <v>5350</v>
      </c>
      <c r="H72" s="139" t="s">
        <v>696</v>
      </c>
      <c r="I72" s="139" t="s">
        <v>3700</v>
      </c>
      <c r="J72" s="133" t="s">
        <v>4977</v>
      </c>
      <c r="K72" s="138">
        <v>7703887096</v>
      </c>
      <c r="L72" s="146">
        <v>45910</v>
      </c>
      <c r="M72" s="146">
        <v>45878</v>
      </c>
      <c r="N72" s="139">
        <v>11</v>
      </c>
      <c r="O72" s="139"/>
      <c r="P72" s="133" t="s">
        <v>176</v>
      </c>
      <c r="Q72" s="133"/>
      <c r="R72" s="139"/>
      <c r="S72" s="133" t="s">
        <v>5351</v>
      </c>
      <c r="T72" s="133"/>
      <c r="U72" s="139"/>
    </row>
    <row r="73" spans="1:21" s="161" customFormat="1" ht="76.5">
      <c r="A73" s="133">
        <v>73</v>
      </c>
      <c r="B73" s="139" t="s">
        <v>227</v>
      </c>
      <c r="C73" s="141" t="s">
        <v>5352</v>
      </c>
      <c r="D73" s="137" t="s">
        <v>5353</v>
      </c>
      <c r="E73" s="147" t="s">
        <v>5354</v>
      </c>
      <c r="F73" s="139">
        <v>9686107047</v>
      </c>
      <c r="G73" s="139" t="s">
        <v>5355</v>
      </c>
      <c r="H73" s="139" t="s">
        <v>1737</v>
      </c>
      <c r="I73" s="139" t="s">
        <v>5186</v>
      </c>
      <c r="J73" s="133" t="s">
        <v>5187</v>
      </c>
      <c r="K73" s="138">
        <v>9310953621</v>
      </c>
      <c r="L73" s="146">
        <v>45910</v>
      </c>
      <c r="M73" s="146">
        <v>45878</v>
      </c>
      <c r="N73" s="139">
        <v>11</v>
      </c>
      <c r="O73" s="139"/>
      <c r="P73" s="133" t="s">
        <v>176</v>
      </c>
      <c r="Q73" s="133"/>
      <c r="R73" s="139"/>
      <c r="S73" s="133" t="s">
        <v>5356</v>
      </c>
      <c r="T73" s="133"/>
      <c r="U73" s="139"/>
    </row>
    <row r="74" spans="1:21" s="219" customFormat="1" ht="45.75">
      <c r="A74" s="131">
        <v>74</v>
      </c>
      <c r="B74" s="179" t="s">
        <v>227</v>
      </c>
      <c r="C74" s="198" t="s">
        <v>5357</v>
      </c>
      <c r="D74" s="323" t="s">
        <v>5358</v>
      </c>
      <c r="E74" s="196" t="s">
        <v>5359</v>
      </c>
      <c r="F74" s="179">
        <v>9958499555</v>
      </c>
      <c r="G74" s="179" t="s">
        <v>5360</v>
      </c>
      <c r="H74" s="131" t="s">
        <v>241</v>
      </c>
      <c r="I74" s="179" t="s">
        <v>5186</v>
      </c>
      <c r="J74" s="131" t="s">
        <v>5187</v>
      </c>
      <c r="K74" s="264">
        <v>9310953621</v>
      </c>
      <c r="L74" s="265">
        <v>45912</v>
      </c>
      <c r="M74" s="265">
        <v>46246</v>
      </c>
      <c r="N74" s="179">
        <v>11</v>
      </c>
      <c r="O74" s="179"/>
      <c r="P74" s="131" t="s">
        <v>195</v>
      </c>
      <c r="Q74" s="131"/>
      <c r="R74" s="179"/>
      <c r="S74" s="131" t="s">
        <v>5361</v>
      </c>
      <c r="T74" s="131"/>
      <c r="U74" s="179" t="s">
        <v>513</v>
      </c>
    </row>
    <row r="75" spans="1:21" s="161" customFormat="1" ht="76.5">
      <c r="A75" s="133">
        <v>75</v>
      </c>
      <c r="B75" s="139" t="s">
        <v>227</v>
      </c>
      <c r="C75" s="145" t="s">
        <v>5362</v>
      </c>
      <c r="D75" s="137" t="s">
        <v>312</v>
      </c>
      <c r="E75" s="147" t="s">
        <v>5363</v>
      </c>
      <c r="F75" s="139">
        <v>9953040099</v>
      </c>
      <c r="G75" s="139" t="s">
        <v>314</v>
      </c>
      <c r="H75" s="139" t="s">
        <v>194</v>
      </c>
      <c r="I75" s="133" t="s">
        <v>5364</v>
      </c>
      <c r="J75" s="133" t="s">
        <v>5365</v>
      </c>
      <c r="K75" s="138">
        <v>9311337458</v>
      </c>
      <c r="L75" s="146"/>
      <c r="M75" s="146"/>
      <c r="N75" s="139">
        <v>11</v>
      </c>
      <c r="O75" s="139"/>
      <c r="P75" s="133" t="s">
        <v>195</v>
      </c>
      <c r="Q75" s="133"/>
      <c r="R75" s="179" t="s">
        <v>5366</v>
      </c>
      <c r="S75" s="133" t="s">
        <v>5367</v>
      </c>
      <c r="T75" s="133"/>
      <c r="U75" s="139"/>
    </row>
    <row r="76" spans="1:21" s="219" customFormat="1" ht="45.75">
      <c r="A76" s="131">
        <v>76</v>
      </c>
      <c r="B76" s="179" t="s">
        <v>227</v>
      </c>
      <c r="C76" s="198" t="s">
        <v>5368</v>
      </c>
      <c r="D76" s="323" t="s">
        <v>5369</v>
      </c>
      <c r="E76" s="196" t="s">
        <v>5370</v>
      </c>
      <c r="F76" s="179">
        <v>9712206999</v>
      </c>
      <c r="G76" s="179" t="s">
        <v>5371</v>
      </c>
      <c r="H76" s="179" t="s">
        <v>365</v>
      </c>
      <c r="I76" s="131" t="s">
        <v>5211</v>
      </c>
      <c r="J76" s="131" t="s">
        <v>5187</v>
      </c>
      <c r="K76" s="264" t="s">
        <v>5212</v>
      </c>
      <c r="L76" s="265">
        <v>45938</v>
      </c>
      <c r="M76" s="265">
        <v>46273</v>
      </c>
      <c r="N76" s="179">
        <v>11</v>
      </c>
      <c r="O76" s="179"/>
      <c r="P76" s="131" t="s">
        <v>195</v>
      </c>
      <c r="Q76" s="131"/>
      <c r="R76" s="179"/>
      <c r="S76" s="131" t="s">
        <v>5372</v>
      </c>
      <c r="T76" s="131"/>
      <c r="U76" s="179" t="s">
        <v>513</v>
      </c>
    </row>
    <row r="77" spans="1:21" s="161" customFormat="1" ht="137.25">
      <c r="A77" s="133">
        <v>77</v>
      </c>
      <c r="B77" s="139" t="s">
        <v>227</v>
      </c>
      <c r="C77" s="145" t="s">
        <v>5373</v>
      </c>
      <c r="D77" s="137" t="s">
        <v>5374</v>
      </c>
      <c r="E77" s="147" t="s">
        <v>5375</v>
      </c>
      <c r="F77" s="335" t="s">
        <v>5376</v>
      </c>
      <c r="G77" s="133" t="s">
        <v>5377</v>
      </c>
      <c r="H77" s="133" t="s">
        <v>5378</v>
      </c>
      <c r="I77" s="133" t="s">
        <v>5364</v>
      </c>
      <c r="J77" s="133" t="s">
        <v>5365</v>
      </c>
      <c r="K77" s="138">
        <v>9311337458</v>
      </c>
      <c r="L77" s="146">
        <v>45934</v>
      </c>
      <c r="M77" s="146">
        <v>46269</v>
      </c>
      <c r="N77" s="139">
        <v>11</v>
      </c>
      <c r="O77" s="139"/>
      <c r="P77" s="133" t="s">
        <v>176</v>
      </c>
      <c r="Q77" s="133"/>
      <c r="R77" s="179" t="s">
        <v>5379</v>
      </c>
      <c r="S77" s="133" t="s">
        <v>5380</v>
      </c>
      <c r="T77" s="133"/>
      <c r="U77" s="139"/>
    </row>
    <row r="78" spans="1:21" s="161" customFormat="1" ht="45.75">
      <c r="A78" s="133">
        <v>78</v>
      </c>
      <c r="B78" s="139" t="s">
        <v>227</v>
      </c>
      <c r="C78" s="141" t="s">
        <v>5381</v>
      </c>
      <c r="D78" s="137" t="s">
        <v>5382</v>
      </c>
      <c r="E78" s="147" t="s">
        <v>5383</v>
      </c>
      <c r="F78" s="139">
        <v>9778215961</v>
      </c>
      <c r="G78" s="133" t="s">
        <v>5384</v>
      </c>
      <c r="H78" s="139" t="s">
        <v>202</v>
      </c>
      <c r="I78" s="133" t="s">
        <v>5364</v>
      </c>
      <c r="J78" s="133" t="s">
        <v>5365</v>
      </c>
      <c r="K78" s="138">
        <v>9311337458</v>
      </c>
      <c r="L78" s="146">
        <v>45938</v>
      </c>
      <c r="M78" s="146">
        <v>46273</v>
      </c>
      <c r="N78" s="139">
        <v>11</v>
      </c>
      <c r="O78" s="139"/>
      <c r="P78" s="133" t="s">
        <v>195</v>
      </c>
      <c r="Q78" s="133"/>
      <c r="R78" s="139"/>
      <c r="S78" s="133" t="s">
        <v>5385</v>
      </c>
      <c r="T78" s="133"/>
      <c r="U78" s="139"/>
    </row>
    <row r="79" spans="1:21" s="161" customFormat="1" ht="45.75">
      <c r="A79" s="133">
        <v>79</v>
      </c>
      <c r="B79" s="139" t="s">
        <v>227</v>
      </c>
      <c r="C79" s="141" t="s">
        <v>5386</v>
      </c>
      <c r="D79" s="137" t="s">
        <v>5387</v>
      </c>
      <c r="E79" s="147" t="s">
        <v>5388</v>
      </c>
      <c r="F79" s="139">
        <v>9455010668</v>
      </c>
      <c r="G79" s="133" t="s">
        <v>5389</v>
      </c>
      <c r="H79" s="133" t="s">
        <v>5390</v>
      </c>
      <c r="I79" s="139" t="s">
        <v>5332</v>
      </c>
      <c r="J79" s="133" t="s">
        <v>5333</v>
      </c>
      <c r="K79" s="138" t="s">
        <v>5334</v>
      </c>
      <c r="L79" s="146">
        <v>45943</v>
      </c>
      <c r="M79" s="146">
        <v>46278</v>
      </c>
      <c r="N79" s="139">
        <v>11</v>
      </c>
      <c r="O79" s="139"/>
      <c r="P79" s="133" t="s">
        <v>195</v>
      </c>
      <c r="Q79" s="133"/>
      <c r="R79" s="139"/>
      <c r="S79" s="133" t="s">
        <v>5391</v>
      </c>
      <c r="T79" s="133"/>
      <c r="U79" s="139"/>
    </row>
    <row r="80" spans="1:21" s="161" customFormat="1" ht="60.75">
      <c r="A80" s="133">
        <v>80</v>
      </c>
      <c r="B80" s="139" t="s">
        <v>227</v>
      </c>
      <c r="C80" s="141" t="s">
        <v>1104</v>
      </c>
      <c r="D80" s="137" t="s">
        <v>5392</v>
      </c>
      <c r="E80" s="147" t="s">
        <v>5393</v>
      </c>
      <c r="F80" s="139">
        <v>8824287877</v>
      </c>
      <c r="G80" s="139" t="s">
        <v>5394</v>
      </c>
      <c r="H80" s="139" t="s">
        <v>444</v>
      </c>
      <c r="I80" s="139" t="s">
        <v>5332</v>
      </c>
      <c r="J80" s="133" t="s">
        <v>5333</v>
      </c>
      <c r="K80" s="138" t="s">
        <v>5334</v>
      </c>
      <c r="L80" s="146">
        <v>45944</v>
      </c>
      <c r="M80" s="146">
        <v>46279</v>
      </c>
      <c r="N80" s="139">
        <v>11</v>
      </c>
      <c r="O80" s="139"/>
      <c r="P80" s="133"/>
      <c r="Q80" s="133"/>
      <c r="R80" s="179" t="s">
        <v>3938</v>
      </c>
      <c r="S80" s="133" t="s">
        <v>5395</v>
      </c>
      <c r="T80" s="133"/>
      <c r="U80" s="139"/>
    </row>
    <row r="81" spans="1:26" s="161" customFormat="1" ht="60.75">
      <c r="A81" s="133">
        <v>81</v>
      </c>
      <c r="B81" s="139" t="s">
        <v>227</v>
      </c>
      <c r="C81" s="145" t="s">
        <v>5396</v>
      </c>
      <c r="D81" s="137" t="s">
        <v>5397</v>
      </c>
      <c r="E81" s="147" t="s">
        <v>5398</v>
      </c>
      <c r="F81" s="139">
        <v>9326059165</v>
      </c>
      <c r="G81" s="139" t="s">
        <v>5399</v>
      </c>
      <c r="H81" s="139" t="s">
        <v>303</v>
      </c>
      <c r="I81" s="133" t="s">
        <v>5364</v>
      </c>
      <c r="J81" s="133" t="s">
        <v>5365</v>
      </c>
      <c r="K81" s="138">
        <v>9311337458</v>
      </c>
      <c r="L81" s="146">
        <v>45955</v>
      </c>
      <c r="M81" s="146">
        <v>46290</v>
      </c>
      <c r="N81" s="139">
        <v>11</v>
      </c>
      <c r="O81" s="139"/>
      <c r="P81" s="133" t="s">
        <v>176</v>
      </c>
      <c r="Q81" s="133"/>
      <c r="R81" s="139"/>
      <c r="S81" s="133" t="s">
        <v>5400</v>
      </c>
      <c r="T81" s="133"/>
      <c r="U81" s="139"/>
    </row>
    <row r="82" spans="1:26" s="161" customFormat="1" ht="45.75">
      <c r="A82" s="133">
        <v>82</v>
      </c>
      <c r="B82" s="139" t="s">
        <v>227</v>
      </c>
      <c r="C82" s="141" t="s">
        <v>5401</v>
      </c>
      <c r="D82" s="137" t="s">
        <v>5402</v>
      </c>
      <c r="E82" s="147" t="s">
        <v>5403</v>
      </c>
      <c r="F82" s="139"/>
      <c r="G82" s="139" t="s">
        <v>5404</v>
      </c>
      <c r="H82" s="139" t="s">
        <v>202</v>
      </c>
      <c r="I82" s="139"/>
      <c r="J82" s="133"/>
      <c r="K82" s="138"/>
      <c r="L82" s="146"/>
      <c r="M82" s="146"/>
      <c r="N82" s="139">
        <v>11</v>
      </c>
      <c r="O82" s="139"/>
      <c r="P82" s="133" t="s">
        <v>176</v>
      </c>
      <c r="Q82" s="133"/>
      <c r="R82" s="139"/>
      <c r="S82" s="133" t="s">
        <v>5405</v>
      </c>
      <c r="T82" s="133"/>
      <c r="U82" s="139"/>
    </row>
    <row r="83" spans="1:26" s="161" customFormat="1" ht="60.75">
      <c r="A83" s="133">
        <v>83</v>
      </c>
      <c r="B83" s="139" t="s">
        <v>227</v>
      </c>
      <c r="C83" s="141" t="s">
        <v>5406</v>
      </c>
      <c r="D83" s="137" t="s">
        <v>5407</v>
      </c>
      <c r="E83" s="147" t="s">
        <v>5408</v>
      </c>
      <c r="F83" s="139"/>
      <c r="G83" s="139" t="s">
        <v>5409</v>
      </c>
      <c r="H83" s="139" t="s">
        <v>194</v>
      </c>
      <c r="I83" s="133" t="s">
        <v>5296</v>
      </c>
      <c r="J83" s="133" t="s">
        <v>4977</v>
      </c>
      <c r="K83" s="138">
        <v>8130554459</v>
      </c>
      <c r="L83" s="146">
        <v>45979</v>
      </c>
      <c r="M83" s="146">
        <v>46313</v>
      </c>
      <c r="N83" s="139">
        <v>11</v>
      </c>
      <c r="O83" s="139"/>
      <c r="P83" s="133" t="s">
        <v>195</v>
      </c>
      <c r="Q83" s="133"/>
      <c r="R83" s="139"/>
      <c r="S83" s="133" t="s">
        <v>5410</v>
      </c>
      <c r="T83" s="133"/>
      <c r="U83" s="139"/>
    </row>
    <row r="84" spans="1:26" s="161" customFormat="1" ht="60.75">
      <c r="A84" s="133">
        <v>84</v>
      </c>
      <c r="B84" s="139" t="s">
        <v>227</v>
      </c>
      <c r="C84" s="141" t="s">
        <v>5411</v>
      </c>
      <c r="D84" s="137" t="s">
        <v>5412</v>
      </c>
      <c r="E84" s="147" t="s">
        <v>5413</v>
      </c>
      <c r="F84" s="139"/>
      <c r="G84" s="139" t="s">
        <v>5414</v>
      </c>
      <c r="H84" s="139" t="s">
        <v>5415</v>
      </c>
      <c r="I84" s="139"/>
      <c r="J84" s="133"/>
      <c r="K84" s="138"/>
      <c r="L84" s="146">
        <v>45976</v>
      </c>
      <c r="M84" s="146">
        <v>46310</v>
      </c>
      <c r="N84" s="139">
        <v>11</v>
      </c>
      <c r="O84" s="139"/>
      <c r="P84" s="133" t="s">
        <v>195</v>
      </c>
      <c r="Q84" s="133"/>
      <c r="R84" s="139"/>
      <c r="S84" s="133" t="s">
        <v>5416</v>
      </c>
      <c r="T84" s="133"/>
      <c r="U84" s="139"/>
    </row>
    <row r="85" spans="1:26" s="219" customFormat="1" ht="45.75">
      <c r="A85" s="131">
        <v>85</v>
      </c>
      <c r="B85" s="179" t="s">
        <v>227</v>
      </c>
      <c r="C85" s="132" t="s">
        <v>5417</v>
      </c>
      <c r="D85" s="323" t="s">
        <v>5418</v>
      </c>
      <c r="E85" s="196" t="s">
        <v>5419</v>
      </c>
      <c r="F85" s="179"/>
      <c r="G85" s="179" t="s">
        <v>5420</v>
      </c>
      <c r="H85" s="179" t="s">
        <v>194</v>
      </c>
      <c r="I85" s="131" t="s">
        <v>5296</v>
      </c>
      <c r="J85" s="131" t="s">
        <v>4977</v>
      </c>
      <c r="K85" s="264">
        <v>8130554459</v>
      </c>
      <c r="L85" s="265">
        <v>45978</v>
      </c>
      <c r="M85" s="265">
        <v>46312</v>
      </c>
      <c r="N85" s="179">
        <v>11</v>
      </c>
      <c r="O85" s="179"/>
      <c r="P85" s="131" t="s">
        <v>195</v>
      </c>
      <c r="Q85" s="131"/>
      <c r="R85" s="179" t="s">
        <v>243</v>
      </c>
      <c r="S85" s="131" t="s">
        <v>5421</v>
      </c>
      <c r="T85" s="131"/>
      <c r="U85" s="179" t="s">
        <v>513</v>
      </c>
    </row>
    <row r="86" spans="1:26" s="161" customFormat="1" ht="60.75">
      <c r="A86" s="133">
        <v>86</v>
      </c>
      <c r="B86" s="139" t="s">
        <v>227</v>
      </c>
      <c r="C86" s="145" t="s">
        <v>5422</v>
      </c>
      <c r="D86" s="137" t="s">
        <v>5423</v>
      </c>
      <c r="E86" s="147" t="s">
        <v>5424</v>
      </c>
      <c r="F86" s="139"/>
      <c r="G86" s="139" t="s">
        <v>5425</v>
      </c>
      <c r="H86" s="139" t="s">
        <v>194</v>
      </c>
      <c r="I86" s="133"/>
      <c r="J86" s="133"/>
      <c r="K86" s="138">
        <v>9811454970</v>
      </c>
      <c r="L86" s="146" t="s">
        <v>5426</v>
      </c>
      <c r="M86" s="146" t="s">
        <v>2317</v>
      </c>
      <c r="N86" s="139">
        <v>11</v>
      </c>
      <c r="O86" s="139"/>
      <c r="P86" s="133" t="s">
        <v>195</v>
      </c>
      <c r="Q86" s="133"/>
      <c r="R86" s="139"/>
      <c r="S86" s="133" t="s">
        <v>5427</v>
      </c>
      <c r="T86" s="133"/>
      <c r="U86" s="139"/>
    </row>
    <row r="87" spans="1:26" s="161" customFormat="1" ht="60.75">
      <c r="A87" s="133">
        <v>87</v>
      </c>
      <c r="B87" s="139" t="s">
        <v>227</v>
      </c>
      <c r="C87" s="145" t="s">
        <v>5428</v>
      </c>
      <c r="D87" s="137" t="s">
        <v>5429</v>
      </c>
      <c r="E87" s="147" t="s">
        <v>5430</v>
      </c>
      <c r="F87" s="139">
        <v>9654443313</v>
      </c>
      <c r="G87" s="139" t="s">
        <v>5431</v>
      </c>
      <c r="H87" s="139"/>
      <c r="I87" s="133"/>
      <c r="J87" s="133"/>
      <c r="K87" s="138"/>
      <c r="L87" s="146">
        <v>46235</v>
      </c>
      <c r="M87" s="146">
        <v>46215</v>
      </c>
      <c r="N87" s="139">
        <v>11</v>
      </c>
      <c r="O87" s="139"/>
      <c r="P87" s="133" t="s">
        <v>176</v>
      </c>
      <c r="Q87" s="133"/>
      <c r="R87" s="139"/>
      <c r="S87" s="133" t="s">
        <v>5432</v>
      </c>
      <c r="T87" s="133"/>
      <c r="U87" s="139"/>
    </row>
    <row r="88" spans="1:26" s="161" customFormat="1" ht="30.75">
      <c r="A88" s="133">
        <v>88</v>
      </c>
      <c r="B88" s="139" t="s">
        <v>227</v>
      </c>
      <c r="C88" s="141" t="s">
        <v>5433</v>
      </c>
      <c r="D88" s="137" t="s">
        <v>5434</v>
      </c>
      <c r="E88" s="147"/>
      <c r="F88" s="139"/>
      <c r="G88" s="139"/>
      <c r="H88" s="139"/>
      <c r="I88" s="139"/>
      <c r="J88" s="133"/>
      <c r="K88" s="138"/>
      <c r="L88" s="146" t="s">
        <v>2311</v>
      </c>
      <c r="M88" s="146" t="s">
        <v>2312</v>
      </c>
      <c r="N88" s="139">
        <v>11</v>
      </c>
      <c r="O88" s="139"/>
      <c r="P88" s="133" t="s">
        <v>195</v>
      </c>
      <c r="Q88" s="133"/>
      <c r="R88" s="139"/>
      <c r="S88" s="133" t="s">
        <v>5435</v>
      </c>
      <c r="T88" s="133"/>
      <c r="U88" s="139"/>
    </row>
    <row r="89" spans="1:26" s="161" customFormat="1" ht="45.75">
      <c r="A89" s="133">
        <v>89</v>
      </c>
      <c r="B89" s="133" t="s">
        <v>227</v>
      </c>
      <c r="C89" s="139" t="s">
        <v>4993</v>
      </c>
      <c r="D89" s="137" t="s">
        <v>4994</v>
      </c>
      <c r="E89" s="140" t="s">
        <v>4995</v>
      </c>
      <c r="F89" s="139"/>
      <c r="G89" s="139" t="s">
        <v>4996</v>
      </c>
      <c r="H89" s="139" t="s">
        <v>3991</v>
      </c>
      <c r="I89" s="133" t="s">
        <v>4976</v>
      </c>
      <c r="J89" s="133" t="s">
        <v>4977</v>
      </c>
      <c r="K89" s="133" t="s">
        <v>4978</v>
      </c>
      <c r="L89" s="142" t="s">
        <v>2308</v>
      </c>
      <c r="M89" s="142">
        <v>46722</v>
      </c>
      <c r="N89" s="133">
        <v>11</v>
      </c>
      <c r="O89" s="133"/>
      <c r="P89" s="133" t="s">
        <v>195</v>
      </c>
      <c r="Q89" s="133"/>
      <c r="R89" s="139" t="s">
        <v>243</v>
      </c>
      <c r="S89" s="133" t="s">
        <v>5436</v>
      </c>
      <c r="T89" s="139" t="s">
        <v>243</v>
      </c>
      <c r="U89" s="139"/>
      <c r="V89" s="141"/>
      <c r="W89" s="161">
        <v>100</v>
      </c>
      <c r="X89" s="161" t="s">
        <v>5437</v>
      </c>
      <c r="Y89" s="141"/>
      <c r="Z89" s="141"/>
    </row>
    <row r="90" spans="1:26" s="164" customFormat="1" ht="106.5">
      <c r="A90" s="163">
        <v>90</v>
      </c>
      <c r="B90" s="163" t="s">
        <v>211</v>
      </c>
      <c r="C90" s="163" t="s">
        <v>5003</v>
      </c>
      <c r="D90" s="336" t="s">
        <v>5004</v>
      </c>
      <c r="E90" s="336" t="s">
        <v>5005</v>
      </c>
      <c r="F90" s="163"/>
      <c r="G90" s="163" t="s">
        <v>5006</v>
      </c>
      <c r="H90" s="163" t="s">
        <v>690</v>
      </c>
      <c r="I90" s="168" t="s">
        <v>4976</v>
      </c>
      <c r="J90" s="168" t="s">
        <v>4977</v>
      </c>
      <c r="K90" s="168" t="s">
        <v>4978</v>
      </c>
      <c r="L90" s="175" t="s">
        <v>2238</v>
      </c>
      <c r="M90" s="175" t="s">
        <v>2239</v>
      </c>
      <c r="N90" s="163">
        <v>11</v>
      </c>
      <c r="O90" s="163"/>
      <c r="P90" s="168" t="s">
        <v>176</v>
      </c>
      <c r="Q90" s="168"/>
      <c r="R90" s="163"/>
      <c r="S90" s="163" t="s">
        <v>5007</v>
      </c>
      <c r="T90" s="163" t="s">
        <v>243</v>
      </c>
      <c r="U90" s="163" t="s">
        <v>243</v>
      </c>
      <c r="W90" s="164">
        <v>100</v>
      </c>
      <c r="X90" s="164" t="s">
        <v>5437</v>
      </c>
    </row>
    <row r="91" spans="1:26" s="161" customFormat="1" ht="91.5">
      <c r="A91" s="139">
        <v>91</v>
      </c>
      <c r="B91" s="139" t="s">
        <v>227</v>
      </c>
      <c r="C91" s="141" t="s">
        <v>5051</v>
      </c>
      <c r="D91" s="137" t="s">
        <v>5052</v>
      </c>
      <c r="E91" s="145" t="s">
        <v>5053</v>
      </c>
      <c r="F91" s="139">
        <v>9866655789</v>
      </c>
      <c r="G91" s="139" t="s">
        <v>5054</v>
      </c>
      <c r="H91" s="133"/>
      <c r="I91" s="133" t="s">
        <v>3700</v>
      </c>
      <c r="J91" s="133" t="s">
        <v>4977</v>
      </c>
      <c r="K91" s="185"/>
      <c r="L91" s="142" t="s">
        <v>5438</v>
      </c>
      <c r="M91" s="146" t="s">
        <v>5439</v>
      </c>
      <c r="N91" s="139">
        <v>11</v>
      </c>
      <c r="O91" s="139"/>
      <c r="P91" s="133" t="s">
        <v>195</v>
      </c>
      <c r="Q91" s="133"/>
      <c r="R91" s="139"/>
      <c r="S91" s="133" t="s">
        <v>5055</v>
      </c>
      <c r="T91" s="133"/>
      <c r="U91" s="161" t="s">
        <v>513</v>
      </c>
      <c r="V91" s="161" t="s">
        <v>513</v>
      </c>
      <c r="W91" s="161" t="s">
        <v>513</v>
      </c>
    </row>
    <row r="92" spans="1:26" s="219" customFormat="1" ht="60.75">
      <c r="A92" s="131">
        <v>92</v>
      </c>
      <c r="B92" s="179" t="s">
        <v>227</v>
      </c>
      <c r="C92" s="179" t="s">
        <v>5036</v>
      </c>
      <c r="D92" s="323" t="s">
        <v>5037</v>
      </c>
      <c r="E92" s="323" t="s">
        <v>5038</v>
      </c>
      <c r="F92" s="179">
        <v>9819837879</v>
      </c>
      <c r="G92" s="179" t="s">
        <v>5039</v>
      </c>
      <c r="H92" s="179"/>
      <c r="I92" s="131" t="s">
        <v>3700</v>
      </c>
      <c r="J92" s="131" t="s">
        <v>4977</v>
      </c>
      <c r="K92" s="264"/>
      <c r="L92" s="329" t="s">
        <v>2408</v>
      </c>
      <c r="M92" s="329" t="s">
        <v>2409</v>
      </c>
      <c r="N92" s="179">
        <v>11</v>
      </c>
      <c r="O92" s="179"/>
      <c r="P92" s="131" t="s">
        <v>195</v>
      </c>
      <c r="Q92" s="131"/>
      <c r="R92" s="179" t="s">
        <v>243</v>
      </c>
      <c r="S92" s="131" t="s">
        <v>5040</v>
      </c>
      <c r="T92" s="131" t="s">
        <v>243</v>
      </c>
      <c r="U92" s="131" t="s">
        <v>5440</v>
      </c>
      <c r="V92" s="198"/>
      <c r="W92" s="198"/>
      <c r="X92" s="198"/>
      <c r="Y92" s="198"/>
      <c r="Z92" s="198"/>
    </row>
    <row r="93" spans="1:26" s="161" customFormat="1" ht="45.75">
      <c r="A93" s="139">
        <v>93</v>
      </c>
      <c r="B93" s="139" t="s">
        <v>227</v>
      </c>
      <c r="C93" s="141" t="s">
        <v>5046</v>
      </c>
      <c r="D93" s="137" t="s">
        <v>5047</v>
      </c>
      <c r="E93" s="145" t="s">
        <v>5048</v>
      </c>
      <c r="F93" s="139">
        <v>9384023456</v>
      </c>
      <c r="G93" s="139" t="s">
        <v>5049</v>
      </c>
      <c r="H93" s="139"/>
      <c r="I93" s="133" t="s">
        <v>3700</v>
      </c>
      <c r="J93" s="133" t="s">
        <v>4977</v>
      </c>
      <c r="K93" s="141"/>
      <c r="L93" s="142">
        <v>46026</v>
      </c>
      <c r="M93" s="146" t="s">
        <v>5441</v>
      </c>
      <c r="N93" s="139">
        <v>11</v>
      </c>
      <c r="O93" s="139"/>
      <c r="P93" s="133" t="s">
        <v>195</v>
      </c>
      <c r="Q93" s="133"/>
      <c r="R93" s="139"/>
      <c r="S93" s="139" t="s">
        <v>5442</v>
      </c>
      <c r="T93" s="139"/>
      <c r="U93" s="161" t="s">
        <v>513</v>
      </c>
      <c r="V93" s="161" t="s">
        <v>513</v>
      </c>
      <c r="W93" s="161" t="s">
        <v>513</v>
      </c>
      <c r="X93" s="141"/>
      <c r="Y93" s="141"/>
      <c r="Z93" s="141"/>
    </row>
    <row r="94" spans="1:26" s="161" customFormat="1" ht="45.75">
      <c r="A94" s="133">
        <v>94</v>
      </c>
      <c r="B94" s="139" t="s">
        <v>227</v>
      </c>
      <c r="C94" s="145" t="s">
        <v>5417</v>
      </c>
      <c r="D94" s="137" t="s">
        <v>5418</v>
      </c>
      <c r="E94" s="147" t="s">
        <v>5419</v>
      </c>
      <c r="F94" s="139"/>
      <c r="G94" s="139" t="s">
        <v>5420</v>
      </c>
      <c r="H94" s="139" t="s">
        <v>194</v>
      </c>
      <c r="I94" s="133" t="s">
        <v>5296</v>
      </c>
      <c r="J94" s="133" t="s">
        <v>4977</v>
      </c>
      <c r="K94" s="138">
        <v>8130554459</v>
      </c>
      <c r="L94" s="146" t="s">
        <v>5443</v>
      </c>
      <c r="M94" s="146" t="s">
        <v>5444</v>
      </c>
      <c r="N94" s="139">
        <v>11</v>
      </c>
      <c r="O94" s="139"/>
      <c r="P94" s="133" t="s">
        <v>195</v>
      </c>
      <c r="Q94" s="133"/>
      <c r="R94" s="139" t="s">
        <v>243</v>
      </c>
      <c r="S94" s="133" t="s">
        <v>5445</v>
      </c>
      <c r="T94" s="133"/>
      <c r="U94" s="139" t="s">
        <v>513</v>
      </c>
    </row>
    <row r="95" spans="1:26" s="161" customFormat="1" ht="60.75">
      <c r="A95" s="133">
        <v>95</v>
      </c>
      <c r="B95" s="139"/>
      <c r="C95" s="141" t="s">
        <v>5101</v>
      </c>
      <c r="D95" s="137" t="s">
        <v>5102</v>
      </c>
      <c r="E95" s="147" t="s">
        <v>5103</v>
      </c>
      <c r="F95" s="139"/>
      <c r="G95" s="139" t="s">
        <v>5104</v>
      </c>
      <c r="H95" s="139"/>
      <c r="I95" s="139" t="s">
        <v>5105</v>
      </c>
      <c r="J95" s="133" t="s">
        <v>4977</v>
      </c>
      <c r="K95" s="138"/>
      <c r="L95" s="146" t="s">
        <v>2553</v>
      </c>
      <c r="M95" s="146" t="s">
        <v>5446</v>
      </c>
      <c r="N95" s="139">
        <v>11</v>
      </c>
      <c r="O95" s="139"/>
      <c r="P95" s="133" t="s">
        <v>195</v>
      </c>
      <c r="Q95" s="133"/>
      <c r="R95" s="139"/>
      <c r="S95" s="133" t="s">
        <v>5447</v>
      </c>
      <c r="T95" s="133"/>
      <c r="U95" s="139" t="s">
        <v>513</v>
      </c>
      <c r="V95" s="139" t="s">
        <v>513</v>
      </c>
    </row>
    <row r="96" spans="1:26" s="161" customFormat="1" ht="76.5">
      <c r="A96" s="139">
        <v>96</v>
      </c>
      <c r="B96" s="139"/>
      <c r="C96" s="141" t="s">
        <v>5093</v>
      </c>
      <c r="D96" s="137" t="s">
        <v>5094</v>
      </c>
      <c r="E96" s="145" t="s">
        <v>5095</v>
      </c>
      <c r="F96" s="139">
        <v>9910715857</v>
      </c>
      <c r="G96" s="139" t="s">
        <v>5096</v>
      </c>
      <c r="H96" s="139"/>
      <c r="I96" s="139" t="s">
        <v>3700</v>
      </c>
      <c r="J96" s="133" t="s">
        <v>4977</v>
      </c>
      <c r="K96" s="185"/>
      <c r="L96" s="146" t="s">
        <v>5448</v>
      </c>
      <c r="M96" s="146" t="s">
        <v>5449</v>
      </c>
      <c r="N96" s="139">
        <v>11</v>
      </c>
      <c r="O96" s="139"/>
      <c r="P96" s="133" t="s">
        <v>195</v>
      </c>
      <c r="Q96" s="133"/>
      <c r="R96" s="139"/>
      <c r="S96" s="133" t="s">
        <v>5097</v>
      </c>
      <c r="T96" s="133"/>
      <c r="U96" s="139" t="s">
        <v>513</v>
      </c>
      <c r="V96" s="141" t="s">
        <v>513</v>
      </c>
      <c r="W96" s="141" t="s">
        <v>513</v>
      </c>
      <c r="X96" s="141"/>
      <c r="Y96" s="141"/>
      <c r="Z96" s="141"/>
    </row>
    <row r="97" spans="1:26" s="219" customFormat="1" ht="76.5">
      <c r="A97" s="131">
        <v>97</v>
      </c>
      <c r="B97" s="179"/>
      <c r="C97" s="198" t="s">
        <v>5117</v>
      </c>
      <c r="D97" s="323" t="s">
        <v>5118</v>
      </c>
      <c r="E97" s="132" t="s">
        <v>5119</v>
      </c>
      <c r="F97" s="179"/>
      <c r="G97" s="179" t="s">
        <v>5120</v>
      </c>
      <c r="H97" s="179"/>
      <c r="I97" s="131" t="s">
        <v>5105</v>
      </c>
      <c r="J97" s="131"/>
      <c r="K97" s="337"/>
      <c r="L97" s="265">
        <v>46146</v>
      </c>
      <c r="M97" s="265">
        <v>46480</v>
      </c>
      <c r="N97" s="179">
        <v>11</v>
      </c>
      <c r="O97" s="179"/>
      <c r="P97" s="131" t="s">
        <v>195</v>
      </c>
      <c r="Q97" s="131"/>
      <c r="R97" s="179"/>
      <c r="S97" s="131" t="s">
        <v>5121</v>
      </c>
      <c r="T97" s="131"/>
      <c r="U97" s="179" t="s">
        <v>513</v>
      </c>
      <c r="V97" s="219" t="s">
        <v>513</v>
      </c>
      <c r="W97" s="219" t="s">
        <v>513</v>
      </c>
    </row>
    <row r="98" spans="1:26" s="164" customFormat="1" ht="91.5">
      <c r="A98" s="168">
        <v>98</v>
      </c>
      <c r="B98" s="163"/>
      <c r="C98" s="165" t="s">
        <v>5061</v>
      </c>
      <c r="D98" s="336" t="s">
        <v>5062</v>
      </c>
      <c r="E98" s="189" t="s">
        <v>5063</v>
      </c>
      <c r="F98" s="163">
        <v>7387301097</v>
      </c>
      <c r="G98" s="163" t="s">
        <v>5064</v>
      </c>
      <c r="H98" s="168"/>
      <c r="I98" s="168" t="s">
        <v>3700</v>
      </c>
      <c r="J98" s="168" t="s">
        <v>4977</v>
      </c>
      <c r="K98" s="397"/>
      <c r="L98" s="226">
        <v>46117</v>
      </c>
      <c r="M98" s="226">
        <v>46450</v>
      </c>
      <c r="N98" s="163">
        <v>11</v>
      </c>
      <c r="O98" s="163"/>
      <c r="P98" s="168" t="s">
        <v>195</v>
      </c>
      <c r="Q98" s="168"/>
      <c r="R98" s="163"/>
      <c r="S98" s="168" t="s">
        <v>5065</v>
      </c>
      <c r="T98" s="168"/>
      <c r="U98" s="163" t="s">
        <v>513</v>
      </c>
      <c r="V98" s="163" t="s">
        <v>513</v>
      </c>
      <c r="W98" s="163" t="s">
        <v>513</v>
      </c>
    </row>
    <row r="99" spans="1:26" s="161" customFormat="1" ht="54" customHeight="1">
      <c r="A99" s="133">
        <v>99</v>
      </c>
      <c r="B99" s="139"/>
      <c r="C99" s="161" t="s">
        <v>5077</v>
      </c>
      <c r="D99" s="206" t="s">
        <v>5078</v>
      </c>
      <c r="E99" s="147" t="s">
        <v>5079</v>
      </c>
      <c r="F99" s="143">
        <v>9953338281</v>
      </c>
      <c r="G99" s="143" t="s">
        <v>5080</v>
      </c>
      <c r="H99" s="139"/>
      <c r="I99" s="139" t="s">
        <v>5081</v>
      </c>
      <c r="J99" s="133" t="s">
        <v>4977</v>
      </c>
      <c r="K99" s="138"/>
      <c r="L99" s="146" t="s">
        <v>3959</v>
      </c>
      <c r="M99" s="146" t="s">
        <v>3960</v>
      </c>
      <c r="N99" s="139">
        <v>11</v>
      </c>
      <c r="O99" s="139"/>
      <c r="P99" s="133" t="s">
        <v>195</v>
      </c>
      <c r="Q99" s="133"/>
      <c r="R99" s="139"/>
      <c r="S99" s="133" t="s">
        <v>5082</v>
      </c>
      <c r="T99" s="133"/>
      <c r="U99" s="139" t="s">
        <v>513</v>
      </c>
      <c r="V99" s="139" t="s">
        <v>513</v>
      </c>
      <c r="W99" s="139" t="s">
        <v>513</v>
      </c>
    </row>
    <row r="100" spans="1:26" s="161" customFormat="1" ht="60.75">
      <c r="A100" s="139">
        <v>100</v>
      </c>
      <c r="B100" s="139"/>
      <c r="C100" s="141" t="s">
        <v>5071</v>
      </c>
      <c r="D100" s="137" t="s">
        <v>5072</v>
      </c>
      <c r="E100" s="147" t="s">
        <v>5073</v>
      </c>
      <c r="F100" s="141">
        <v>9909264449</v>
      </c>
      <c r="G100" s="141" t="s">
        <v>5074</v>
      </c>
      <c r="H100" s="139"/>
      <c r="I100" s="139" t="s">
        <v>5075</v>
      </c>
      <c r="J100" s="133" t="s">
        <v>4977</v>
      </c>
      <c r="K100" s="138"/>
      <c r="L100" s="142" t="s">
        <v>2531</v>
      </c>
      <c r="M100" s="142">
        <v>46726</v>
      </c>
      <c r="N100" s="139">
        <v>11</v>
      </c>
      <c r="O100" s="139"/>
      <c r="P100" s="133" t="s">
        <v>195</v>
      </c>
      <c r="Q100" s="133"/>
      <c r="R100" s="139"/>
      <c r="S100" s="133" t="s">
        <v>5450</v>
      </c>
      <c r="T100" s="133"/>
      <c r="U100" s="139" t="s">
        <v>513</v>
      </c>
      <c r="V100" s="161" t="s">
        <v>513</v>
      </c>
      <c r="W100" s="161" t="s">
        <v>513</v>
      </c>
    </row>
    <row r="101" spans="1:26" s="161" customFormat="1" ht="60.75">
      <c r="A101" s="133">
        <v>101</v>
      </c>
      <c r="B101" s="139"/>
      <c r="C101" s="141" t="s">
        <v>5162</v>
      </c>
      <c r="D101" s="137" t="s">
        <v>5163</v>
      </c>
      <c r="E101" s="145" t="s">
        <v>5164</v>
      </c>
      <c r="F101" s="139">
        <v>9820712107</v>
      </c>
      <c r="G101" s="139" t="s">
        <v>5165</v>
      </c>
      <c r="H101" s="139" t="s">
        <v>529</v>
      </c>
      <c r="I101" s="133"/>
      <c r="J101" s="133"/>
      <c r="K101" s="185"/>
      <c r="L101" s="142">
        <v>46118</v>
      </c>
      <c r="M101" s="142">
        <v>46451</v>
      </c>
      <c r="N101" s="139">
        <v>11</v>
      </c>
      <c r="O101" s="139"/>
      <c r="P101" s="133" t="s">
        <v>195</v>
      </c>
      <c r="Q101" s="133"/>
      <c r="R101" s="139"/>
      <c r="S101" s="133" t="s">
        <v>5451</v>
      </c>
      <c r="T101" s="133"/>
      <c r="U101" s="139" t="s">
        <v>513</v>
      </c>
      <c r="V101" s="161" t="s">
        <v>513</v>
      </c>
      <c r="W101" s="161" t="s">
        <v>513</v>
      </c>
    </row>
    <row r="102" spans="1:26" s="161" customFormat="1" ht="87" customHeight="1">
      <c r="A102" s="139">
        <v>102</v>
      </c>
      <c r="B102" s="139"/>
      <c r="C102" s="208" t="s">
        <v>5122</v>
      </c>
      <c r="D102" s="137" t="s">
        <v>5123</v>
      </c>
      <c r="E102" s="147" t="s">
        <v>5124</v>
      </c>
      <c r="F102" s="139"/>
      <c r="G102" s="139" t="s">
        <v>5125</v>
      </c>
      <c r="H102" s="139"/>
      <c r="I102" s="133"/>
      <c r="J102" s="133"/>
      <c r="K102" s="185"/>
      <c r="L102" s="142" t="s">
        <v>5452</v>
      </c>
      <c r="M102" s="142" t="s">
        <v>5453</v>
      </c>
      <c r="N102" s="139">
        <v>11</v>
      </c>
      <c r="O102" s="139"/>
      <c r="P102" s="133" t="s">
        <v>195</v>
      </c>
      <c r="Q102" s="133"/>
      <c r="R102" s="139"/>
      <c r="S102" s="133" t="s">
        <v>5126</v>
      </c>
      <c r="T102" s="133"/>
      <c r="U102" s="139" t="s">
        <v>513</v>
      </c>
      <c r="V102" s="161" t="s">
        <v>513</v>
      </c>
      <c r="W102" s="161" t="s">
        <v>513</v>
      </c>
    </row>
    <row r="103" spans="1:26" s="161" customFormat="1" ht="53.25" customHeight="1">
      <c r="A103" s="133">
        <v>103</v>
      </c>
      <c r="B103" s="139"/>
      <c r="C103" s="141" t="s">
        <v>5156</v>
      </c>
      <c r="D103" s="137" t="s">
        <v>5157</v>
      </c>
      <c r="E103" s="145" t="s">
        <v>5158</v>
      </c>
      <c r="F103" s="139">
        <v>8765696060</v>
      </c>
      <c r="G103" s="139" t="s">
        <v>5159</v>
      </c>
      <c r="H103" s="139" t="s">
        <v>5160</v>
      </c>
      <c r="I103" s="133"/>
      <c r="J103" s="133"/>
      <c r="K103" s="185"/>
      <c r="L103" s="146">
        <v>45841</v>
      </c>
      <c r="M103" s="146">
        <v>46175</v>
      </c>
      <c r="N103" s="139">
        <v>11</v>
      </c>
      <c r="O103" s="139"/>
      <c r="P103" s="133" t="s">
        <v>195</v>
      </c>
      <c r="Q103" s="133"/>
      <c r="R103" s="139"/>
      <c r="S103" s="133" t="s">
        <v>5161</v>
      </c>
      <c r="T103" s="133"/>
      <c r="U103" s="139" t="s">
        <v>513</v>
      </c>
      <c r="V103" s="161" t="s">
        <v>513</v>
      </c>
      <c r="W103" s="161" t="s">
        <v>513</v>
      </c>
    </row>
    <row r="104" spans="1:26" s="164" customFormat="1" ht="48" customHeight="1">
      <c r="A104" s="139">
        <v>104</v>
      </c>
      <c r="B104" s="168" t="s">
        <v>227</v>
      </c>
      <c r="C104" s="163" t="s">
        <v>4998</v>
      </c>
      <c r="D104" s="336" t="s">
        <v>4999</v>
      </c>
      <c r="E104" s="421" t="s">
        <v>5000</v>
      </c>
      <c r="F104" s="163">
        <v>9972010011</v>
      </c>
      <c r="G104" s="163" t="s">
        <v>5001</v>
      </c>
      <c r="H104" s="163" t="s">
        <v>2767</v>
      </c>
      <c r="I104" s="168" t="s">
        <v>4976</v>
      </c>
      <c r="J104" s="168" t="s">
        <v>4977</v>
      </c>
      <c r="K104" s="168" t="s">
        <v>4978</v>
      </c>
      <c r="L104" s="175" t="s">
        <v>107</v>
      </c>
      <c r="M104" s="175" t="s">
        <v>5454</v>
      </c>
      <c r="N104" s="163">
        <v>12</v>
      </c>
      <c r="O104" s="163"/>
      <c r="P104" s="168" t="s">
        <v>195</v>
      </c>
      <c r="Q104" s="168"/>
      <c r="R104" s="163"/>
      <c r="S104" s="168" t="s">
        <v>5002</v>
      </c>
      <c r="T104" s="163" t="s">
        <v>243</v>
      </c>
      <c r="U104" s="163"/>
      <c r="V104" s="165"/>
      <c r="Y104" s="165"/>
      <c r="Z104" s="189"/>
    </row>
    <row r="105" spans="1:26" s="161" customFormat="1" ht="40.5" customHeight="1">
      <c r="A105" s="133">
        <v>105</v>
      </c>
      <c r="B105" s="168" t="s">
        <v>227</v>
      </c>
      <c r="C105" s="145" t="s">
        <v>5225</v>
      </c>
      <c r="D105" s="137" t="s">
        <v>5226</v>
      </c>
      <c r="E105" s="147" t="s">
        <v>5227</v>
      </c>
      <c r="F105" s="139">
        <v>9959937741</v>
      </c>
      <c r="G105" s="139" t="s">
        <v>5228</v>
      </c>
      <c r="H105" s="139" t="s">
        <v>5229</v>
      </c>
      <c r="I105" s="133" t="s">
        <v>5230</v>
      </c>
      <c r="J105" s="133" t="s">
        <v>4977</v>
      </c>
      <c r="K105" s="138">
        <v>9910556824</v>
      </c>
      <c r="L105" s="146" t="s">
        <v>5455</v>
      </c>
      <c r="M105" s="146" t="s">
        <v>4872</v>
      </c>
      <c r="N105" s="139">
        <v>11</v>
      </c>
      <c r="O105" s="139"/>
      <c r="P105" s="133" t="s">
        <v>195</v>
      </c>
      <c r="Q105" s="133"/>
      <c r="R105" s="139"/>
      <c r="S105" s="133" t="s">
        <v>5231</v>
      </c>
      <c r="T105" s="133"/>
      <c r="U105" s="139" t="s">
        <v>1714</v>
      </c>
      <c r="V105" s="161" t="s">
        <v>513</v>
      </c>
    </row>
    <row r="106" spans="1:26" s="161" customFormat="1" ht="51.75" customHeight="1">
      <c r="A106" s="139">
        <v>106</v>
      </c>
      <c r="B106" s="168" t="s">
        <v>227</v>
      </c>
      <c r="C106" s="141" t="s">
        <v>4374</v>
      </c>
      <c r="D106" s="137" t="s">
        <v>5098</v>
      </c>
      <c r="E106" s="147" t="s">
        <v>5099</v>
      </c>
      <c r="F106" s="143"/>
      <c r="G106" s="143" t="s">
        <v>4377</v>
      </c>
      <c r="H106" s="139"/>
      <c r="I106" s="133" t="s">
        <v>5013</v>
      </c>
      <c r="J106" s="133" t="s">
        <v>4977</v>
      </c>
      <c r="K106" s="185"/>
      <c r="L106" s="146" t="s">
        <v>2446</v>
      </c>
      <c r="M106" s="146" t="s">
        <v>2447</v>
      </c>
      <c r="N106" s="139">
        <v>11</v>
      </c>
      <c r="O106" s="139"/>
      <c r="P106" s="133" t="s">
        <v>176</v>
      </c>
      <c r="Q106" s="133"/>
      <c r="R106" s="139"/>
      <c r="S106" s="133" t="s">
        <v>5100</v>
      </c>
      <c r="T106" s="133"/>
      <c r="U106" s="139" t="s">
        <v>1714</v>
      </c>
    </row>
    <row r="107" spans="1:26" s="161" customFormat="1" ht="37.5" customHeight="1">
      <c r="A107" s="133">
        <v>107</v>
      </c>
      <c r="B107" s="168" t="s">
        <v>227</v>
      </c>
      <c r="C107" s="141" t="s">
        <v>5112</v>
      </c>
      <c r="D107" s="137" t="s">
        <v>5113</v>
      </c>
      <c r="E107" s="147" t="s">
        <v>5114</v>
      </c>
      <c r="F107" s="139">
        <v>8968317401</v>
      </c>
      <c r="G107" s="139" t="s">
        <v>5115</v>
      </c>
      <c r="H107" s="139"/>
      <c r="I107" s="133" t="s">
        <v>5105</v>
      </c>
      <c r="J107" s="133"/>
      <c r="K107" s="185"/>
      <c r="L107" s="146">
        <v>46086</v>
      </c>
      <c r="M107" s="146">
        <v>46422</v>
      </c>
      <c r="N107" s="139">
        <v>11</v>
      </c>
      <c r="O107" s="139"/>
      <c r="P107" s="133" t="s">
        <v>195</v>
      </c>
      <c r="Q107" s="133"/>
      <c r="R107" s="139"/>
      <c r="S107" s="133" t="s">
        <v>5116</v>
      </c>
      <c r="T107" s="133"/>
      <c r="U107" s="139" t="s">
        <v>513</v>
      </c>
      <c r="V107" s="161" t="s">
        <v>513</v>
      </c>
    </row>
    <row r="108" spans="1:26" s="161" customFormat="1" ht="45" customHeight="1">
      <c r="A108" s="139">
        <v>108</v>
      </c>
      <c r="B108" s="168" t="s">
        <v>227</v>
      </c>
      <c r="C108" s="208" t="s">
        <v>5132</v>
      </c>
      <c r="D108" s="208" t="s">
        <v>5133</v>
      </c>
      <c r="E108" s="208" t="s">
        <v>5134</v>
      </c>
      <c r="F108" s="208">
        <v>9742770730</v>
      </c>
      <c r="G108" s="208" t="s">
        <v>5135</v>
      </c>
      <c r="H108" s="208" t="s">
        <v>5136</v>
      </c>
      <c r="I108" s="143"/>
      <c r="J108" s="143"/>
      <c r="K108" s="185"/>
      <c r="L108" s="334" t="s">
        <v>5456</v>
      </c>
      <c r="M108" s="334" t="s">
        <v>2537</v>
      </c>
      <c r="N108" s="139">
        <v>11</v>
      </c>
      <c r="O108" s="139"/>
      <c r="P108" s="133" t="s">
        <v>176</v>
      </c>
      <c r="Q108" s="133"/>
      <c r="R108" s="139"/>
      <c r="S108" s="133" t="s">
        <v>5137</v>
      </c>
      <c r="T108" s="133"/>
      <c r="U108" s="139" t="s">
        <v>513</v>
      </c>
      <c r="V108" s="161" t="s">
        <v>513</v>
      </c>
    </row>
    <row r="109" spans="1:26" s="161" customFormat="1" ht="42" customHeight="1">
      <c r="A109" s="133">
        <v>109</v>
      </c>
      <c r="B109" s="139" t="s">
        <v>227</v>
      </c>
      <c r="C109" s="141" t="s">
        <v>5328</v>
      </c>
      <c r="D109" s="137" t="s">
        <v>5329</v>
      </c>
      <c r="E109" s="147" t="s">
        <v>5330</v>
      </c>
      <c r="F109" s="139"/>
      <c r="G109" s="139" t="s">
        <v>5331</v>
      </c>
      <c r="H109" s="139" t="s">
        <v>1737</v>
      </c>
      <c r="I109" s="139" t="s">
        <v>5332</v>
      </c>
      <c r="J109" s="133" t="s">
        <v>5333</v>
      </c>
      <c r="K109" s="138" t="s">
        <v>5334</v>
      </c>
      <c r="L109" s="146" t="s">
        <v>125</v>
      </c>
      <c r="M109" s="146" t="s">
        <v>5457</v>
      </c>
      <c r="N109" s="139">
        <v>11</v>
      </c>
      <c r="O109" s="139"/>
      <c r="P109" s="133" t="s">
        <v>176</v>
      </c>
      <c r="Q109" s="133"/>
      <c r="R109" s="139" t="s">
        <v>5335</v>
      </c>
      <c r="S109" s="133" t="s">
        <v>5336</v>
      </c>
      <c r="T109" s="133"/>
      <c r="U109" s="139" t="s">
        <v>513</v>
      </c>
    </row>
    <row r="110" spans="1:26" s="451" customFormat="1" ht="40.5" customHeight="1">
      <c r="A110" s="139">
        <v>110</v>
      </c>
      <c r="B110" s="427" t="s">
        <v>227</v>
      </c>
      <c r="C110" s="464" t="s">
        <v>5298</v>
      </c>
      <c r="D110" s="481" t="s">
        <v>5299</v>
      </c>
      <c r="E110" s="476" t="s">
        <v>5300</v>
      </c>
      <c r="F110" s="427"/>
      <c r="G110" s="427" t="s">
        <v>5301</v>
      </c>
      <c r="H110" s="427" t="s">
        <v>194</v>
      </c>
      <c r="I110" s="427" t="s">
        <v>5186</v>
      </c>
      <c r="J110" s="462" t="s">
        <v>5187</v>
      </c>
      <c r="K110" s="482">
        <v>9310953621</v>
      </c>
      <c r="L110" s="483" t="s">
        <v>2624</v>
      </c>
      <c r="M110" s="483" t="s">
        <v>2625</v>
      </c>
      <c r="N110" s="427">
        <v>11</v>
      </c>
      <c r="O110" s="427"/>
      <c r="P110" s="462" t="s">
        <v>195</v>
      </c>
      <c r="Q110" s="462"/>
      <c r="R110" s="427"/>
      <c r="S110" s="462" t="s">
        <v>5303</v>
      </c>
      <c r="T110" s="462"/>
      <c r="U110" s="427" t="s">
        <v>513</v>
      </c>
    </row>
    <row r="111" spans="1:26" s="147" customFormat="1" ht="39" customHeight="1">
      <c r="A111" s="133">
        <v>111</v>
      </c>
      <c r="B111" s="207" t="s">
        <v>227</v>
      </c>
      <c r="C111" s="484" t="s">
        <v>5458</v>
      </c>
      <c r="D111" s="484" t="s">
        <v>5459</v>
      </c>
      <c r="E111" s="484" t="s">
        <v>5460</v>
      </c>
      <c r="F111" s="207"/>
      <c r="G111" s="485" t="s">
        <v>5461</v>
      </c>
      <c r="H111" s="207"/>
      <c r="I111" s="207"/>
      <c r="J111" s="207"/>
      <c r="L111" s="147" t="s">
        <v>4907</v>
      </c>
      <c r="M111" s="147" t="s">
        <v>4908</v>
      </c>
      <c r="N111" s="147">
        <v>11</v>
      </c>
      <c r="P111" s="133" t="s">
        <v>195</v>
      </c>
      <c r="S111" s="133" t="s">
        <v>5218</v>
      </c>
      <c r="U111" s="133" t="s">
        <v>513</v>
      </c>
    </row>
    <row r="112" spans="1:26" s="147" customFormat="1" ht="39" customHeight="1">
      <c r="A112" s="139">
        <v>112</v>
      </c>
      <c r="B112" s="207" t="s">
        <v>227</v>
      </c>
      <c r="C112" s="486" t="s">
        <v>5462</v>
      </c>
      <c r="D112" s="206" t="s">
        <v>5463</v>
      </c>
      <c r="E112" s="486" t="s">
        <v>5464</v>
      </c>
      <c r="F112" s="207"/>
      <c r="G112" s="207"/>
      <c r="H112" s="207"/>
      <c r="I112" s="207"/>
      <c r="J112" s="207"/>
      <c r="L112" s="316">
        <v>46301</v>
      </c>
      <c r="M112" s="316">
        <v>46637</v>
      </c>
      <c r="N112" s="147">
        <v>11</v>
      </c>
      <c r="P112" s="133" t="s">
        <v>195</v>
      </c>
      <c r="S112" s="147" t="s">
        <v>5206</v>
      </c>
    </row>
    <row r="113" spans="1:23" s="147" customFormat="1" ht="39" customHeight="1">
      <c r="A113" s="133">
        <v>113</v>
      </c>
      <c r="B113" s="207" t="s">
        <v>227</v>
      </c>
      <c r="C113" s="487" t="s">
        <v>5465</v>
      </c>
      <c r="D113" s="206" t="s">
        <v>5466</v>
      </c>
      <c r="F113" s="207"/>
      <c r="G113" s="207"/>
      <c r="H113" s="207"/>
      <c r="I113" s="207"/>
      <c r="J113" s="207"/>
      <c r="L113" s="147" t="s">
        <v>5467</v>
      </c>
      <c r="M113" s="147" t="s">
        <v>5468</v>
      </c>
      <c r="N113" s="133">
        <v>11</v>
      </c>
      <c r="O113" s="133"/>
      <c r="P113" s="133" t="s">
        <v>176</v>
      </c>
      <c r="S113" s="147" t="s">
        <v>5469</v>
      </c>
    </row>
    <row r="114" spans="1:23" s="147" customFormat="1" ht="16.5" customHeight="1">
      <c r="A114" s="139">
        <v>114</v>
      </c>
      <c r="B114" s="207" t="s">
        <v>227</v>
      </c>
      <c r="D114" s="206"/>
      <c r="F114" s="207"/>
      <c r="G114" s="207"/>
      <c r="H114" s="207"/>
      <c r="I114" s="207"/>
      <c r="J114" s="207"/>
    </row>
    <row r="115" spans="1:23" s="147" customFormat="1" ht="39" customHeight="1">
      <c r="A115" s="133">
        <v>115</v>
      </c>
      <c r="B115" s="207" t="s">
        <v>227</v>
      </c>
      <c r="C115" s="486" t="s">
        <v>5207</v>
      </c>
      <c r="D115" s="206" t="s">
        <v>5470</v>
      </c>
      <c r="E115" s="486" t="s">
        <v>5471</v>
      </c>
      <c r="F115" s="207"/>
      <c r="G115" s="486" t="s">
        <v>5472</v>
      </c>
      <c r="H115" s="207"/>
      <c r="I115" s="207"/>
      <c r="J115" s="207"/>
      <c r="L115" s="147" t="s">
        <v>5473</v>
      </c>
      <c r="M115" s="147" t="s">
        <v>5474</v>
      </c>
      <c r="N115" s="147">
        <v>11</v>
      </c>
      <c r="P115" s="133" t="s">
        <v>195</v>
      </c>
      <c r="S115" s="488" t="s">
        <v>5475</v>
      </c>
      <c r="U115" s="147" t="s">
        <v>146</v>
      </c>
    </row>
    <row r="116" spans="1:23" s="147" customFormat="1" ht="39" customHeight="1">
      <c r="A116" s="139">
        <v>116</v>
      </c>
      <c r="B116" s="207" t="s">
        <v>227</v>
      </c>
      <c r="C116" s="145" t="s">
        <v>5368</v>
      </c>
      <c r="D116" s="137" t="s">
        <v>5369</v>
      </c>
      <c r="E116" s="147" t="s">
        <v>5370</v>
      </c>
      <c r="F116" s="133">
        <v>9712206999</v>
      </c>
      <c r="G116" s="133" t="s">
        <v>5371</v>
      </c>
      <c r="H116" s="133" t="s">
        <v>365</v>
      </c>
      <c r="I116" s="133" t="s">
        <v>5211</v>
      </c>
      <c r="J116" s="133" t="s">
        <v>5187</v>
      </c>
      <c r="K116" s="138" t="s">
        <v>5212</v>
      </c>
      <c r="L116" s="489">
        <v>46273</v>
      </c>
      <c r="M116" s="316">
        <v>46606</v>
      </c>
      <c r="N116" s="133">
        <v>11</v>
      </c>
      <c r="O116" s="133"/>
      <c r="P116" s="133" t="s">
        <v>195</v>
      </c>
      <c r="Q116" s="133"/>
      <c r="R116" s="133"/>
      <c r="S116" s="133" t="s">
        <v>5372</v>
      </c>
      <c r="T116" s="133"/>
      <c r="U116" s="133" t="s">
        <v>513</v>
      </c>
    </row>
    <row r="117" spans="1:23" s="147" customFormat="1" ht="39" customHeight="1">
      <c r="A117" s="133">
        <v>117</v>
      </c>
      <c r="B117" s="207" t="s">
        <v>227</v>
      </c>
      <c r="C117" s="145" t="s">
        <v>5182</v>
      </c>
      <c r="D117" s="137" t="s">
        <v>5183</v>
      </c>
      <c r="E117" s="145" t="s">
        <v>5184</v>
      </c>
      <c r="F117" s="133">
        <v>9892191768</v>
      </c>
      <c r="G117" s="133" t="s">
        <v>5185</v>
      </c>
      <c r="H117" s="133" t="s">
        <v>529</v>
      </c>
      <c r="I117" s="133" t="s">
        <v>5186</v>
      </c>
      <c r="J117" s="133" t="s">
        <v>5187</v>
      </c>
      <c r="K117" s="185">
        <v>9310953621</v>
      </c>
      <c r="L117" s="489">
        <v>45849</v>
      </c>
      <c r="M117" s="489">
        <v>46184</v>
      </c>
      <c r="N117" s="133">
        <v>11</v>
      </c>
      <c r="O117" s="133"/>
      <c r="P117" s="133" t="s">
        <v>195</v>
      </c>
      <c r="Q117" s="133"/>
      <c r="R117" s="133"/>
      <c r="S117" s="133" t="s">
        <v>5188</v>
      </c>
      <c r="T117" s="133"/>
      <c r="U117" s="133" t="s">
        <v>513</v>
      </c>
    </row>
    <row r="118" spans="1:23" s="358" customFormat="1" ht="48" customHeight="1">
      <c r="A118" s="139">
        <v>27</v>
      </c>
      <c r="B118" s="207" t="s">
        <v>227</v>
      </c>
      <c r="C118" s="141" t="s">
        <v>5107</v>
      </c>
      <c r="D118" s="137" t="s">
        <v>5108</v>
      </c>
      <c r="E118" s="147" t="s">
        <v>5109</v>
      </c>
      <c r="F118" s="139"/>
      <c r="G118" s="139" t="s">
        <v>5110</v>
      </c>
      <c r="H118" s="139"/>
      <c r="I118" s="133" t="s">
        <v>5013</v>
      </c>
      <c r="J118" s="133" t="s">
        <v>4977</v>
      </c>
      <c r="K118" s="185"/>
      <c r="L118" s="146" t="s">
        <v>5476</v>
      </c>
      <c r="M118" s="146" t="s">
        <v>5477</v>
      </c>
      <c r="N118" s="139">
        <v>11</v>
      </c>
      <c r="O118" s="139"/>
      <c r="P118" s="133" t="s">
        <v>195</v>
      </c>
      <c r="Q118" s="133"/>
      <c r="R118" s="139"/>
      <c r="S118" s="133" t="s">
        <v>5111</v>
      </c>
      <c r="T118" s="133"/>
      <c r="U118" s="139" t="s">
        <v>513</v>
      </c>
      <c r="V118" s="161"/>
      <c r="W118" s="161"/>
    </row>
    <row r="119" spans="1:23" s="161" customFormat="1" ht="42.75" customHeight="1">
      <c r="A119" s="133">
        <v>71</v>
      </c>
      <c r="B119" s="207" t="s">
        <v>227</v>
      </c>
      <c r="C119" s="141" t="s">
        <v>5344</v>
      </c>
      <c r="D119" s="137" t="s">
        <v>5345</v>
      </c>
      <c r="E119" s="147" t="s">
        <v>4575</v>
      </c>
      <c r="F119" s="139">
        <v>8394064317</v>
      </c>
      <c r="G119" s="139" t="s">
        <v>4576</v>
      </c>
      <c r="H119" s="133" t="s">
        <v>241</v>
      </c>
      <c r="I119" s="139" t="s">
        <v>3700</v>
      </c>
      <c r="J119" s="133" t="s">
        <v>4977</v>
      </c>
      <c r="K119" s="138">
        <v>7703887096</v>
      </c>
      <c r="L119" s="146">
        <v>46061</v>
      </c>
      <c r="M119" s="146">
        <v>46394</v>
      </c>
      <c r="N119" s="139">
        <v>11</v>
      </c>
      <c r="O119" s="139"/>
      <c r="P119" s="133" t="s">
        <v>195</v>
      </c>
      <c r="Q119" s="133"/>
      <c r="R119" s="139"/>
      <c r="S119" s="133" t="s">
        <v>5346</v>
      </c>
      <c r="T119" s="133"/>
      <c r="U119" s="139" t="s">
        <v>513</v>
      </c>
    </row>
    <row r="120" spans="1:23" s="161" customFormat="1" ht="15" customHeight="1">
      <c r="A120" s="139">
        <v>120</v>
      </c>
      <c r="B120" s="207" t="s">
        <v>227</v>
      </c>
      <c r="D120" s="206"/>
      <c r="F120" s="143"/>
      <c r="G120" s="143"/>
      <c r="H120" s="143"/>
      <c r="I120" s="143"/>
      <c r="J120" s="143"/>
    </row>
    <row r="121" spans="1:23" s="161" customFormat="1" ht="15" customHeight="1">
      <c r="A121" s="139"/>
      <c r="B121" s="207"/>
      <c r="D121" s="206"/>
      <c r="F121" s="143"/>
      <c r="G121" s="143"/>
      <c r="H121" s="143"/>
      <c r="I121" s="143"/>
      <c r="J121" s="143"/>
      <c r="S121"/>
    </row>
    <row r="122" spans="1:23" s="161" customFormat="1" ht="15" customHeight="1">
      <c r="A122" s="133">
        <v>121</v>
      </c>
      <c r="B122" s="207" t="s">
        <v>227</v>
      </c>
      <c r="C122" s="161" t="s">
        <v>5478</v>
      </c>
      <c r="D122" s="206" t="s">
        <v>5479</v>
      </c>
      <c r="F122" s="143"/>
      <c r="G122" s="143"/>
      <c r="H122" s="143"/>
      <c r="I122" s="143"/>
      <c r="J122" s="143"/>
      <c r="L122" s="161" t="s">
        <v>2682</v>
      </c>
      <c r="M122" s="161" t="s">
        <v>2683</v>
      </c>
      <c r="N122" s="161">
        <v>11</v>
      </c>
      <c r="P122" s="133" t="s">
        <v>176</v>
      </c>
      <c r="S122" s="500" t="s">
        <v>5480</v>
      </c>
    </row>
    <row r="123" spans="1:23" s="161" customFormat="1" ht="42" customHeight="1">
      <c r="A123" s="133">
        <v>74</v>
      </c>
      <c r="B123" s="139" t="s">
        <v>227</v>
      </c>
      <c r="C123" s="141" t="s">
        <v>5357</v>
      </c>
      <c r="D123" s="137" t="s">
        <v>5358</v>
      </c>
      <c r="E123" s="147" t="s">
        <v>5359</v>
      </c>
      <c r="F123" s="139">
        <v>9958499555</v>
      </c>
      <c r="G123" s="139" t="s">
        <v>5360</v>
      </c>
      <c r="H123" s="133" t="s">
        <v>241</v>
      </c>
      <c r="I123" s="139" t="s">
        <v>5186</v>
      </c>
      <c r="J123" s="133" t="s">
        <v>5187</v>
      </c>
      <c r="K123" s="138">
        <v>9310953621</v>
      </c>
      <c r="L123" s="146">
        <v>46364</v>
      </c>
      <c r="M123" s="146">
        <v>46698</v>
      </c>
      <c r="N123" s="139">
        <v>11</v>
      </c>
      <c r="O123" s="139"/>
      <c r="P123" s="133" t="s">
        <v>195</v>
      </c>
      <c r="Q123" s="133"/>
      <c r="R123" s="139"/>
      <c r="S123" s="133" t="s">
        <v>5481</v>
      </c>
      <c r="T123" s="133"/>
      <c r="U123" s="139" t="s">
        <v>513</v>
      </c>
    </row>
    <row r="124" spans="1:23" s="161" customFormat="1" ht="15" customHeight="1">
      <c r="A124" s="22">
        <v>3</v>
      </c>
      <c r="B124" s="10" t="s">
        <v>227</v>
      </c>
      <c r="C124" s="1"/>
      <c r="D124" s="33" t="s">
        <v>5482</v>
      </c>
      <c r="E124" s="1"/>
      <c r="F124" s="10"/>
      <c r="G124" s="10"/>
      <c r="H124" s="10"/>
      <c r="I124" s="10"/>
      <c r="J124" s="10"/>
      <c r="K124" s="1"/>
      <c r="L124" s="1" t="s">
        <v>5483</v>
      </c>
      <c r="M124" s="1" t="s">
        <v>5484</v>
      </c>
      <c r="N124" s="1">
        <v>11</v>
      </c>
      <c r="O124" s="1"/>
      <c r="P124" s="1" t="s">
        <v>5485</v>
      </c>
      <c r="Q124" s="1" t="s">
        <v>5486</v>
      </c>
      <c r="R124" s="1"/>
      <c r="S124" s="1"/>
      <c r="T124" s="1"/>
      <c r="U124" s="1"/>
      <c r="V124" s="1"/>
    </row>
    <row r="125" spans="1:23" s="161" customFormat="1" ht="15" customHeight="1">
      <c r="A125" s="22">
        <v>4</v>
      </c>
      <c r="B125" s="10" t="s">
        <v>227</v>
      </c>
      <c r="C125" s="1"/>
      <c r="D125" s="33" t="s">
        <v>5487</v>
      </c>
      <c r="E125" s="1"/>
      <c r="F125" s="10"/>
      <c r="G125" s="10"/>
      <c r="H125" s="10"/>
      <c r="I125" s="10"/>
      <c r="J125" s="10"/>
      <c r="K125" s="1"/>
      <c r="L125" s="1" t="s">
        <v>5488</v>
      </c>
      <c r="M125" s="1" t="s">
        <v>5489</v>
      </c>
      <c r="N125" s="1">
        <v>11</v>
      </c>
      <c r="O125" s="1"/>
      <c r="P125" s="1" t="s">
        <v>5490</v>
      </c>
      <c r="Q125" s="1" t="s">
        <v>5491</v>
      </c>
      <c r="R125" s="1"/>
      <c r="S125" s="1"/>
      <c r="T125" s="1"/>
      <c r="U125" s="1"/>
      <c r="V125" s="1"/>
    </row>
    <row r="126" spans="1:23" s="161" customFormat="1" ht="15" customHeight="1">
      <c r="A126" s="139"/>
      <c r="B126" s="143"/>
      <c r="D126" s="206"/>
      <c r="F126" s="143"/>
      <c r="G126" s="143"/>
      <c r="H126" s="143"/>
      <c r="I126" s="143"/>
      <c r="J126" s="143"/>
    </row>
    <row r="127" spans="1:23" s="161" customFormat="1" ht="15" customHeight="1">
      <c r="A127" s="139"/>
      <c r="B127" s="143"/>
      <c r="D127" s="206"/>
      <c r="F127" s="143"/>
      <c r="G127" s="143"/>
      <c r="H127" s="143"/>
      <c r="I127" s="143"/>
      <c r="J127" s="143"/>
    </row>
  </sheetData>
  <dataValidations count="2">
    <dataValidation type="list" allowBlank="1" showInputMessage="1" showErrorMessage="1" sqref="P1:Q7 P62:Q62 P70:Q71 P9:Q11 P64:Q64 P66:Q67 P46:Q52 P58:Q58 P54:Q56 P42:Q44 P36:Q40 P30:Q33 P27:Q28 P19:Q25 P14:Q17 P60:Q60 P74:Q76 P78:Q80 P83:Q86 P88:Q89 P91:Q105 P107:Q107 P110:Q110 P111:P112 P115 P116:Q119 P123:Q123" xr:uid="{1E44AA96-08AC-48D4-8073-A70EFA9BB30F}">
      <formula1>$Z$2:$Z$10</formula1>
    </dataValidation>
    <dataValidation type="list" allowBlank="1" showInputMessage="1" showErrorMessage="1" sqref="P8:Q8 P72:Q73 P63:Q63 P68:Q69 P65:Q65 P59:Q59 P57:Q57 P53:Q53 P45:Q45 P41:Q41 P34:Q35 P26:Q26 P18:Q18 P12:Q13 P77:Q77 P81:Q82 P87:Q87 P90:Q90 P106:Q106 P108:Q109 P113 P122" xr:uid="{99CE39EA-BFD9-463B-9E84-5FFD037716EA}">
      <formula1>$Y$2:$Y$10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9F9B-48DF-4825-B902-F9E76755EF6A}">
  <dimension ref="A1:V63"/>
  <sheetViews>
    <sheetView workbookViewId="0">
      <pane xSplit="1" ySplit="1" topLeftCell="E47" activePane="bottomRight" state="frozen"/>
      <selection pane="bottomRight" activeCell="U49" sqref="U49"/>
      <selection pane="bottomLeft"/>
      <selection pane="topRight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22.140625" style="57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1.42578125" bestFit="1" customWidth="1"/>
    <col min="14" max="14" width="10.28515625" customWidth="1"/>
    <col min="15" max="15" width="17" customWidth="1"/>
    <col min="16" max="16" width="6.140625" customWidth="1"/>
    <col min="17" max="17" width="21.5703125" bestFit="1" customWidth="1"/>
    <col min="18" max="18" width="17" bestFit="1" customWidth="1"/>
    <col min="22" max="22" width="23.7109375" bestFit="1" customWidth="1"/>
  </cols>
  <sheetData>
    <row r="1" spans="1:22" ht="60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2"/>
      <c r="Q1" s="202" t="s">
        <v>2692</v>
      </c>
    </row>
    <row r="2" spans="1:22" s="29" customFormat="1" ht="46.9" customHeight="1">
      <c r="A2" s="7">
        <v>1</v>
      </c>
      <c r="B2" s="7" t="s">
        <v>5492</v>
      </c>
      <c r="C2" s="85" t="s">
        <v>5493</v>
      </c>
      <c r="D2" s="55" t="s">
        <v>5494</v>
      </c>
      <c r="E2" s="86" t="s">
        <v>5495</v>
      </c>
      <c r="F2" s="21">
        <v>9599577434</v>
      </c>
      <c r="G2" s="21" t="s">
        <v>5496</v>
      </c>
      <c r="H2" s="7" t="s">
        <v>194</v>
      </c>
      <c r="I2" s="7"/>
      <c r="J2" s="7"/>
      <c r="K2" s="81"/>
      <c r="L2" s="8">
        <v>45706</v>
      </c>
      <c r="M2" s="8"/>
      <c r="N2" s="7">
        <v>11</v>
      </c>
      <c r="O2" s="44" t="s">
        <v>195</v>
      </c>
      <c r="P2" s="7"/>
      <c r="Q2" s="139"/>
    </row>
    <row r="3" spans="1:22" ht="76.5">
      <c r="A3" s="7">
        <v>2</v>
      </c>
      <c r="B3" s="7" t="s">
        <v>5492</v>
      </c>
      <c r="C3" s="7" t="s">
        <v>5497</v>
      </c>
      <c r="D3" s="7" t="s">
        <v>5498</v>
      </c>
      <c r="E3" s="20" t="s">
        <v>5499</v>
      </c>
      <c r="F3" s="21">
        <v>9696960919</v>
      </c>
      <c r="G3" s="21" t="s">
        <v>5500</v>
      </c>
      <c r="H3" s="7" t="s">
        <v>354</v>
      </c>
      <c r="I3" s="7" t="s">
        <v>5501</v>
      </c>
      <c r="J3" s="7"/>
      <c r="K3" s="81"/>
      <c r="L3" s="8">
        <v>45726</v>
      </c>
      <c r="M3" s="8"/>
      <c r="N3" s="7">
        <v>11</v>
      </c>
      <c r="O3" s="44" t="s">
        <v>195</v>
      </c>
      <c r="P3" s="7"/>
      <c r="Q3" s="139"/>
      <c r="R3" s="29"/>
      <c r="S3" s="29"/>
    </row>
    <row r="4" spans="1:22" ht="33">
      <c r="A4" s="7">
        <v>3</v>
      </c>
      <c r="B4" s="7" t="s">
        <v>5492</v>
      </c>
      <c r="C4" s="7" t="s">
        <v>5502</v>
      </c>
      <c r="D4" s="7" t="s">
        <v>5503</v>
      </c>
      <c r="E4" s="25" t="s">
        <v>5504</v>
      </c>
      <c r="F4" s="22">
        <v>9892537222</v>
      </c>
      <c r="G4" s="48" t="s">
        <v>5505</v>
      </c>
      <c r="H4" s="7" t="s">
        <v>354</v>
      </c>
      <c r="I4" s="7" t="s">
        <v>5501</v>
      </c>
      <c r="J4" s="7"/>
      <c r="K4" s="26"/>
      <c r="L4" s="8">
        <v>45726</v>
      </c>
      <c r="M4" s="27"/>
      <c r="N4" s="22">
        <v>11</v>
      </c>
      <c r="O4" s="7" t="s">
        <v>176</v>
      </c>
      <c r="P4" s="22"/>
      <c r="Q4" s="139"/>
      <c r="R4" s="29"/>
      <c r="S4" s="29"/>
    </row>
    <row r="5" spans="1:22" ht="55.5">
      <c r="A5" s="7">
        <v>4</v>
      </c>
      <c r="B5" s="7" t="s">
        <v>5492</v>
      </c>
      <c r="C5" s="22" t="s">
        <v>5506</v>
      </c>
      <c r="D5" s="7" t="s">
        <v>5507</v>
      </c>
      <c r="E5" s="25" t="s">
        <v>5508</v>
      </c>
      <c r="F5" s="22">
        <v>9529028162</v>
      </c>
      <c r="G5" s="22" t="s">
        <v>5509</v>
      </c>
      <c r="H5" s="7" t="s">
        <v>354</v>
      </c>
      <c r="I5" s="7" t="s">
        <v>5501</v>
      </c>
      <c r="J5" s="7"/>
      <c r="K5" s="17"/>
      <c r="L5" s="27">
        <v>45735</v>
      </c>
      <c r="M5" s="27"/>
      <c r="N5" s="22">
        <v>11</v>
      </c>
      <c r="O5" s="7" t="s">
        <v>176</v>
      </c>
      <c r="P5" s="22"/>
      <c r="Q5" s="139"/>
      <c r="R5" s="29"/>
      <c r="S5" s="29"/>
    </row>
    <row r="6" spans="1:22" s="29" customFormat="1" ht="66.75">
      <c r="A6" s="7">
        <v>5</v>
      </c>
      <c r="B6" s="7" t="s">
        <v>5492</v>
      </c>
      <c r="C6" s="22" t="s">
        <v>5510</v>
      </c>
      <c r="D6" s="7" t="s">
        <v>5511</v>
      </c>
      <c r="E6" s="25" t="s">
        <v>5512</v>
      </c>
      <c r="F6" s="22">
        <v>7090005315</v>
      </c>
      <c r="G6" s="22" t="s">
        <v>5513</v>
      </c>
      <c r="H6" s="22" t="s">
        <v>1737</v>
      </c>
      <c r="I6" s="7" t="s">
        <v>5501</v>
      </c>
      <c r="J6" s="7"/>
      <c r="K6" s="36"/>
      <c r="L6" s="27">
        <v>45741</v>
      </c>
      <c r="M6" s="27"/>
      <c r="N6" s="22">
        <v>11</v>
      </c>
      <c r="O6" s="7" t="s">
        <v>176</v>
      </c>
      <c r="P6" s="22"/>
      <c r="Q6" s="139"/>
    </row>
    <row r="7" spans="1:22" ht="44.25">
      <c r="A7" s="7">
        <v>6</v>
      </c>
      <c r="B7" s="24" t="s">
        <v>227</v>
      </c>
      <c r="C7" s="22" t="s">
        <v>5514</v>
      </c>
      <c r="D7" s="7" t="s">
        <v>5515</v>
      </c>
      <c r="E7" s="25" t="s">
        <v>5516</v>
      </c>
      <c r="F7" s="10">
        <v>9529028162</v>
      </c>
      <c r="G7" s="10" t="s">
        <v>5509</v>
      </c>
      <c r="H7" s="22" t="s">
        <v>1737</v>
      </c>
      <c r="I7" s="7" t="s">
        <v>5501</v>
      </c>
      <c r="J7" s="7"/>
      <c r="K7" s="26"/>
      <c r="L7" s="27">
        <v>45761</v>
      </c>
      <c r="M7" s="27"/>
      <c r="N7" s="22">
        <v>11</v>
      </c>
      <c r="O7" s="7" t="s">
        <v>176</v>
      </c>
      <c r="P7" s="22"/>
      <c r="Q7" s="139"/>
      <c r="V7" s="16"/>
    </row>
    <row r="8" spans="1:22" ht="76.5">
      <c r="A8" s="7">
        <v>7</v>
      </c>
      <c r="B8" s="24" t="s">
        <v>227</v>
      </c>
      <c r="C8" s="22" t="s">
        <v>5517</v>
      </c>
      <c r="D8" s="7" t="s">
        <v>5518</v>
      </c>
      <c r="E8" s="31" t="s">
        <v>5519</v>
      </c>
      <c r="F8" s="7">
        <v>7795885375</v>
      </c>
      <c r="G8" s="22" t="s">
        <v>5520</v>
      </c>
      <c r="H8" s="22" t="s">
        <v>1737</v>
      </c>
      <c r="I8" s="7" t="s">
        <v>5501</v>
      </c>
      <c r="J8" s="7"/>
      <c r="K8" s="22"/>
      <c r="L8" s="27">
        <v>45761</v>
      </c>
      <c r="M8" s="27"/>
      <c r="N8" s="22">
        <v>11</v>
      </c>
      <c r="O8" s="7" t="s">
        <v>176</v>
      </c>
      <c r="P8" s="22"/>
      <c r="Q8" s="139"/>
    </row>
    <row r="9" spans="1:22" ht="60.75">
      <c r="A9" s="7">
        <v>8</v>
      </c>
      <c r="B9" s="24" t="s">
        <v>227</v>
      </c>
      <c r="C9" s="7" t="s">
        <v>5521</v>
      </c>
      <c r="D9" s="7" t="s">
        <v>5522</v>
      </c>
      <c r="E9" s="33" t="s">
        <v>5523</v>
      </c>
      <c r="F9" s="22">
        <v>8139063984</v>
      </c>
      <c r="G9" s="22" t="s">
        <v>5524</v>
      </c>
      <c r="H9" s="22" t="s">
        <v>202</v>
      </c>
      <c r="I9" s="7" t="s">
        <v>5501</v>
      </c>
      <c r="J9" s="7"/>
      <c r="K9" s="36"/>
      <c r="L9" s="27">
        <v>45769</v>
      </c>
      <c r="M9" s="27"/>
      <c r="N9" s="22">
        <v>11</v>
      </c>
      <c r="O9" s="7" t="s">
        <v>176</v>
      </c>
      <c r="P9" s="22"/>
      <c r="Q9" s="139"/>
    </row>
    <row r="10" spans="1:22" ht="76.5">
      <c r="A10" s="7">
        <v>9</v>
      </c>
      <c r="B10" s="24" t="s">
        <v>227</v>
      </c>
      <c r="C10" s="7" t="s">
        <v>5525</v>
      </c>
      <c r="D10" s="7" t="s">
        <v>5526</v>
      </c>
      <c r="E10" s="31" t="s">
        <v>5527</v>
      </c>
      <c r="F10" s="49">
        <v>9311008804</v>
      </c>
      <c r="G10" s="7" t="s">
        <v>5528</v>
      </c>
      <c r="H10" s="7" t="s">
        <v>241</v>
      </c>
      <c r="I10" s="7" t="s">
        <v>5501</v>
      </c>
      <c r="J10" s="7"/>
      <c r="K10" s="36"/>
      <c r="L10" s="27">
        <v>45769</v>
      </c>
      <c r="M10" s="27"/>
      <c r="N10" s="22">
        <v>11</v>
      </c>
      <c r="O10" s="7" t="s">
        <v>176</v>
      </c>
      <c r="P10" s="22"/>
      <c r="Q10" s="139"/>
    </row>
    <row r="11" spans="1:22" ht="76.5">
      <c r="A11" s="7">
        <v>10</v>
      </c>
      <c r="B11" s="22"/>
      <c r="C11" s="22"/>
      <c r="D11" s="7" t="s">
        <v>5529</v>
      </c>
      <c r="E11" s="33" t="s">
        <v>5530</v>
      </c>
      <c r="F11" s="7">
        <v>9831661155</v>
      </c>
      <c r="G11" s="7" t="s">
        <v>5531</v>
      </c>
      <c r="H11" s="7" t="s">
        <v>290</v>
      </c>
      <c r="I11" s="7" t="s">
        <v>5501</v>
      </c>
      <c r="J11" s="7"/>
      <c r="K11" s="36"/>
      <c r="L11" s="27">
        <v>45779</v>
      </c>
      <c r="M11" s="27"/>
      <c r="N11" s="22">
        <v>11</v>
      </c>
      <c r="O11" s="44" t="s">
        <v>195</v>
      </c>
      <c r="P11" s="22"/>
      <c r="Q11" s="139"/>
    </row>
    <row r="12" spans="1:22" s="29" customFormat="1" ht="106.5">
      <c r="A12" s="7">
        <v>11</v>
      </c>
      <c r="B12" s="24"/>
      <c r="C12" s="22"/>
      <c r="D12" s="7" t="s">
        <v>5532</v>
      </c>
      <c r="E12" s="31" t="s">
        <v>5533</v>
      </c>
      <c r="F12" s="22">
        <v>9632978741</v>
      </c>
      <c r="G12" s="22" t="s">
        <v>5534</v>
      </c>
      <c r="H12" s="22" t="s">
        <v>1737</v>
      </c>
      <c r="I12" s="7" t="s">
        <v>5501</v>
      </c>
      <c r="J12" s="7"/>
      <c r="K12" s="17"/>
      <c r="L12" s="27">
        <v>45789</v>
      </c>
      <c r="M12" s="27"/>
      <c r="N12" s="22">
        <v>11</v>
      </c>
      <c r="O12" s="7" t="s">
        <v>176</v>
      </c>
      <c r="P12" s="22"/>
      <c r="Q12" s="139"/>
    </row>
    <row r="13" spans="1:22" s="29" customFormat="1" ht="30.75">
      <c r="A13" s="7">
        <v>12</v>
      </c>
      <c r="B13" s="24"/>
      <c r="C13" s="49" t="s">
        <v>5535</v>
      </c>
      <c r="D13" s="49" t="s">
        <v>5536</v>
      </c>
      <c r="E13" s="49" t="s">
        <v>5537</v>
      </c>
      <c r="F13" s="49">
        <v>9831661155</v>
      </c>
      <c r="G13" s="49" t="s">
        <v>5531</v>
      </c>
      <c r="H13" s="49" t="s">
        <v>5538</v>
      </c>
      <c r="L13" s="127">
        <v>45827</v>
      </c>
      <c r="M13" s="127">
        <v>46161</v>
      </c>
      <c r="N13" s="22">
        <v>11</v>
      </c>
      <c r="O13" s="44" t="s">
        <v>195</v>
      </c>
      <c r="P13" s="22"/>
      <c r="Q13" s="139"/>
    </row>
    <row r="14" spans="1:22" s="29" customFormat="1" ht="61.5">
      <c r="A14" s="7">
        <v>13</v>
      </c>
      <c r="B14" s="24"/>
      <c r="C14" s="49" t="s">
        <v>5539</v>
      </c>
      <c r="D14" s="49" t="s">
        <v>5540</v>
      </c>
      <c r="E14" s="49" t="s">
        <v>5541</v>
      </c>
      <c r="F14" s="49">
        <v>9400794068</v>
      </c>
      <c r="G14" s="49" t="s">
        <v>5542</v>
      </c>
      <c r="H14" s="49" t="s">
        <v>202</v>
      </c>
      <c r="K14" s="17"/>
      <c r="L14" s="127">
        <v>45831</v>
      </c>
      <c r="M14" s="127">
        <v>46165</v>
      </c>
      <c r="N14" s="22">
        <v>11</v>
      </c>
      <c r="O14" s="44" t="s">
        <v>195</v>
      </c>
      <c r="P14" s="22"/>
      <c r="Q14" s="139"/>
    </row>
    <row r="15" spans="1:22" s="29" customFormat="1" ht="96.75">
      <c r="A15" s="7">
        <v>14</v>
      </c>
      <c r="B15" s="24"/>
      <c r="C15" s="128" t="s">
        <v>5543</v>
      </c>
      <c r="D15" s="128" t="s">
        <v>5544</v>
      </c>
      <c r="E15" s="128" t="s">
        <v>5545</v>
      </c>
      <c r="F15" s="128">
        <v>9400794068</v>
      </c>
      <c r="G15" s="128" t="s">
        <v>5546</v>
      </c>
      <c r="H15" s="128" t="s">
        <v>5547</v>
      </c>
      <c r="K15" s="36"/>
      <c r="L15" s="127">
        <v>45831</v>
      </c>
      <c r="M15" s="127">
        <v>46165</v>
      </c>
      <c r="N15" s="22">
        <v>11</v>
      </c>
      <c r="O15" s="44" t="s">
        <v>195</v>
      </c>
      <c r="P15" s="22"/>
      <c r="Q15" s="139"/>
    </row>
    <row r="16" spans="1:22" s="29" customFormat="1" ht="76.5">
      <c r="A16" s="7">
        <v>15</v>
      </c>
      <c r="B16" s="24"/>
      <c r="C16" s="38"/>
      <c r="D16" s="15" t="s">
        <v>5548</v>
      </c>
      <c r="E16" s="15" t="s">
        <v>5549</v>
      </c>
      <c r="F16" s="22">
        <v>9611627436</v>
      </c>
      <c r="G16" s="22" t="s">
        <v>5550</v>
      </c>
      <c r="H16" s="22"/>
      <c r="I16" s="22"/>
      <c r="J16" s="22"/>
      <c r="K16" s="38"/>
      <c r="L16" s="37">
        <v>45845</v>
      </c>
      <c r="M16" s="37"/>
      <c r="N16" s="22">
        <v>11</v>
      </c>
      <c r="O16" s="44" t="s">
        <v>195</v>
      </c>
      <c r="P16" s="22"/>
      <c r="Q16" s="139"/>
    </row>
    <row r="17" spans="1:18" ht="45.75">
      <c r="A17" s="7">
        <v>16</v>
      </c>
      <c r="B17" s="24"/>
      <c r="C17" s="45"/>
      <c r="D17" s="58" t="s">
        <v>5551</v>
      </c>
      <c r="E17" s="46" t="s">
        <v>5552</v>
      </c>
      <c r="F17" s="43">
        <v>6364613365</v>
      </c>
      <c r="G17" s="43"/>
      <c r="H17" s="44"/>
      <c r="I17" s="7"/>
      <c r="J17" s="7"/>
      <c r="K17" s="36"/>
      <c r="L17" s="42">
        <v>45854</v>
      </c>
      <c r="M17" s="42"/>
      <c r="N17" s="43">
        <v>11</v>
      </c>
      <c r="O17" s="44" t="s">
        <v>203</v>
      </c>
      <c r="P17" s="22"/>
      <c r="Q17" s="139"/>
    </row>
    <row r="18" spans="1:18" ht="60.75">
      <c r="A18" s="7">
        <v>17</v>
      </c>
      <c r="B18" s="52"/>
      <c r="C18" s="45"/>
      <c r="D18" s="58" t="s">
        <v>5553</v>
      </c>
      <c r="E18" s="46" t="s">
        <v>5554</v>
      </c>
      <c r="F18" s="43">
        <v>8210610060</v>
      </c>
      <c r="G18" s="43" t="s">
        <v>5555</v>
      </c>
      <c r="H18" s="44"/>
      <c r="I18" s="22"/>
      <c r="J18" s="7"/>
      <c r="K18" s="17"/>
      <c r="L18" s="42">
        <v>45856</v>
      </c>
      <c r="M18" s="42"/>
      <c r="N18" s="43">
        <v>11</v>
      </c>
      <c r="O18" s="44" t="s">
        <v>195</v>
      </c>
      <c r="P18" s="22"/>
      <c r="Q18" s="139"/>
    </row>
    <row r="19" spans="1:18" ht="60.75">
      <c r="A19" s="7">
        <v>18</v>
      </c>
      <c r="B19" s="52"/>
      <c r="C19" s="45"/>
      <c r="D19" s="58" t="s">
        <v>5556</v>
      </c>
      <c r="E19" s="46" t="s">
        <v>5557</v>
      </c>
      <c r="F19" s="43">
        <v>9943014414</v>
      </c>
      <c r="G19" s="43" t="s">
        <v>5558</v>
      </c>
      <c r="H19" s="44"/>
      <c r="I19" s="22"/>
      <c r="J19" s="7"/>
      <c r="K19" s="17"/>
      <c r="L19" s="42">
        <v>45868</v>
      </c>
      <c r="M19" s="42"/>
      <c r="N19" s="43">
        <v>11</v>
      </c>
      <c r="O19" s="44" t="s">
        <v>195</v>
      </c>
      <c r="P19" s="22"/>
      <c r="Q19" s="139"/>
    </row>
    <row r="20" spans="1:18" ht="60.75">
      <c r="A20" s="7">
        <v>19</v>
      </c>
      <c r="B20" s="52"/>
      <c r="C20" s="45"/>
      <c r="D20" s="58" t="s">
        <v>5559</v>
      </c>
      <c r="E20" s="41" t="s">
        <v>5557</v>
      </c>
      <c r="F20" s="45">
        <v>9943014414</v>
      </c>
      <c r="G20" s="45" t="s">
        <v>5558</v>
      </c>
      <c r="H20" s="43"/>
      <c r="I20" s="22"/>
      <c r="J20" s="7"/>
      <c r="K20" s="17"/>
      <c r="L20" s="42">
        <v>45868</v>
      </c>
      <c r="M20" s="42"/>
      <c r="N20" s="43">
        <v>11</v>
      </c>
      <c r="O20" s="44" t="s">
        <v>195</v>
      </c>
      <c r="P20" s="22"/>
      <c r="Q20" s="139"/>
    </row>
    <row r="21" spans="1:18" s="29" customFormat="1" ht="60.75">
      <c r="A21" s="7">
        <v>20</v>
      </c>
      <c r="B21" s="52" t="s">
        <v>227</v>
      </c>
      <c r="C21" s="45" t="s">
        <v>5560</v>
      </c>
      <c r="D21" s="46" t="s">
        <v>5561</v>
      </c>
      <c r="E21" s="46" t="s">
        <v>5562</v>
      </c>
      <c r="F21" s="43">
        <v>7406563253</v>
      </c>
      <c r="G21" s="43" t="s">
        <v>5563</v>
      </c>
      <c r="H21" s="43" t="s">
        <v>5547</v>
      </c>
      <c r="I21" s="22" t="s">
        <v>5564</v>
      </c>
      <c r="J21" s="7" t="s">
        <v>5565</v>
      </c>
      <c r="K21" s="17" t="s">
        <v>5566</v>
      </c>
      <c r="L21" s="42">
        <v>45870</v>
      </c>
      <c r="M21" s="42">
        <v>46204</v>
      </c>
      <c r="N21" s="43">
        <v>11</v>
      </c>
      <c r="O21" s="44" t="s">
        <v>195</v>
      </c>
      <c r="P21" s="22"/>
      <c r="Q21" s="139"/>
    </row>
    <row r="22" spans="1:18" s="29" customFormat="1" ht="91.5">
      <c r="A22" s="7">
        <v>21</v>
      </c>
      <c r="B22" s="52" t="s">
        <v>227</v>
      </c>
      <c r="C22" s="45" t="s">
        <v>5567</v>
      </c>
      <c r="D22" s="46" t="s">
        <v>5568</v>
      </c>
      <c r="E22" s="46" t="s">
        <v>5569</v>
      </c>
      <c r="F22" s="43">
        <v>9950929716</v>
      </c>
      <c r="G22" s="43" t="s">
        <v>5570</v>
      </c>
      <c r="H22" s="43" t="s">
        <v>5547</v>
      </c>
      <c r="I22" s="22" t="s">
        <v>5564</v>
      </c>
      <c r="J22" s="7" t="s">
        <v>5565</v>
      </c>
      <c r="K22" s="17" t="s">
        <v>5566</v>
      </c>
      <c r="L22" s="42">
        <v>45883</v>
      </c>
      <c r="M22" s="42">
        <v>46217</v>
      </c>
      <c r="N22" s="43">
        <v>11</v>
      </c>
      <c r="O22" s="44" t="s">
        <v>195</v>
      </c>
      <c r="P22" s="22"/>
      <c r="Q22" s="139"/>
    </row>
    <row r="23" spans="1:18" s="29" customFormat="1" ht="76.5">
      <c r="A23" s="7">
        <v>22</v>
      </c>
      <c r="B23" s="52" t="s">
        <v>227</v>
      </c>
      <c r="C23" s="59" t="s">
        <v>5571</v>
      </c>
      <c r="D23" s="58" t="s">
        <v>5572</v>
      </c>
      <c r="E23" s="46" t="s">
        <v>5573</v>
      </c>
      <c r="F23" s="43">
        <v>9928073111</v>
      </c>
      <c r="G23" s="43" t="s">
        <v>5574</v>
      </c>
      <c r="H23" s="43" t="s">
        <v>444</v>
      </c>
      <c r="I23" s="22" t="s">
        <v>5564</v>
      </c>
      <c r="J23" s="7" t="s">
        <v>5565</v>
      </c>
      <c r="K23" s="17" t="s">
        <v>5566</v>
      </c>
      <c r="L23" s="42">
        <v>45898</v>
      </c>
      <c r="M23" s="42">
        <v>46232</v>
      </c>
      <c r="N23" s="43">
        <v>11</v>
      </c>
      <c r="O23" s="7" t="s">
        <v>176</v>
      </c>
      <c r="P23" s="22"/>
      <c r="Q23" s="139"/>
    </row>
    <row r="24" spans="1:18" ht="60.75">
      <c r="A24" s="7">
        <v>23</v>
      </c>
      <c r="B24" s="52" t="s">
        <v>227</v>
      </c>
      <c r="C24" s="46" t="s">
        <v>5575</v>
      </c>
      <c r="D24" s="58" t="s">
        <v>5576</v>
      </c>
      <c r="E24" s="41" t="s">
        <v>5577</v>
      </c>
      <c r="F24" s="43">
        <v>8792680113</v>
      </c>
      <c r="G24" s="43" t="s">
        <v>5578</v>
      </c>
      <c r="H24" s="43" t="s">
        <v>2095</v>
      </c>
      <c r="I24" s="22" t="s">
        <v>5564</v>
      </c>
      <c r="J24" s="7" t="s">
        <v>5565</v>
      </c>
      <c r="K24" s="17" t="s">
        <v>5566</v>
      </c>
      <c r="L24" s="42">
        <v>45918</v>
      </c>
      <c r="M24" s="42">
        <v>46252</v>
      </c>
      <c r="N24" s="43">
        <v>11</v>
      </c>
      <c r="O24" s="7" t="s">
        <v>176</v>
      </c>
      <c r="P24" s="22"/>
      <c r="Q24" s="139"/>
    </row>
    <row r="25" spans="1:18" ht="76.5">
      <c r="A25" s="7">
        <v>24</v>
      </c>
      <c r="B25" s="52" t="s">
        <v>227</v>
      </c>
      <c r="C25" s="45" t="s">
        <v>5579</v>
      </c>
      <c r="D25" s="46" t="s">
        <v>5580</v>
      </c>
      <c r="E25" s="41" t="s">
        <v>5581</v>
      </c>
      <c r="F25" s="43">
        <v>9606321477</v>
      </c>
      <c r="G25" s="43" t="s">
        <v>5582</v>
      </c>
      <c r="H25" s="43" t="s">
        <v>1737</v>
      </c>
      <c r="I25" s="22" t="s">
        <v>5564</v>
      </c>
      <c r="J25" s="7" t="s">
        <v>5565</v>
      </c>
      <c r="K25" s="17" t="s">
        <v>5566</v>
      </c>
      <c r="L25" s="42">
        <v>45913</v>
      </c>
      <c r="M25" s="42">
        <v>46247</v>
      </c>
      <c r="N25" s="43">
        <v>11</v>
      </c>
      <c r="O25" s="7" t="s">
        <v>176</v>
      </c>
      <c r="P25" s="22"/>
      <c r="Q25" s="139"/>
    </row>
    <row r="26" spans="1:18" s="174" customFormat="1" ht="60.75">
      <c r="A26" s="18">
        <v>25</v>
      </c>
      <c r="B26" s="299" t="s">
        <v>227</v>
      </c>
      <c r="C26" s="252" t="s">
        <v>5583</v>
      </c>
      <c r="D26" s="253" t="s">
        <v>5583</v>
      </c>
      <c r="E26" s="254" t="s">
        <v>5584</v>
      </c>
      <c r="F26" s="192">
        <v>9830936584</v>
      </c>
      <c r="G26" s="192" t="s">
        <v>5585</v>
      </c>
      <c r="H26" s="192" t="s">
        <v>290</v>
      </c>
      <c r="I26" s="218" t="s">
        <v>5564</v>
      </c>
      <c r="J26" s="18" t="s">
        <v>5565</v>
      </c>
      <c r="K26" s="297" t="s">
        <v>5566</v>
      </c>
      <c r="L26" s="257">
        <v>45923</v>
      </c>
      <c r="M26" s="257">
        <v>46257</v>
      </c>
      <c r="N26" s="192">
        <v>11</v>
      </c>
      <c r="O26" s="18" t="s">
        <v>176</v>
      </c>
      <c r="P26" s="218"/>
      <c r="Q26" s="179" t="s">
        <v>1714</v>
      </c>
    </row>
    <row r="27" spans="1:18" ht="45.75">
      <c r="A27" s="7">
        <v>26</v>
      </c>
      <c r="B27" s="52" t="s">
        <v>227</v>
      </c>
      <c r="C27" s="45" t="s">
        <v>5586</v>
      </c>
      <c r="D27" s="46" t="s">
        <v>5587</v>
      </c>
      <c r="E27" s="41" t="s">
        <v>5588</v>
      </c>
      <c r="F27" s="43" t="s">
        <v>5589</v>
      </c>
      <c r="G27" s="43" t="s">
        <v>5590</v>
      </c>
      <c r="H27" s="43" t="s">
        <v>444</v>
      </c>
      <c r="I27" s="22" t="s">
        <v>5564</v>
      </c>
      <c r="J27" s="7" t="s">
        <v>5565</v>
      </c>
      <c r="K27" s="17" t="s">
        <v>5566</v>
      </c>
      <c r="L27" s="42">
        <v>45923</v>
      </c>
      <c r="M27" s="42">
        <v>46257</v>
      </c>
      <c r="N27" s="43">
        <v>11</v>
      </c>
      <c r="O27" s="7" t="s">
        <v>176</v>
      </c>
      <c r="P27" s="22"/>
      <c r="Q27" s="139"/>
    </row>
    <row r="28" spans="1:18" ht="60.75">
      <c r="A28" s="7">
        <v>27</v>
      </c>
      <c r="B28" s="52" t="s">
        <v>227</v>
      </c>
      <c r="C28" s="45" t="s">
        <v>5591</v>
      </c>
      <c r="D28" s="46" t="s">
        <v>56</v>
      </c>
      <c r="E28" s="41" t="s">
        <v>5592</v>
      </c>
      <c r="F28" s="43">
        <v>9163708643</v>
      </c>
      <c r="G28" s="43" t="s">
        <v>5593</v>
      </c>
      <c r="H28" s="43" t="s">
        <v>241</v>
      </c>
      <c r="I28" s="22" t="s">
        <v>5564</v>
      </c>
      <c r="J28" s="7" t="s">
        <v>5565</v>
      </c>
      <c r="K28" s="17" t="s">
        <v>5566</v>
      </c>
      <c r="L28" s="42">
        <v>45939</v>
      </c>
      <c r="M28" s="42">
        <v>46274</v>
      </c>
      <c r="N28" s="43">
        <v>11</v>
      </c>
      <c r="O28" s="44" t="s">
        <v>195</v>
      </c>
      <c r="P28" s="22"/>
      <c r="Q28" s="139"/>
    </row>
    <row r="29" spans="1:18" ht="45.75">
      <c r="A29" s="7">
        <v>28</v>
      </c>
      <c r="B29" s="52" t="s">
        <v>227</v>
      </c>
      <c r="C29" s="46" t="s">
        <v>5594</v>
      </c>
      <c r="D29" s="46" t="s">
        <v>5595</v>
      </c>
      <c r="E29" s="41" t="s">
        <v>5596</v>
      </c>
      <c r="F29" s="43">
        <v>9163708643</v>
      </c>
      <c r="G29" s="43" t="s">
        <v>5597</v>
      </c>
      <c r="H29" s="43" t="s">
        <v>290</v>
      </c>
      <c r="I29" s="22" t="s">
        <v>5564</v>
      </c>
      <c r="J29" s="7" t="s">
        <v>5565</v>
      </c>
      <c r="K29" s="17" t="s">
        <v>5566</v>
      </c>
      <c r="L29" s="42">
        <v>45939</v>
      </c>
      <c r="M29" s="42">
        <v>46274</v>
      </c>
      <c r="N29" s="43">
        <v>11</v>
      </c>
      <c r="O29" s="44" t="s">
        <v>195</v>
      </c>
      <c r="P29" s="22"/>
      <c r="Q29" s="204"/>
    </row>
    <row r="30" spans="1:18" ht="45.75">
      <c r="A30" s="7">
        <v>29</v>
      </c>
      <c r="B30" s="52" t="s">
        <v>227</v>
      </c>
      <c r="C30" s="46" t="s">
        <v>5598</v>
      </c>
      <c r="D30" s="46" t="s">
        <v>5599</v>
      </c>
      <c r="E30" s="41" t="s">
        <v>5600</v>
      </c>
      <c r="F30" s="43">
        <v>7029733424</v>
      </c>
      <c r="G30" s="43" t="s">
        <v>5601</v>
      </c>
      <c r="H30" s="43" t="s">
        <v>290</v>
      </c>
      <c r="I30" s="22" t="s">
        <v>5564</v>
      </c>
      <c r="J30" s="7" t="s">
        <v>5565</v>
      </c>
      <c r="K30" s="17" t="s">
        <v>5566</v>
      </c>
      <c r="L30" s="42">
        <v>45939</v>
      </c>
      <c r="M30" s="42">
        <v>46274</v>
      </c>
      <c r="N30" s="43">
        <v>11</v>
      </c>
      <c r="O30" s="44" t="s">
        <v>195</v>
      </c>
      <c r="P30" s="22"/>
      <c r="Q30" s="139"/>
    </row>
    <row r="31" spans="1:18" ht="30.75">
      <c r="A31" s="7">
        <v>30</v>
      </c>
      <c r="B31" s="52" t="s">
        <v>227</v>
      </c>
      <c r="C31" s="46" t="s">
        <v>5602</v>
      </c>
      <c r="D31" s="46" t="s">
        <v>5603</v>
      </c>
      <c r="E31" s="46" t="s">
        <v>5604</v>
      </c>
      <c r="F31" s="43">
        <v>9554670001</v>
      </c>
      <c r="G31" s="43" t="s">
        <v>5605</v>
      </c>
      <c r="H31" s="43" t="s">
        <v>241</v>
      </c>
      <c r="I31" s="22" t="s">
        <v>5564</v>
      </c>
      <c r="J31" s="7" t="s">
        <v>5565</v>
      </c>
      <c r="K31" s="17" t="s">
        <v>5566</v>
      </c>
      <c r="L31" s="42">
        <v>45939</v>
      </c>
      <c r="M31" s="42">
        <v>46274</v>
      </c>
      <c r="N31" s="43">
        <v>11</v>
      </c>
      <c r="O31" s="44" t="s">
        <v>195</v>
      </c>
      <c r="P31" s="22"/>
      <c r="Q31" s="139"/>
      <c r="R31" t="s">
        <v>5606</v>
      </c>
    </row>
    <row r="32" spans="1:18" ht="30.75">
      <c r="A32" s="7">
        <v>31</v>
      </c>
      <c r="B32" s="52" t="s">
        <v>227</v>
      </c>
      <c r="C32" s="46" t="s">
        <v>5607</v>
      </c>
      <c r="D32" s="46" t="s">
        <v>64</v>
      </c>
      <c r="E32" s="46" t="s">
        <v>5608</v>
      </c>
      <c r="F32" s="43">
        <v>9974548574</v>
      </c>
      <c r="G32" s="43" t="s">
        <v>5609</v>
      </c>
      <c r="H32" s="43" t="s">
        <v>290</v>
      </c>
      <c r="I32" s="22" t="s">
        <v>5564</v>
      </c>
      <c r="J32" s="7" t="s">
        <v>5565</v>
      </c>
      <c r="K32" s="17" t="s">
        <v>5566</v>
      </c>
      <c r="L32" s="42">
        <v>45939</v>
      </c>
      <c r="M32" s="42">
        <v>46274</v>
      </c>
      <c r="N32" s="43">
        <v>11</v>
      </c>
      <c r="O32" s="44" t="s">
        <v>195</v>
      </c>
      <c r="P32" s="22"/>
      <c r="Q32" s="139"/>
    </row>
    <row r="33" spans="1:19" ht="76.5">
      <c r="A33" s="7">
        <v>32</v>
      </c>
      <c r="B33" s="52" t="s">
        <v>227</v>
      </c>
      <c r="C33" s="45" t="s">
        <v>5610</v>
      </c>
      <c r="D33" s="46" t="s">
        <v>5611</v>
      </c>
      <c r="E33" s="41" t="s">
        <v>5612</v>
      </c>
      <c r="F33" s="43">
        <v>8660265505</v>
      </c>
      <c r="G33" s="43" t="s">
        <v>5613</v>
      </c>
      <c r="H33" s="43" t="s">
        <v>5614</v>
      </c>
      <c r="I33" s="22" t="s">
        <v>5564</v>
      </c>
      <c r="J33" s="7" t="s">
        <v>5565</v>
      </c>
      <c r="K33" s="17" t="s">
        <v>5566</v>
      </c>
      <c r="L33" s="42">
        <v>45952</v>
      </c>
      <c r="M33" s="42">
        <v>46287</v>
      </c>
      <c r="N33" s="43">
        <v>11</v>
      </c>
      <c r="O33" s="7" t="s">
        <v>176</v>
      </c>
      <c r="P33" s="22"/>
      <c r="Q33" s="139" t="s">
        <v>5615</v>
      </c>
    </row>
    <row r="34" spans="1:19" ht="60.75">
      <c r="A34" s="7">
        <v>33</v>
      </c>
      <c r="B34" s="52" t="s">
        <v>227</v>
      </c>
      <c r="C34" s="45" t="s">
        <v>5616</v>
      </c>
      <c r="D34" s="46" t="s">
        <v>5617</v>
      </c>
      <c r="E34" s="41" t="s">
        <v>5618</v>
      </c>
      <c r="F34" s="43">
        <v>9199803552</v>
      </c>
      <c r="G34" s="43" t="s">
        <v>5619</v>
      </c>
      <c r="H34" s="43" t="s">
        <v>2095</v>
      </c>
      <c r="I34" s="22" t="s">
        <v>5564</v>
      </c>
      <c r="J34" s="7" t="s">
        <v>5565</v>
      </c>
      <c r="K34" s="17" t="s">
        <v>5566</v>
      </c>
      <c r="L34" s="42">
        <v>45981</v>
      </c>
      <c r="M34" s="42">
        <v>46315</v>
      </c>
      <c r="N34" s="43">
        <v>11</v>
      </c>
      <c r="O34" s="7" t="s">
        <v>176</v>
      </c>
      <c r="P34" s="22"/>
      <c r="Q34" s="139"/>
    </row>
    <row r="35" spans="1:19" ht="76.5">
      <c r="A35" s="7">
        <v>34</v>
      </c>
      <c r="B35" s="52" t="s">
        <v>227</v>
      </c>
      <c r="C35" s="45" t="s">
        <v>5620</v>
      </c>
      <c r="D35" s="46" t="s">
        <v>5621</v>
      </c>
      <c r="E35" s="41" t="s">
        <v>5622</v>
      </c>
      <c r="F35" s="43">
        <v>8310436451</v>
      </c>
      <c r="G35" s="43" t="s">
        <v>5623</v>
      </c>
      <c r="H35" s="43" t="s">
        <v>5624</v>
      </c>
      <c r="I35" s="22" t="s">
        <v>5564</v>
      </c>
      <c r="J35" s="7" t="s">
        <v>5565</v>
      </c>
      <c r="K35" s="17" t="s">
        <v>5566</v>
      </c>
      <c r="L35" s="42">
        <v>45986</v>
      </c>
      <c r="M35" s="42">
        <v>46320</v>
      </c>
      <c r="N35" s="43">
        <v>11</v>
      </c>
      <c r="O35" s="7" t="s">
        <v>176</v>
      </c>
      <c r="P35" s="22"/>
      <c r="Q35" s="198"/>
      <c r="R35" s="220" t="s">
        <v>3466</v>
      </c>
    </row>
    <row r="36" spans="1:19" ht="60.75">
      <c r="A36" s="7">
        <v>35</v>
      </c>
      <c r="B36" s="52" t="s">
        <v>227</v>
      </c>
      <c r="C36" s="45" t="s">
        <v>5625</v>
      </c>
      <c r="D36" s="46" t="s">
        <v>5626</v>
      </c>
      <c r="E36" s="46" t="s">
        <v>5627</v>
      </c>
      <c r="F36" s="43">
        <v>9036001462</v>
      </c>
      <c r="G36" s="43" t="s">
        <v>5628</v>
      </c>
      <c r="H36" s="43" t="s">
        <v>1737</v>
      </c>
      <c r="I36" s="22" t="s">
        <v>5564</v>
      </c>
      <c r="J36" s="7" t="s">
        <v>5565</v>
      </c>
      <c r="K36" s="17" t="s">
        <v>5566</v>
      </c>
      <c r="L36" s="42" t="s">
        <v>2196</v>
      </c>
      <c r="M36" s="42" t="s">
        <v>2197</v>
      </c>
      <c r="N36" s="43">
        <v>11</v>
      </c>
      <c r="O36" s="44" t="s">
        <v>195</v>
      </c>
      <c r="P36" s="22"/>
      <c r="Q36" s="139"/>
    </row>
    <row r="37" spans="1:19" ht="60.75">
      <c r="A37" s="7">
        <v>36</v>
      </c>
      <c r="B37" s="7" t="s">
        <v>227</v>
      </c>
      <c r="C37" s="45" t="s">
        <v>5629</v>
      </c>
      <c r="D37" s="46" t="s">
        <v>5630</v>
      </c>
      <c r="E37" s="41" t="s">
        <v>5631</v>
      </c>
      <c r="F37" s="43">
        <v>741868410</v>
      </c>
      <c r="G37" s="43"/>
      <c r="H37" s="43"/>
      <c r="I37" s="7"/>
      <c r="J37" s="7"/>
      <c r="K37" s="36"/>
      <c r="L37" s="42">
        <v>46055</v>
      </c>
      <c r="M37" s="42">
        <v>46388</v>
      </c>
      <c r="N37" s="43">
        <v>11</v>
      </c>
      <c r="O37" s="7" t="s">
        <v>176</v>
      </c>
      <c r="P37" s="22"/>
      <c r="Q37" s="139" t="s">
        <v>5632</v>
      </c>
      <c r="S37" s="77" t="s">
        <v>5633</v>
      </c>
    </row>
    <row r="38" spans="1:19" ht="30.75">
      <c r="A38" s="7">
        <v>37</v>
      </c>
      <c r="B38" s="7" t="s">
        <v>227</v>
      </c>
      <c r="C38" s="45" t="s">
        <v>2724</v>
      </c>
      <c r="D38" s="46" t="s">
        <v>2725</v>
      </c>
      <c r="E38" s="46"/>
      <c r="F38" s="44" t="s">
        <v>5634</v>
      </c>
      <c r="G38" s="43"/>
      <c r="H38" s="43"/>
      <c r="I38" s="7"/>
      <c r="J38" s="7"/>
      <c r="K38" s="36"/>
      <c r="L38" s="42" t="s">
        <v>2546</v>
      </c>
      <c r="M38" s="42" t="s">
        <v>2547</v>
      </c>
      <c r="N38" s="43">
        <v>11</v>
      </c>
      <c r="O38" s="44" t="s">
        <v>195</v>
      </c>
      <c r="P38" s="22"/>
      <c r="Q38" s="133" t="s">
        <v>5635</v>
      </c>
      <c r="R38" s="77" t="s">
        <v>5636</v>
      </c>
    </row>
    <row r="39" spans="1:19" ht="60.75">
      <c r="A39" s="7">
        <v>38</v>
      </c>
      <c r="B39" s="7" t="s">
        <v>227</v>
      </c>
      <c r="C39" s="45" t="s">
        <v>5637</v>
      </c>
      <c r="D39" s="46" t="s">
        <v>5638</v>
      </c>
      <c r="E39" s="46" t="s">
        <v>5639</v>
      </c>
      <c r="F39" s="43">
        <v>9820127579</v>
      </c>
      <c r="G39" s="43" t="s">
        <v>5640</v>
      </c>
      <c r="H39" s="43"/>
      <c r="I39" s="44"/>
      <c r="J39" s="7"/>
      <c r="K39" s="53"/>
      <c r="L39" s="42" t="s">
        <v>3789</v>
      </c>
      <c r="M39" s="42" t="s">
        <v>3790</v>
      </c>
      <c r="N39" s="43">
        <v>11</v>
      </c>
      <c r="O39" s="44" t="s">
        <v>195</v>
      </c>
      <c r="P39" s="22"/>
      <c r="Q39" s="139" t="s">
        <v>5641</v>
      </c>
      <c r="R39" s="77" t="s">
        <v>5642</v>
      </c>
    </row>
    <row r="40" spans="1:19" ht="60.75">
      <c r="A40" s="7">
        <v>39</v>
      </c>
      <c r="B40" s="7" t="s">
        <v>227</v>
      </c>
      <c r="C40" s="45" t="s">
        <v>5643</v>
      </c>
      <c r="D40" s="46" t="s">
        <v>5644</v>
      </c>
      <c r="E40" s="46" t="s">
        <v>5645</v>
      </c>
      <c r="F40" s="6">
        <v>7676140355</v>
      </c>
      <c r="G40" s="43" t="s">
        <v>5646</v>
      </c>
      <c r="H40" s="43"/>
      <c r="I40" s="44"/>
      <c r="J40" s="44"/>
      <c r="K40" s="53"/>
      <c r="L40" s="42" t="s">
        <v>3789</v>
      </c>
      <c r="M40" s="42" t="s">
        <v>3790</v>
      </c>
      <c r="N40" s="43">
        <v>11</v>
      </c>
      <c r="O40" s="7" t="s">
        <v>176</v>
      </c>
      <c r="P40" s="43"/>
      <c r="Q40" s="139" t="s">
        <v>5647</v>
      </c>
      <c r="R40" s="77"/>
    </row>
    <row r="41" spans="1:19" ht="60.75">
      <c r="A41" s="7">
        <v>40</v>
      </c>
      <c r="B41" s="7" t="s">
        <v>227</v>
      </c>
      <c r="C41" s="45" t="s">
        <v>5648</v>
      </c>
      <c r="D41" s="46" t="s">
        <v>5649</v>
      </c>
      <c r="E41" s="46" t="s">
        <v>5650</v>
      </c>
      <c r="F41" s="43">
        <v>6380504258</v>
      </c>
      <c r="G41" s="43" t="s">
        <v>5651</v>
      </c>
      <c r="H41" s="43"/>
      <c r="I41" s="44"/>
      <c r="J41" s="44"/>
      <c r="K41" s="53"/>
      <c r="L41" s="42" t="s">
        <v>3809</v>
      </c>
      <c r="M41" s="42" t="s">
        <v>3810</v>
      </c>
      <c r="N41" s="43">
        <v>11</v>
      </c>
      <c r="O41" s="44" t="s">
        <v>195</v>
      </c>
      <c r="P41" s="43"/>
      <c r="Q41" s="139" t="s">
        <v>5652</v>
      </c>
      <c r="R41" s="77" t="s">
        <v>5653</v>
      </c>
    </row>
    <row r="42" spans="1:19" ht="60.75">
      <c r="A42" s="7">
        <v>41</v>
      </c>
      <c r="B42" s="7" t="s">
        <v>227</v>
      </c>
      <c r="C42" s="45" t="s">
        <v>5654</v>
      </c>
      <c r="D42" s="46" t="s">
        <v>5655</v>
      </c>
      <c r="E42" s="41" t="s">
        <v>5656</v>
      </c>
      <c r="F42" s="43">
        <v>9443035306</v>
      </c>
      <c r="G42" s="43" t="s">
        <v>5657</v>
      </c>
      <c r="H42" s="43"/>
      <c r="I42" s="43"/>
      <c r="J42" s="44"/>
      <c r="K42" s="74"/>
      <c r="L42" s="42" t="s">
        <v>3809</v>
      </c>
      <c r="M42" s="42" t="s">
        <v>3810</v>
      </c>
      <c r="N42" s="43">
        <v>11</v>
      </c>
      <c r="O42" s="44" t="s">
        <v>195</v>
      </c>
      <c r="P42" s="43"/>
      <c r="Q42" s="139" t="s">
        <v>5658</v>
      </c>
      <c r="R42" s="77" t="s">
        <v>5653</v>
      </c>
    </row>
    <row r="43" spans="1:19" ht="91.5">
      <c r="A43" s="7">
        <v>42</v>
      </c>
      <c r="B43" s="7" t="s">
        <v>227</v>
      </c>
      <c r="C43" s="45" t="s">
        <v>5659</v>
      </c>
      <c r="D43" s="46" t="s">
        <v>5660</v>
      </c>
      <c r="E43" s="41" t="s">
        <v>5661</v>
      </c>
      <c r="F43" s="43">
        <v>9821920880</v>
      </c>
      <c r="G43" s="43" t="s">
        <v>5662</v>
      </c>
      <c r="H43" s="43"/>
      <c r="I43" s="43"/>
      <c r="J43" s="44"/>
      <c r="K43" s="74"/>
      <c r="L43" s="42" t="s">
        <v>3809</v>
      </c>
      <c r="M43" s="42" t="s">
        <v>3810</v>
      </c>
      <c r="N43" s="43">
        <v>11</v>
      </c>
      <c r="O43" s="44" t="s">
        <v>195</v>
      </c>
      <c r="P43" s="43"/>
      <c r="Q43" t="s">
        <v>5663</v>
      </c>
      <c r="R43" s="181" t="s">
        <v>5664</v>
      </c>
    </row>
    <row r="44" spans="1:19" ht="76.5">
      <c r="A44" s="7">
        <v>43</v>
      </c>
      <c r="B44" s="7" t="s">
        <v>227</v>
      </c>
      <c r="C44" s="45" t="s">
        <v>5665</v>
      </c>
      <c r="D44" s="46" t="s">
        <v>5666</v>
      </c>
      <c r="E44" s="41" t="s">
        <v>5667</v>
      </c>
      <c r="F44" s="43">
        <v>8553119458</v>
      </c>
      <c r="G44" s="43" t="s">
        <v>5668</v>
      </c>
      <c r="H44" s="43"/>
      <c r="I44" s="43"/>
      <c r="J44" s="44"/>
      <c r="K44" s="74"/>
      <c r="L44" s="42" t="s">
        <v>3809</v>
      </c>
      <c r="M44" s="42" t="s">
        <v>3810</v>
      </c>
      <c r="N44" s="43">
        <v>11</v>
      </c>
      <c r="O44" s="44" t="s">
        <v>195</v>
      </c>
      <c r="P44" s="43"/>
      <c r="Q44" t="s">
        <v>5669</v>
      </c>
      <c r="R44" s="77" t="s">
        <v>5670</v>
      </c>
    </row>
    <row r="45" spans="1:19" ht="60.75">
      <c r="A45" s="7">
        <v>44</v>
      </c>
      <c r="B45" s="44" t="s">
        <v>227</v>
      </c>
      <c r="C45" s="45" t="s">
        <v>5671</v>
      </c>
      <c r="D45" s="46" t="s">
        <v>5672</v>
      </c>
      <c r="E45" s="41" t="s">
        <v>5673</v>
      </c>
      <c r="F45" s="43">
        <v>9036156059</v>
      </c>
      <c r="G45" s="43" t="s">
        <v>5674</v>
      </c>
      <c r="H45" s="43"/>
      <c r="I45" s="43"/>
      <c r="J45" s="44"/>
      <c r="K45" s="74"/>
      <c r="L45" s="42">
        <v>46178</v>
      </c>
      <c r="M45" s="42">
        <v>46511</v>
      </c>
      <c r="N45" s="43">
        <v>11</v>
      </c>
      <c r="O45" s="44" t="s">
        <v>176</v>
      </c>
      <c r="P45" s="43"/>
      <c r="Q45" s="163" t="s">
        <v>5675</v>
      </c>
      <c r="R45" s="77" t="s">
        <v>5676</v>
      </c>
    </row>
    <row r="46" spans="1:19" s="219" customFormat="1" ht="30.75">
      <c r="A46" s="18">
        <v>45</v>
      </c>
      <c r="B46" s="177" t="s">
        <v>227</v>
      </c>
      <c r="D46" s="196" t="s">
        <v>5677</v>
      </c>
      <c r="F46" s="346"/>
      <c r="G46" s="346"/>
      <c r="H46" s="346"/>
      <c r="I46" s="346"/>
      <c r="J46" s="346"/>
      <c r="L46" s="403">
        <v>46060</v>
      </c>
      <c r="M46" s="403">
        <v>46393</v>
      </c>
      <c r="N46" s="219">
        <v>11</v>
      </c>
      <c r="O46" s="177" t="s">
        <v>176</v>
      </c>
      <c r="Q46" s="219" t="s">
        <v>5678</v>
      </c>
      <c r="S46" s="178">
        <f>SUM(S2:S45)</f>
        <v>0</v>
      </c>
    </row>
    <row r="47" spans="1:19" s="161" customFormat="1" ht="76.5">
      <c r="A47" s="7">
        <v>46</v>
      </c>
      <c r="B47" s="143" t="s">
        <v>227</v>
      </c>
      <c r="C47" s="492" t="s">
        <v>5679</v>
      </c>
      <c r="D47" s="147" t="s">
        <v>5680</v>
      </c>
      <c r="E47" s="147" t="s">
        <v>5681</v>
      </c>
      <c r="F47" s="491">
        <v>8601918888</v>
      </c>
      <c r="G47" s="491" t="s">
        <v>5682</v>
      </c>
      <c r="H47" s="143"/>
      <c r="I47" s="143"/>
      <c r="J47" s="143"/>
      <c r="L47" s="250">
        <v>46181</v>
      </c>
      <c r="M47" s="250">
        <v>46514</v>
      </c>
      <c r="N47" s="161">
        <v>11</v>
      </c>
      <c r="O47" s="161" t="s">
        <v>5683</v>
      </c>
      <c r="Q47" s="161" t="s">
        <v>5684</v>
      </c>
    </row>
    <row r="48" spans="1:19" s="161" customFormat="1" ht="30.75">
      <c r="A48" s="7">
        <v>47</v>
      </c>
      <c r="B48" s="143" t="s">
        <v>227</v>
      </c>
      <c r="C48" s="490" t="s">
        <v>5685</v>
      </c>
      <c r="D48" s="147" t="s">
        <v>5583</v>
      </c>
      <c r="E48" s="490" t="s">
        <v>5686</v>
      </c>
      <c r="F48" s="490">
        <v>9830936584</v>
      </c>
      <c r="G48" s="143"/>
      <c r="H48" s="143"/>
      <c r="I48" s="143"/>
      <c r="J48" s="143"/>
      <c r="L48" s="161" t="s">
        <v>5687</v>
      </c>
      <c r="M48" s="161" t="s">
        <v>5688</v>
      </c>
      <c r="N48" s="161">
        <v>11</v>
      </c>
      <c r="O48" s="44" t="s">
        <v>176</v>
      </c>
      <c r="Q48" s="161" t="s">
        <v>5689</v>
      </c>
      <c r="R48" s="161" t="s">
        <v>5690</v>
      </c>
    </row>
    <row r="49" spans="1:14" s="161" customFormat="1">
      <c r="A49" s="7">
        <v>48</v>
      </c>
      <c r="B49" s="143"/>
      <c r="D49" s="147"/>
      <c r="F49" s="143"/>
      <c r="G49" s="143"/>
      <c r="H49" s="143"/>
      <c r="I49" s="143"/>
      <c r="J49" s="143"/>
    </row>
    <row r="50" spans="1:14" s="161" customFormat="1">
      <c r="A50" s="7">
        <v>49</v>
      </c>
      <c r="B50" s="143"/>
      <c r="D50" s="147"/>
      <c r="F50" s="143"/>
      <c r="G50" s="143"/>
      <c r="H50" s="143"/>
      <c r="I50" s="143"/>
      <c r="J50" s="143"/>
    </row>
    <row r="51" spans="1:14" s="161" customFormat="1">
      <c r="A51" s="7">
        <v>50</v>
      </c>
      <c r="B51" s="143"/>
      <c r="D51" s="147"/>
      <c r="F51" s="143"/>
      <c r="G51" s="143"/>
      <c r="H51" s="143"/>
      <c r="I51" s="143"/>
      <c r="J51" s="143"/>
      <c r="N51" s="389"/>
    </row>
    <row r="52" spans="1:14" s="161" customFormat="1">
      <c r="A52" s="7">
        <v>51</v>
      </c>
      <c r="B52" s="143"/>
      <c r="D52" s="147"/>
      <c r="F52" s="143"/>
      <c r="G52" s="143"/>
      <c r="H52" s="143"/>
      <c r="I52" s="143"/>
      <c r="J52" s="143"/>
    </row>
    <row r="53" spans="1:14" s="161" customFormat="1">
      <c r="A53" s="139"/>
      <c r="B53" s="143"/>
      <c r="D53" s="147"/>
      <c r="F53" s="143"/>
      <c r="G53" s="143"/>
      <c r="H53" s="143"/>
      <c r="I53" s="143"/>
      <c r="J53" s="143"/>
    </row>
    <row r="54" spans="1:14" s="161" customFormat="1" ht="15" customHeight="1">
      <c r="A54" s="139"/>
      <c r="B54" s="143"/>
      <c r="D54" s="147"/>
      <c r="F54" s="143"/>
      <c r="G54" s="143"/>
      <c r="H54" s="143"/>
      <c r="I54" s="143"/>
      <c r="J54" s="143"/>
    </row>
    <row r="55" spans="1:14" s="161" customFormat="1">
      <c r="A55" s="139"/>
      <c r="B55" s="143"/>
      <c r="D55" s="147"/>
      <c r="F55" s="143"/>
      <c r="G55" s="143"/>
      <c r="H55" s="143"/>
      <c r="I55" s="143"/>
      <c r="J55" s="143"/>
    </row>
    <row r="56" spans="1:14" s="161" customFormat="1" ht="15" customHeight="1">
      <c r="A56" s="139"/>
      <c r="B56" s="143"/>
      <c r="D56" s="147"/>
      <c r="F56" s="143"/>
      <c r="G56" s="143"/>
      <c r="H56" s="143"/>
      <c r="I56" s="143"/>
      <c r="J56" s="143"/>
    </row>
    <row r="57" spans="1:14" s="161" customFormat="1" ht="15" customHeight="1">
      <c r="A57" s="139"/>
      <c r="B57" s="143"/>
      <c r="D57" s="147"/>
      <c r="F57" s="143"/>
      <c r="G57" s="143"/>
      <c r="H57" s="143"/>
      <c r="I57" s="143"/>
      <c r="J57" s="143"/>
    </row>
    <row r="58" spans="1:14" s="161" customFormat="1" ht="15" customHeight="1">
      <c r="A58" s="139"/>
      <c r="B58" s="143"/>
      <c r="D58" s="147"/>
      <c r="F58" s="143"/>
      <c r="G58" s="143"/>
      <c r="H58" s="143"/>
      <c r="I58" s="143"/>
      <c r="J58" s="143"/>
    </row>
    <row r="59" spans="1:14" s="161" customFormat="1" ht="15" customHeight="1">
      <c r="A59" s="139"/>
      <c r="B59" s="143"/>
      <c r="D59" s="147"/>
      <c r="F59" s="143"/>
      <c r="G59" s="143"/>
      <c r="H59" s="143"/>
      <c r="I59" s="143"/>
      <c r="J59" s="143"/>
    </row>
    <row r="60" spans="1:14" s="161" customFormat="1" ht="15" customHeight="1">
      <c r="A60" s="139"/>
      <c r="B60" s="143"/>
      <c r="D60" s="147"/>
      <c r="F60" s="143"/>
      <c r="G60" s="143"/>
      <c r="H60" s="143"/>
      <c r="I60" s="143"/>
      <c r="J60" s="143"/>
    </row>
    <row r="61" spans="1:14" s="161" customFormat="1" ht="15" customHeight="1">
      <c r="A61" s="139"/>
      <c r="B61" s="143"/>
      <c r="D61" s="147"/>
      <c r="F61" s="143"/>
      <c r="G61" s="143"/>
      <c r="H61" s="143"/>
      <c r="I61" s="143"/>
      <c r="J61" s="143"/>
    </row>
    <row r="62" spans="1:14" s="161" customFormat="1" ht="15" customHeight="1">
      <c r="A62" s="139"/>
      <c r="B62" s="143"/>
      <c r="D62" s="147"/>
      <c r="F62" s="143"/>
      <c r="G62" s="143"/>
      <c r="H62" s="143"/>
      <c r="I62" s="143"/>
      <c r="J62" s="143"/>
    </row>
    <row r="63" spans="1:14" s="161" customFormat="1" ht="15" customHeight="1">
      <c r="A63" s="139"/>
      <c r="B63" s="143"/>
      <c r="D63" s="147"/>
      <c r="F63" s="143"/>
      <c r="G63" s="143"/>
      <c r="H63" s="143"/>
      <c r="I63" s="143"/>
      <c r="J63" s="143"/>
    </row>
  </sheetData>
  <dataValidations count="4">
    <dataValidation type="list" allowBlank="1" showInputMessage="1" showErrorMessage="1" sqref="O1:O3 O11 O36 O28:O32 O18:O22 O13:O16 O38:O39 O41:O44" xr:uid="{F3549D27-FB5F-49E7-BE50-AC283ABE018A}">
      <formula1>$V$2:$V$10</formula1>
    </dataValidation>
    <dataValidation type="list" allowBlank="1" showInputMessage="1" showErrorMessage="1" sqref="O4:O10 O33:O35 O23:O27 O12 O40" xr:uid="{83B370F8-9363-4585-A706-963F1C2F394F}">
      <formula1>$U$2:$U$10</formula1>
    </dataValidation>
    <dataValidation type="list" allowBlank="1" showInputMessage="1" showErrorMessage="1" sqref="O17" xr:uid="{32A36170-9ADD-43FC-BCE7-C6A8A6877BA6}">
      <formula1>$Z$2:$Z$10</formula1>
    </dataValidation>
    <dataValidation type="list" allowBlank="1" showInputMessage="1" showErrorMessage="1" sqref="O37 O45:O46 O48" xr:uid="{726FA0FA-6C8F-4665-A261-E64C9F03B557}">
      <formula1>$AA$2:$AA$10</formula1>
    </dataValidation>
  </dataValidations>
  <hyperlinks>
    <hyperlink ref="S37" r:id="rId1" xr:uid="{CD99173B-36ED-40F5-A79F-3C0A7DE0331A}"/>
    <hyperlink ref="R38" r:id="rId2" xr:uid="{5E26B10D-3E58-4804-BF23-1690FE77FDED}"/>
    <hyperlink ref="R39" r:id="rId3" xr:uid="{07372808-F3AA-46E5-AB4F-3974DA52F5E9}"/>
    <hyperlink ref="R41" r:id="rId4" xr:uid="{A70E5DB0-9C4A-4DA2-86EC-2F40D6844BF8}"/>
    <hyperlink ref="R42" r:id="rId5" xr:uid="{8CD77E52-2C31-4AEE-905A-ED1985FEAE38}"/>
    <hyperlink ref="R43" r:id="rId6" xr:uid="{8F85CB6F-31D4-4435-B2FC-F281420811EF}"/>
    <hyperlink ref="R44" r:id="rId7" xr:uid="{293A2237-E72C-4B0E-AC9D-45FE4081E1F7}"/>
    <hyperlink ref="R45" r:id="rId8" xr:uid="{1FA54D4E-F340-4D1D-8B77-00ED75424971}"/>
  </hyperlinks>
  <pageMargins left="0.7" right="0.7" top="0.75" bottom="0.75" header="0.3" footer="0.3"/>
  <pageSetup paperSize="11" orientation="portrait" horizontalDpi="4294967293"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1608-0777-4209-8DBF-8A9D59384B8F}">
  <dimension ref="A1:X87"/>
  <sheetViews>
    <sheetView workbookViewId="0">
      <pane xSplit="1" ySplit="1" topLeftCell="B36" activePane="bottomRight" state="frozen"/>
      <selection pane="bottomRight" activeCell="A37" sqref="A37:XFD37"/>
      <selection pane="bottomLeft" activeCell="A2" sqref="A2"/>
      <selection pane="topRight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29.42578125" style="90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2.42578125" style="6" customWidth="1"/>
    <col min="11" max="11" width="12.85546875" bestFit="1" customWidth="1"/>
    <col min="12" max="13" width="11.42578125" bestFit="1" customWidth="1"/>
    <col min="14" max="14" width="10.28515625" customWidth="1"/>
    <col min="15" max="16" width="14.28515625" customWidth="1"/>
    <col min="17" max="17" width="17.42578125" bestFit="1" customWidth="1"/>
    <col min="18" max="18" width="25.85546875" customWidth="1"/>
    <col min="24" max="24" width="23.7109375" bestFit="1" customWidth="1"/>
  </cols>
  <sheetData>
    <row r="1" spans="1:24" ht="45.75">
      <c r="A1" s="18" t="s">
        <v>147</v>
      </c>
      <c r="B1" s="18" t="s">
        <v>148</v>
      </c>
      <c r="C1" s="18" t="s">
        <v>149</v>
      </c>
      <c r="D1" s="8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28"/>
      <c r="Q1" s="2" t="s">
        <v>2692</v>
      </c>
      <c r="R1" s="3" t="s">
        <v>164</v>
      </c>
      <c r="S1" s="18" t="s">
        <v>5691</v>
      </c>
      <c r="T1" s="18" t="s">
        <v>3886</v>
      </c>
    </row>
    <row r="2" spans="1:24" s="29" customFormat="1" ht="46.9" customHeight="1">
      <c r="A2" s="7">
        <v>1</v>
      </c>
      <c r="B2" s="7" t="s">
        <v>5492</v>
      </c>
      <c r="C2" s="85" t="s">
        <v>5692</v>
      </c>
      <c r="D2" s="89" t="s">
        <v>5693</v>
      </c>
      <c r="E2" s="86" t="s">
        <v>5694</v>
      </c>
      <c r="F2" s="21"/>
      <c r="G2" s="21" t="s">
        <v>5695</v>
      </c>
      <c r="H2" s="7" t="s">
        <v>5696</v>
      </c>
      <c r="I2" s="7" t="s">
        <v>5697</v>
      </c>
      <c r="J2" s="7"/>
      <c r="K2" s="81" t="s">
        <v>5698</v>
      </c>
      <c r="L2" s="8">
        <v>45714</v>
      </c>
      <c r="M2" s="8"/>
      <c r="N2" s="7">
        <v>11</v>
      </c>
      <c r="O2" s="7" t="s">
        <v>176</v>
      </c>
      <c r="P2" s="7"/>
      <c r="Q2" s="7"/>
      <c r="R2" s="251" t="s">
        <v>243</v>
      </c>
      <c r="S2" s="29" t="s">
        <v>5437</v>
      </c>
      <c r="T2" s="29" t="s">
        <v>5699</v>
      </c>
      <c r="V2" s="29">
        <v>100</v>
      </c>
    </row>
    <row r="3" spans="1:24" s="174" customFormat="1" ht="45.75">
      <c r="A3" s="18">
        <v>2</v>
      </c>
      <c r="B3" s="18" t="s">
        <v>5492</v>
      </c>
      <c r="C3" s="18" t="s">
        <v>5700</v>
      </c>
      <c r="D3" s="88" t="s">
        <v>5701</v>
      </c>
      <c r="E3" s="351" t="s">
        <v>5702</v>
      </c>
      <c r="F3" s="284">
        <v>9392649818</v>
      </c>
      <c r="G3" s="284" t="s">
        <v>5703</v>
      </c>
      <c r="H3" s="18" t="s">
        <v>2095</v>
      </c>
      <c r="I3" s="18" t="s">
        <v>5697</v>
      </c>
      <c r="J3" s="18"/>
      <c r="K3" s="321" t="s">
        <v>5698</v>
      </c>
      <c r="L3" s="322">
        <v>45726</v>
      </c>
      <c r="M3" s="322"/>
      <c r="N3" s="18">
        <v>11</v>
      </c>
      <c r="O3" s="18" t="s">
        <v>176</v>
      </c>
      <c r="P3" s="18"/>
      <c r="Q3" s="18"/>
      <c r="R3" s="221"/>
      <c r="S3" s="239" t="s">
        <v>243</v>
      </c>
      <c r="V3" s="239">
        <v>100</v>
      </c>
    </row>
    <row r="4" spans="1:24" ht="55.5">
      <c r="A4" s="23">
        <v>3</v>
      </c>
      <c r="B4" s="24" t="s">
        <v>5492</v>
      </c>
      <c r="C4" s="7" t="s">
        <v>5704</v>
      </c>
      <c r="D4" s="31" t="s">
        <v>5705</v>
      </c>
      <c r="E4" s="25" t="s">
        <v>5706</v>
      </c>
      <c r="F4" s="22"/>
      <c r="G4" s="48" t="s">
        <v>5707</v>
      </c>
      <c r="H4" s="7" t="s">
        <v>416</v>
      </c>
      <c r="I4" s="7" t="s">
        <v>5708</v>
      </c>
      <c r="J4" s="7"/>
      <c r="K4" s="81" t="s">
        <v>5698</v>
      </c>
      <c r="L4" s="27">
        <v>45733</v>
      </c>
      <c r="M4" s="27"/>
      <c r="N4" s="22">
        <v>11</v>
      </c>
      <c r="O4" s="7" t="s">
        <v>176</v>
      </c>
      <c r="P4" s="7"/>
      <c r="Q4" s="22"/>
      <c r="R4" s="9"/>
      <c r="S4" s="29" t="s">
        <v>5437</v>
      </c>
      <c r="V4" s="29">
        <v>100</v>
      </c>
    </row>
    <row r="5" spans="1:24" ht="55.5">
      <c r="A5" s="23">
        <v>4</v>
      </c>
      <c r="B5" s="24" t="s">
        <v>5492</v>
      </c>
      <c r="C5" s="22" t="s">
        <v>5709</v>
      </c>
      <c r="D5" s="31" t="s">
        <v>5710</v>
      </c>
      <c r="E5" s="25" t="s">
        <v>5711</v>
      </c>
      <c r="F5" s="22"/>
      <c r="G5" s="22" t="s">
        <v>5712</v>
      </c>
      <c r="H5" s="7" t="s">
        <v>416</v>
      </c>
      <c r="I5" s="7" t="s">
        <v>5708</v>
      </c>
      <c r="J5" s="7"/>
      <c r="K5" s="81" t="s">
        <v>5698</v>
      </c>
      <c r="L5" s="27">
        <v>45737</v>
      </c>
      <c r="M5" s="27"/>
      <c r="N5" s="22">
        <v>11</v>
      </c>
      <c r="O5" s="7" t="s">
        <v>176</v>
      </c>
      <c r="P5" s="7"/>
      <c r="Q5" s="22"/>
      <c r="R5" s="9"/>
      <c r="S5" s="29" t="s">
        <v>5437</v>
      </c>
      <c r="V5" s="29">
        <v>100</v>
      </c>
    </row>
    <row r="6" spans="1:24" s="29" customFormat="1" ht="66.75">
      <c r="A6" s="23">
        <v>5</v>
      </c>
      <c r="B6" s="24" t="s">
        <v>5492</v>
      </c>
      <c r="C6" s="22" t="s">
        <v>5713</v>
      </c>
      <c r="D6" s="31" t="s">
        <v>5714</v>
      </c>
      <c r="E6" s="25" t="s">
        <v>5715</v>
      </c>
      <c r="F6" s="22"/>
      <c r="G6" s="22" t="s">
        <v>5716</v>
      </c>
      <c r="H6" s="22" t="s">
        <v>690</v>
      </c>
      <c r="I6" s="7" t="s">
        <v>5708</v>
      </c>
      <c r="J6" s="7"/>
      <c r="K6" s="81" t="s">
        <v>5698</v>
      </c>
      <c r="L6" s="27">
        <v>45741</v>
      </c>
      <c r="M6" s="27"/>
      <c r="N6" s="22">
        <v>11</v>
      </c>
      <c r="O6" s="7" t="s">
        <v>176</v>
      </c>
      <c r="P6" s="7"/>
      <c r="Q6" s="22"/>
      <c r="R6" s="9"/>
      <c r="S6" s="29" t="s">
        <v>5437</v>
      </c>
      <c r="V6" s="29">
        <v>100</v>
      </c>
    </row>
    <row r="7" spans="1:24" ht="55.5">
      <c r="A7" s="23">
        <v>6</v>
      </c>
      <c r="B7" s="24" t="s">
        <v>5492</v>
      </c>
      <c r="C7" s="7" t="s">
        <v>5717</v>
      </c>
      <c r="D7" s="31" t="s">
        <v>5718</v>
      </c>
      <c r="E7" s="25" t="s">
        <v>5719</v>
      </c>
      <c r="F7" s="10"/>
      <c r="G7" s="22" t="s">
        <v>5720</v>
      </c>
      <c r="H7" s="22" t="s">
        <v>5721</v>
      </c>
      <c r="I7" s="7" t="s">
        <v>5708</v>
      </c>
      <c r="J7" s="7"/>
      <c r="K7" s="81" t="s">
        <v>5698</v>
      </c>
      <c r="L7" s="27">
        <v>45747</v>
      </c>
      <c r="M7" s="27"/>
      <c r="N7" s="22">
        <v>11</v>
      </c>
      <c r="O7" s="7" t="s">
        <v>176</v>
      </c>
      <c r="P7" s="7"/>
      <c r="Q7" s="22"/>
      <c r="R7" s="9"/>
      <c r="S7" s="29" t="s">
        <v>5437</v>
      </c>
      <c r="X7" s="16"/>
    </row>
    <row r="8" spans="1:24" ht="55.5">
      <c r="A8" s="24">
        <v>7</v>
      </c>
      <c r="B8" s="24" t="s">
        <v>5492</v>
      </c>
      <c r="C8" s="7" t="s">
        <v>5722</v>
      </c>
      <c r="D8" s="31" t="s">
        <v>5723</v>
      </c>
      <c r="E8" s="25" t="s">
        <v>5724</v>
      </c>
      <c r="F8" s="10"/>
      <c r="G8" s="22" t="s">
        <v>5725</v>
      </c>
      <c r="H8" s="22" t="s">
        <v>416</v>
      </c>
      <c r="I8" s="7" t="s">
        <v>5708</v>
      </c>
      <c r="J8" s="7"/>
      <c r="K8" s="81" t="s">
        <v>5698</v>
      </c>
      <c r="L8" s="27">
        <v>45751</v>
      </c>
      <c r="M8" s="27"/>
      <c r="N8" s="22">
        <v>11</v>
      </c>
      <c r="O8" s="7" t="s">
        <v>176</v>
      </c>
      <c r="P8" s="7"/>
      <c r="Q8" s="22"/>
      <c r="R8" s="9"/>
      <c r="S8" s="29"/>
      <c r="X8" s="16"/>
    </row>
    <row r="9" spans="1:24" ht="121.5">
      <c r="A9" s="22">
        <v>8</v>
      </c>
      <c r="B9" s="24" t="s">
        <v>5492</v>
      </c>
      <c r="C9" s="22" t="s">
        <v>5726</v>
      </c>
      <c r="D9" s="31" t="s">
        <v>5727</v>
      </c>
      <c r="E9" s="31" t="s">
        <v>5728</v>
      </c>
      <c r="F9" s="22"/>
      <c r="G9" s="22" t="s">
        <v>5729</v>
      </c>
      <c r="H9" s="22" t="s">
        <v>416</v>
      </c>
      <c r="I9" s="7" t="s">
        <v>5708</v>
      </c>
      <c r="J9" s="7"/>
      <c r="K9" s="81" t="s">
        <v>5698</v>
      </c>
      <c r="L9" s="27">
        <v>45758</v>
      </c>
      <c r="M9" s="27"/>
      <c r="N9" s="22">
        <v>11</v>
      </c>
      <c r="O9" s="7" t="s">
        <v>176</v>
      </c>
      <c r="P9" s="7"/>
      <c r="Q9" s="22"/>
      <c r="R9" s="30"/>
    </row>
    <row r="10" spans="1:24" ht="60.75">
      <c r="A10" s="22">
        <v>9</v>
      </c>
      <c r="B10" s="22" t="s">
        <v>227</v>
      </c>
      <c r="C10" s="7" t="s">
        <v>5730</v>
      </c>
      <c r="D10" s="31" t="s">
        <v>5731</v>
      </c>
      <c r="E10" s="33" t="s">
        <v>5732</v>
      </c>
      <c r="F10" s="22"/>
      <c r="G10" s="22" t="s">
        <v>5733</v>
      </c>
      <c r="H10" s="22" t="s">
        <v>5734</v>
      </c>
      <c r="I10" s="7" t="s">
        <v>5708</v>
      </c>
      <c r="J10" s="7"/>
      <c r="K10" s="81" t="s">
        <v>5698</v>
      </c>
      <c r="L10" s="27">
        <v>45758</v>
      </c>
      <c r="M10" s="27"/>
      <c r="N10" s="22">
        <v>11</v>
      </c>
      <c r="O10" s="7" t="s">
        <v>176</v>
      </c>
      <c r="P10" s="7"/>
      <c r="Q10" s="22"/>
      <c r="R10" s="9"/>
    </row>
    <row r="11" spans="1:24" ht="60.75">
      <c r="A11" s="22">
        <v>10</v>
      </c>
      <c r="B11" s="22" t="s">
        <v>227</v>
      </c>
      <c r="C11" s="7" t="s">
        <v>5735</v>
      </c>
      <c r="D11" s="31" t="s">
        <v>5736</v>
      </c>
      <c r="E11" s="32" t="s">
        <v>5737</v>
      </c>
      <c r="F11" s="49"/>
      <c r="G11" s="7" t="s">
        <v>5738</v>
      </c>
      <c r="H11" s="7" t="s">
        <v>690</v>
      </c>
      <c r="I11" s="7" t="s">
        <v>5708</v>
      </c>
      <c r="J11" s="7"/>
      <c r="K11" s="81" t="s">
        <v>5698</v>
      </c>
      <c r="L11" s="27">
        <v>45764</v>
      </c>
      <c r="M11" s="27"/>
      <c r="N11" s="22">
        <v>11</v>
      </c>
      <c r="O11" s="7" t="s">
        <v>176</v>
      </c>
      <c r="P11" s="7"/>
      <c r="Q11" s="22"/>
      <c r="R11" s="35"/>
    </row>
    <row r="12" spans="1:24">
      <c r="A12" s="22"/>
      <c r="B12" s="22"/>
      <c r="C12" s="22"/>
      <c r="D12" s="31" t="s">
        <v>5710</v>
      </c>
      <c r="E12" s="33"/>
      <c r="F12" s="7"/>
      <c r="G12" s="7"/>
      <c r="H12" s="7"/>
      <c r="I12" s="7"/>
      <c r="J12" s="7"/>
      <c r="K12" s="36"/>
      <c r="L12" s="27"/>
      <c r="M12" s="27"/>
      <c r="N12" s="22"/>
      <c r="O12" s="7"/>
      <c r="P12" s="7"/>
      <c r="Q12" s="22"/>
      <c r="R12" s="35" t="s">
        <v>4276</v>
      </c>
    </row>
    <row r="13" spans="1:24" s="29" customFormat="1" ht="91.5">
      <c r="A13" s="23">
        <v>11</v>
      </c>
      <c r="B13" s="24"/>
      <c r="C13" s="22" t="s">
        <v>5739</v>
      </c>
      <c r="D13" s="31" t="s">
        <v>5740</v>
      </c>
      <c r="E13" s="31" t="s">
        <v>5741</v>
      </c>
      <c r="F13" s="22"/>
      <c r="G13" s="22" t="s">
        <v>5742</v>
      </c>
      <c r="H13" s="22" t="s">
        <v>5743</v>
      </c>
      <c r="I13" s="22"/>
      <c r="J13" s="7"/>
      <c r="K13" s="17"/>
      <c r="L13" s="27">
        <v>45772</v>
      </c>
      <c r="M13" s="27"/>
      <c r="N13" s="22">
        <v>11</v>
      </c>
      <c r="O13" s="44" t="s">
        <v>195</v>
      </c>
      <c r="P13" s="44"/>
      <c r="Q13" s="22"/>
      <c r="R13" s="9" t="s">
        <v>5744</v>
      </c>
    </row>
    <row r="14" spans="1:24" s="29" customFormat="1" ht="76.5">
      <c r="A14" s="23">
        <v>12</v>
      </c>
      <c r="B14" s="24"/>
      <c r="C14" s="22" t="s">
        <v>5745</v>
      </c>
      <c r="D14" s="31" t="s">
        <v>5746</v>
      </c>
      <c r="E14" s="31" t="s">
        <v>5747</v>
      </c>
      <c r="F14" s="22"/>
      <c r="G14" s="22" t="s">
        <v>5748</v>
      </c>
      <c r="H14" s="22" t="s">
        <v>416</v>
      </c>
      <c r="I14" s="7"/>
      <c r="J14" s="7"/>
      <c r="K14" s="36"/>
      <c r="L14" s="27">
        <v>45787</v>
      </c>
      <c r="M14" s="27"/>
      <c r="N14" s="22">
        <v>11</v>
      </c>
      <c r="O14" s="7" t="s">
        <v>176</v>
      </c>
      <c r="P14" s="7"/>
      <c r="Q14" s="22"/>
      <c r="R14" s="9"/>
    </row>
    <row r="15" spans="1:24" s="29" customFormat="1" ht="91.5">
      <c r="A15" s="23">
        <v>13</v>
      </c>
      <c r="B15" s="24"/>
      <c r="C15" s="22" t="s">
        <v>5749</v>
      </c>
      <c r="D15" s="31" t="s">
        <v>5750</v>
      </c>
      <c r="E15" s="31" t="s">
        <v>5751</v>
      </c>
      <c r="F15" s="22"/>
      <c r="G15" s="22" t="s">
        <v>5752</v>
      </c>
      <c r="H15" s="22" t="s">
        <v>1864</v>
      </c>
      <c r="I15" s="22"/>
      <c r="J15" s="7"/>
      <c r="K15" s="17"/>
      <c r="L15" s="27">
        <v>45791</v>
      </c>
      <c r="M15" s="27"/>
      <c r="N15" s="22">
        <v>11</v>
      </c>
      <c r="O15" s="7" t="s">
        <v>176</v>
      </c>
      <c r="P15" s="7"/>
      <c r="Q15" s="22"/>
      <c r="R15" s="9"/>
    </row>
    <row r="16" spans="1:24" s="29" customFormat="1" ht="91.5">
      <c r="A16" s="23">
        <v>14</v>
      </c>
      <c r="B16" s="24"/>
      <c r="C16" s="22" t="s">
        <v>5753</v>
      </c>
      <c r="D16" s="31" t="s">
        <v>5754</v>
      </c>
      <c r="E16" s="31" t="s">
        <v>5755</v>
      </c>
      <c r="F16" s="22"/>
      <c r="G16" s="22" t="s">
        <v>5756</v>
      </c>
      <c r="H16" s="22" t="s">
        <v>416</v>
      </c>
      <c r="I16" s="7"/>
      <c r="J16" s="7"/>
      <c r="K16" s="36"/>
      <c r="L16" s="27">
        <v>45800</v>
      </c>
      <c r="M16" s="27"/>
      <c r="N16" s="22">
        <v>11</v>
      </c>
      <c r="O16" s="7" t="s">
        <v>176</v>
      </c>
      <c r="P16" s="7"/>
      <c r="Q16" s="22"/>
      <c r="R16" s="9"/>
    </row>
    <row r="17" spans="1:19" s="29" customFormat="1" ht="91.5">
      <c r="A17" s="23">
        <v>15</v>
      </c>
      <c r="B17" s="24"/>
      <c r="C17" s="38" t="s">
        <v>5757</v>
      </c>
      <c r="D17" s="31" t="s">
        <v>5758</v>
      </c>
      <c r="E17" s="15" t="s">
        <v>5759</v>
      </c>
      <c r="F17" s="22"/>
      <c r="G17" s="22" t="s">
        <v>5760</v>
      </c>
      <c r="H17" s="22" t="s">
        <v>416</v>
      </c>
      <c r="I17" s="22"/>
      <c r="J17" s="22"/>
      <c r="K17" s="38"/>
      <c r="L17" s="37">
        <v>45809</v>
      </c>
      <c r="M17" s="37"/>
      <c r="N17" s="22">
        <v>11</v>
      </c>
      <c r="O17" s="7" t="s">
        <v>176</v>
      </c>
      <c r="P17" s="7"/>
      <c r="Q17" s="22"/>
      <c r="R17" s="30"/>
    </row>
    <row r="18" spans="1:19" s="174" customFormat="1" ht="60.75">
      <c r="A18" s="385">
        <v>16</v>
      </c>
      <c r="B18" s="283"/>
      <c r="C18" s="252"/>
      <c r="D18" s="281" t="s">
        <v>5761</v>
      </c>
      <c r="E18" s="253" t="s">
        <v>5762</v>
      </c>
      <c r="F18" s="192"/>
      <c r="G18" s="192" t="s">
        <v>5763</v>
      </c>
      <c r="H18" s="177" t="s">
        <v>202</v>
      </c>
      <c r="I18" s="18"/>
      <c r="J18" s="18"/>
      <c r="K18" s="347"/>
      <c r="L18" s="257">
        <v>45833</v>
      </c>
      <c r="M18" s="257"/>
      <c r="N18" s="218">
        <v>11</v>
      </c>
      <c r="O18" s="18" t="s">
        <v>176</v>
      </c>
      <c r="P18" s="18"/>
      <c r="Q18" s="218"/>
      <c r="R18" s="221" t="s">
        <v>243</v>
      </c>
    </row>
    <row r="19" spans="1:19" ht="60.75">
      <c r="A19" s="39">
        <v>17</v>
      </c>
      <c r="B19" s="52"/>
      <c r="C19" s="45"/>
      <c r="D19" s="58" t="s">
        <v>5764</v>
      </c>
      <c r="E19" s="46" t="s">
        <v>5765</v>
      </c>
      <c r="F19" s="43"/>
      <c r="G19" s="43" t="s">
        <v>5766</v>
      </c>
      <c r="H19" s="44" t="s">
        <v>529</v>
      </c>
      <c r="I19" s="22"/>
      <c r="J19" s="97"/>
      <c r="K19" s="138"/>
      <c r="L19" s="187">
        <v>45833</v>
      </c>
      <c r="M19" s="42"/>
      <c r="N19" s="22">
        <v>11</v>
      </c>
      <c r="O19" s="7" t="s">
        <v>176</v>
      </c>
      <c r="P19" s="7"/>
      <c r="Q19" s="22"/>
      <c r="R19" s="9"/>
    </row>
    <row r="20" spans="1:19" s="174" customFormat="1" ht="45.75">
      <c r="A20" s="385">
        <v>18</v>
      </c>
      <c r="B20" s="299"/>
      <c r="C20" s="252"/>
      <c r="D20" s="281" t="s">
        <v>5767</v>
      </c>
      <c r="E20" s="253"/>
      <c r="F20" s="192"/>
      <c r="G20" s="192"/>
      <c r="H20" s="177"/>
      <c r="I20" s="218"/>
      <c r="J20" s="276"/>
      <c r="K20" s="264"/>
      <c r="L20" s="401"/>
      <c r="M20" s="257"/>
      <c r="N20" s="192"/>
      <c r="O20" s="18" t="s">
        <v>176</v>
      </c>
      <c r="P20" s="18"/>
      <c r="Q20" s="218"/>
      <c r="R20" s="221" t="s">
        <v>5768</v>
      </c>
    </row>
    <row r="21" spans="1:19" ht="45.75">
      <c r="A21" s="39">
        <v>19</v>
      </c>
      <c r="B21" s="52"/>
      <c r="C21" s="46"/>
      <c r="D21" s="58" t="s">
        <v>5769</v>
      </c>
      <c r="E21" s="46"/>
      <c r="F21" s="43"/>
      <c r="G21" s="43"/>
      <c r="H21" s="44"/>
      <c r="I21" s="44"/>
      <c r="J21" s="186"/>
      <c r="K21" s="185"/>
      <c r="L21" s="187"/>
      <c r="M21" s="42"/>
      <c r="N21" s="43"/>
      <c r="O21" s="7" t="s">
        <v>176</v>
      </c>
      <c r="P21" s="7"/>
      <c r="Q21" s="22"/>
      <c r="R21" s="30"/>
    </row>
    <row r="22" spans="1:19" s="174" customFormat="1" ht="45.75">
      <c r="A22" s="385">
        <v>20</v>
      </c>
      <c r="B22" s="299"/>
      <c r="C22" s="252"/>
      <c r="D22" s="281" t="s">
        <v>5770</v>
      </c>
      <c r="E22" s="254"/>
      <c r="F22" s="252"/>
      <c r="G22" s="252"/>
      <c r="H22" s="192"/>
      <c r="I22" s="218"/>
      <c r="J22" s="276"/>
      <c r="K22" s="264"/>
      <c r="L22" s="401"/>
      <c r="M22" s="257"/>
      <c r="N22" s="192"/>
      <c r="O22" s="18" t="s">
        <v>176</v>
      </c>
      <c r="P22" s="18"/>
      <c r="Q22" s="218"/>
      <c r="R22" s="191" t="s">
        <v>243</v>
      </c>
    </row>
    <row r="23" spans="1:19" s="174" customFormat="1" ht="45.75">
      <c r="A23" s="385">
        <v>21</v>
      </c>
      <c r="B23" s="299"/>
      <c r="C23" s="252"/>
      <c r="D23" s="281" t="s">
        <v>5771</v>
      </c>
      <c r="E23" s="254"/>
      <c r="F23" s="252"/>
      <c r="G23" s="252"/>
      <c r="H23" s="192"/>
      <c r="I23" s="218"/>
      <c r="J23" s="276"/>
      <c r="K23" s="264"/>
      <c r="L23" s="401"/>
      <c r="M23" s="257"/>
      <c r="N23" s="192"/>
      <c r="O23" s="18" t="s">
        <v>176</v>
      </c>
      <c r="P23" s="18"/>
      <c r="Q23" s="218"/>
      <c r="R23" s="221" t="s">
        <v>5768</v>
      </c>
    </row>
    <row r="24" spans="1:19" ht="45.75">
      <c r="A24" s="39">
        <v>22</v>
      </c>
      <c r="B24" s="52"/>
      <c r="C24" s="45"/>
      <c r="D24" s="58" t="s">
        <v>5772</v>
      </c>
      <c r="E24" s="41"/>
      <c r="F24" s="45"/>
      <c r="G24" s="45"/>
      <c r="H24" s="43"/>
      <c r="I24" s="22"/>
      <c r="J24" s="97"/>
      <c r="K24" s="138"/>
      <c r="L24" s="187"/>
      <c r="M24" s="42"/>
      <c r="N24" s="43"/>
      <c r="O24" s="7" t="s">
        <v>176</v>
      </c>
      <c r="P24" s="7"/>
      <c r="Q24" s="22"/>
      <c r="R24" s="54"/>
    </row>
    <row r="25" spans="1:19" ht="45.75">
      <c r="A25" s="39">
        <v>23</v>
      </c>
      <c r="B25" s="52"/>
      <c r="C25" s="59"/>
      <c r="D25" s="58" t="s">
        <v>5773</v>
      </c>
      <c r="E25" s="41"/>
      <c r="F25" s="50"/>
      <c r="G25" s="50"/>
      <c r="H25" s="43"/>
      <c r="I25" s="22"/>
      <c r="J25" s="97"/>
      <c r="K25" s="138"/>
      <c r="L25" s="187"/>
      <c r="M25" s="42"/>
      <c r="N25" s="43"/>
      <c r="O25" s="7" t="s">
        <v>176</v>
      </c>
      <c r="P25" s="7"/>
      <c r="Q25" s="22"/>
      <c r="R25" s="54"/>
    </row>
    <row r="26" spans="1:19" ht="183">
      <c r="A26" s="39">
        <v>24</v>
      </c>
      <c r="B26" s="52" t="s">
        <v>227</v>
      </c>
      <c r="C26" s="46" t="s">
        <v>5774</v>
      </c>
      <c r="D26" s="58" t="s">
        <v>5775</v>
      </c>
      <c r="E26" s="46" t="s">
        <v>5776</v>
      </c>
      <c r="F26" s="50"/>
      <c r="G26" s="44" t="s">
        <v>5777</v>
      </c>
      <c r="H26" s="43"/>
      <c r="I26" s="7" t="s">
        <v>5697</v>
      </c>
      <c r="J26" s="97"/>
      <c r="K26" s="183" t="s">
        <v>5698</v>
      </c>
      <c r="L26" s="187">
        <v>45887</v>
      </c>
      <c r="M26" s="42">
        <v>46221</v>
      </c>
      <c r="N26" s="43">
        <v>11</v>
      </c>
      <c r="O26" s="7" t="s">
        <v>176</v>
      </c>
      <c r="P26" s="7"/>
      <c r="Q26" s="22"/>
      <c r="R26" s="54"/>
    </row>
    <row r="27" spans="1:19" s="174" customFormat="1" ht="60.75">
      <c r="A27" s="385">
        <v>25</v>
      </c>
      <c r="B27" s="299" t="s">
        <v>227</v>
      </c>
      <c r="C27" s="252" t="s">
        <v>5778</v>
      </c>
      <c r="D27" s="281" t="s">
        <v>5779</v>
      </c>
      <c r="E27" s="253" t="s">
        <v>5780</v>
      </c>
      <c r="F27" s="255"/>
      <c r="G27" s="192" t="s">
        <v>5781</v>
      </c>
      <c r="H27" s="192" t="s">
        <v>644</v>
      </c>
      <c r="I27" s="18" t="s">
        <v>5697</v>
      </c>
      <c r="J27" s="276"/>
      <c r="K27" s="453" t="s">
        <v>5698</v>
      </c>
      <c r="L27" s="401">
        <v>45894</v>
      </c>
      <c r="M27" s="257">
        <v>46228</v>
      </c>
      <c r="N27" s="192">
        <v>11</v>
      </c>
      <c r="O27" s="177" t="s">
        <v>195</v>
      </c>
      <c r="P27" s="177"/>
      <c r="Q27" s="218"/>
      <c r="R27" s="191" t="s">
        <v>1390</v>
      </c>
    </row>
    <row r="28" spans="1:19" ht="60.75">
      <c r="A28" s="39">
        <v>26</v>
      </c>
      <c r="B28" s="52" t="s">
        <v>1789</v>
      </c>
      <c r="C28" s="45" t="s">
        <v>5782</v>
      </c>
      <c r="D28" s="58" t="s">
        <v>5783</v>
      </c>
      <c r="E28" s="41" t="s">
        <v>5784</v>
      </c>
      <c r="F28" s="43"/>
      <c r="G28" s="43" t="s">
        <v>5785</v>
      </c>
      <c r="H28" s="43" t="s">
        <v>1737</v>
      </c>
      <c r="I28" s="7" t="s">
        <v>5697</v>
      </c>
      <c r="J28" s="97"/>
      <c r="K28" s="183" t="s">
        <v>5698</v>
      </c>
      <c r="L28" s="187">
        <v>45894</v>
      </c>
      <c r="M28" s="42">
        <v>46228</v>
      </c>
      <c r="N28" s="43">
        <v>11</v>
      </c>
      <c r="O28" s="44" t="s">
        <v>195</v>
      </c>
      <c r="P28" s="44"/>
      <c r="Q28" s="22"/>
      <c r="R28" s="54"/>
    </row>
    <row r="29" spans="1:19" s="174" customFormat="1" ht="60.75">
      <c r="A29" s="385">
        <v>27</v>
      </c>
      <c r="B29" s="299" t="s">
        <v>227</v>
      </c>
      <c r="C29" s="252" t="s">
        <v>5786</v>
      </c>
      <c r="D29" s="281" t="s">
        <v>5787</v>
      </c>
      <c r="E29" s="254" t="s">
        <v>5788</v>
      </c>
      <c r="F29" s="192"/>
      <c r="G29" s="192" t="s">
        <v>5789</v>
      </c>
      <c r="H29" s="192" t="s">
        <v>1737</v>
      </c>
      <c r="I29" s="18" t="s">
        <v>5697</v>
      </c>
      <c r="J29" s="276"/>
      <c r="K29" s="453" t="s">
        <v>5698</v>
      </c>
      <c r="L29" s="401">
        <v>45915</v>
      </c>
      <c r="M29" s="257">
        <v>46249</v>
      </c>
      <c r="N29" s="192">
        <v>11</v>
      </c>
      <c r="O29" s="18" t="s">
        <v>176</v>
      </c>
      <c r="P29" s="18"/>
      <c r="Q29" s="218"/>
      <c r="R29" s="191" t="s">
        <v>243</v>
      </c>
    </row>
    <row r="30" spans="1:19" ht="76.5">
      <c r="A30" s="39">
        <v>28</v>
      </c>
      <c r="B30" s="52" t="s">
        <v>1789</v>
      </c>
      <c r="C30" s="45" t="s">
        <v>5790</v>
      </c>
      <c r="D30" s="58" t="s">
        <v>5791</v>
      </c>
      <c r="E30" s="41" t="s">
        <v>5792</v>
      </c>
      <c r="F30" s="43"/>
      <c r="G30" s="43" t="s">
        <v>5793</v>
      </c>
      <c r="H30" s="43" t="s">
        <v>1737</v>
      </c>
      <c r="I30" s="7" t="s">
        <v>5697</v>
      </c>
      <c r="J30" s="97"/>
      <c r="K30" s="183" t="s">
        <v>5698</v>
      </c>
      <c r="L30" s="187">
        <v>45916</v>
      </c>
      <c r="M30" s="42">
        <v>46250</v>
      </c>
      <c r="N30" s="43">
        <v>11</v>
      </c>
      <c r="O30" s="44" t="s">
        <v>195</v>
      </c>
      <c r="P30" s="44"/>
      <c r="Q30" s="22" t="s">
        <v>5794</v>
      </c>
      <c r="R30" s="54"/>
    </row>
    <row r="31" spans="1:19" ht="60.75">
      <c r="A31" s="39">
        <v>29</v>
      </c>
      <c r="B31" s="52" t="s">
        <v>1789</v>
      </c>
      <c r="C31" s="46" t="s">
        <v>5795</v>
      </c>
      <c r="D31" s="58" t="s">
        <v>5796</v>
      </c>
      <c r="E31" s="41" t="s">
        <v>5797</v>
      </c>
      <c r="F31" s="43"/>
      <c r="G31" s="43" t="s">
        <v>5798</v>
      </c>
      <c r="H31" s="43" t="s">
        <v>512</v>
      </c>
      <c r="I31" s="7" t="s">
        <v>5697</v>
      </c>
      <c r="J31" s="97"/>
      <c r="K31" s="183" t="s">
        <v>5698</v>
      </c>
      <c r="L31" s="187">
        <v>45916</v>
      </c>
      <c r="M31" s="42">
        <v>46250</v>
      </c>
      <c r="N31" s="43">
        <v>11</v>
      </c>
      <c r="O31" s="44" t="s">
        <v>195</v>
      </c>
      <c r="P31" s="44"/>
      <c r="Q31" s="22"/>
      <c r="R31" s="54"/>
      <c r="S31" s="75"/>
    </row>
    <row r="32" spans="1:19" ht="76.5">
      <c r="A32" s="39">
        <v>30</v>
      </c>
      <c r="B32" s="52" t="s">
        <v>227</v>
      </c>
      <c r="C32" s="46" t="s">
        <v>5799</v>
      </c>
      <c r="D32" s="58" t="s">
        <v>5800</v>
      </c>
      <c r="E32" s="41" t="s">
        <v>5801</v>
      </c>
      <c r="F32" s="43"/>
      <c r="G32" s="43" t="s">
        <v>5802</v>
      </c>
      <c r="H32" s="43" t="s">
        <v>365</v>
      </c>
      <c r="I32" s="7" t="s">
        <v>5697</v>
      </c>
      <c r="J32" s="97"/>
      <c r="K32" s="183" t="s">
        <v>5698</v>
      </c>
      <c r="L32" s="187">
        <v>45917</v>
      </c>
      <c r="M32" s="42">
        <v>46251</v>
      </c>
      <c r="N32" s="43">
        <v>11</v>
      </c>
      <c r="O32" s="44" t="s">
        <v>195</v>
      </c>
      <c r="P32" s="44"/>
      <c r="Q32" s="22"/>
      <c r="R32" s="54"/>
    </row>
    <row r="33" spans="1:19" s="174" customFormat="1" ht="76.5">
      <c r="A33" s="385">
        <v>31</v>
      </c>
      <c r="B33" s="299" t="s">
        <v>227</v>
      </c>
      <c r="C33" s="253" t="s">
        <v>5803</v>
      </c>
      <c r="D33" s="281" t="s">
        <v>5804</v>
      </c>
      <c r="E33" s="254" t="s">
        <v>5805</v>
      </c>
      <c r="F33" s="192">
        <v>9611210003</v>
      </c>
      <c r="G33" s="192" t="s">
        <v>5806</v>
      </c>
      <c r="H33" s="192" t="s">
        <v>4024</v>
      </c>
      <c r="I33" s="18" t="s">
        <v>5697</v>
      </c>
      <c r="J33" s="276"/>
      <c r="K33" s="453" t="s">
        <v>5698</v>
      </c>
      <c r="L33" s="401">
        <v>45925</v>
      </c>
      <c r="M33" s="257">
        <v>46259</v>
      </c>
      <c r="N33" s="192">
        <v>11</v>
      </c>
      <c r="O33" s="18" t="s">
        <v>176</v>
      </c>
      <c r="P33" s="18"/>
      <c r="Q33" s="218"/>
      <c r="R33" s="191" t="s">
        <v>243</v>
      </c>
    </row>
    <row r="34" spans="1:19" ht="76.5">
      <c r="A34" s="39">
        <v>32</v>
      </c>
      <c r="B34" s="52" t="s">
        <v>227</v>
      </c>
      <c r="C34" s="46" t="s">
        <v>5807</v>
      </c>
      <c r="D34" s="59" t="s">
        <v>5808</v>
      </c>
      <c r="E34" s="46" t="s">
        <v>5809</v>
      </c>
      <c r="F34" s="43"/>
      <c r="G34" s="43" t="s">
        <v>5810</v>
      </c>
      <c r="H34" s="43" t="s">
        <v>5811</v>
      </c>
      <c r="I34" s="7" t="s">
        <v>5697</v>
      </c>
      <c r="J34" s="97"/>
      <c r="K34" s="183" t="s">
        <v>5698</v>
      </c>
      <c r="L34" s="42">
        <v>45926</v>
      </c>
      <c r="M34" s="42">
        <v>46260</v>
      </c>
      <c r="N34" s="43">
        <v>11</v>
      </c>
      <c r="O34" s="44" t="s">
        <v>195</v>
      </c>
      <c r="P34" s="44"/>
      <c r="Q34" s="22"/>
      <c r="R34" s="54"/>
    </row>
    <row r="35" spans="1:19" ht="45.75">
      <c r="A35" s="39">
        <v>33</v>
      </c>
      <c r="B35" s="52" t="s">
        <v>227</v>
      </c>
      <c r="C35" s="45" t="s">
        <v>5812</v>
      </c>
      <c r="D35" s="58" t="s">
        <v>5813</v>
      </c>
      <c r="E35" s="41" t="s">
        <v>5814</v>
      </c>
      <c r="F35" s="43">
        <v>9591168693</v>
      </c>
      <c r="G35" s="43" t="s">
        <v>5815</v>
      </c>
      <c r="H35" s="43" t="s">
        <v>5816</v>
      </c>
      <c r="I35" s="7" t="s">
        <v>5697</v>
      </c>
      <c r="J35" s="97"/>
      <c r="K35" s="183" t="s">
        <v>5698</v>
      </c>
      <c r="L35" s="42">
        <v>45927</v>
      </c>
      <c r="M35" s="42">
        <v>46261</v>
      </c>
      <c r="N35" s="43">
        <v>11</v>
      </c>
      <c r="O35" s="44" t="s">
        <v>195</v>
      </c>
      <c r="P35" s="44"/>
      <c r="Q35" s="22"/>
      <c r="R35" s="54"/>
    </row>
    <row r="36" spans="1:19" s="174" customFormat="1" ht="60.75">
      <c r="A36" s="385">
        <v>34</v>
      </c>
      <c r="B36" s="299" t="s">
        <v>227</v>
      </c>
      <c r="C36" s="281" t="s">
        <v>5817</v>
      </c>
      <c r="D36" s="281" t="s">
        <v>5817</v>
      </c>
      <c r="E36" s="254" t="s">
        <v>5818</v>
      </c>
      <c r="F36" s="192">
        <v>7760855958</v>
      </c>
      <c r="G36" s="192" t="s">
        <v>5819</v>
      </c>
      <c r="H36" s="192" t="s">
        <v>5820</v>
      </c>
      <c r="I36" s="18" t="s">
        <v>5697</v>
      </c>
      <c r="J36" s="276"/>
      <c r="K36" s="453" t="s">
        <v>5698</v>
      </c>
      <c r="L36" s="257">
        <v>45930</v>
      </c>
      <c r="M36" s="257">
        <v>46264</v>
      </c>
      <c r="N36" s="192">
        <v>11</v>
      </c>
      <c r="O36" s="18" t="s">
        <v>176</v>
      </c>
      <c r="P36" s="18"/>
      <c r="Q36" s="218"/>
      <c r="R36" s="191" t="s">
        <v>243</v>
      </c>
    </row>
    <row r="37" spans="1:19" s="174" customFormat="1" ht="60.75">
      <c r="A37" s="385">
        <v>35</v>
      </c>
      <c r="B37" s="299" t="s">
        <v>227</v>
      </c>
      <c r="C37" s="252" t="s">
        <v>5821</v>
      </c>
      <c r="D37" s="281" t="s">
        <v>5822</v>
      </c>
      <c r="E37" s="254" t="s">
        <v>5823</v>
      </c>
      <c r="F37" s="192"/>
      <c r="G37" s="192" t="s">
        <v>5824</v>
      </c>
      <c r="H37" s="192" t="s">
        <v>1737</v>
      </c>
      <c r="I37" s="18" t="s">
        <v>5697</v>
      </c>
      <c r="J37" s="18"/>
      <c r="K37" s="453" t="s">
        <v>5698</v>
      </c>
      <c r="L37" s="257">
        <v>45943</v>
      </c>
      <c r="M37" s="257">
        <v>46278</v>
      </c>
      <c r="N37" s="192">
        <v>11</v>
      </c>
      <c r="O37" s="18" t="s">
        <v>176</v>
      </c>
      <c r="P37" s="18"/>
      <c r="Q37" s="218"/>
      <c r="R37" s="191" t="s">
        <v>5825</v>
      </c>
    </row>
    <row r="38" spans="1:19" ht="106.5">
      <c r="A38" s="39">
        <v>36</v>
      </c>
      <c r="B38" s="52" t="s">
        <v>227</v>
      </c>
      <c r="C38" s="45" t="s">
        <v>5826</v>
      </c>
      <c r="D38" s="58" t="s">
        <v>5827</v>
      </c>
      <c r="E38" s="46" t="s">
        <v>5828</v>
      </c>
      <c r="F38" s="43">
        <v>9916542225</v>
      </c>
      <c r="G38" s="43" t="s">
        <v>5829</v>
      </c>
      <c r="H38" s="43" t="s">
        <v>1737</v>
      </c>
      <c r="I38" s="7" t="s">
        <v>5697</v>
      </c>
      <c r="J38" s="7"/>
      <c r="K38" s="183" t="s">
        <v>5698</v>
      </c>
      <c r="L38" s="42">
        <v>45960</v>
      </c>
      <c r="M38" s="42">
        <v>46295</v>
      </c>
      <c r="N38" s="43">
        <v>11</v>
      </c>
      <c r="O38" s="7" t="s">
        <v>176</v>
      </c>
      <c r="P38" s="7"/>
      <c r="Q38" s="22"/>
      <c r="R38" s="191" t="s">
        <v>2012</v>
      </c>
    </row>
    <row r="39" spans="1:19" ht="76.5">
      <c r="A39" s="39">
        <v>37</v>
      </c>
      <c r="B39" s="52" t="s">
        <v>227</v>
      </c>
      <c r="C39" s="45" t="s">
        <v>5830</v>
      </c>
      <c r="D39" s="58" t="s">
        <v>5831</v>
      </c>
      <c r="E39" s="46" t="s">
        <v>5832</v>
      </c>
      <c r="F39" s="43">
        <v>9108892256</v>
      </c>
      <c r="G39" s="43" t="s">
        <v>5833</v>
      </c>
      <c r="H39" s="43" t="s">
        <v>5834</v>
      </c>
      <c r="I39" s="7" t="s">
        <v>5697</v>
      </c>
      <c r="J39" s="7"/>
      <c r="K39" s="183" t="s">
        <v>5698</v>
      </c>
      <c r="L39" s="42">
        <v>45968</v>
      </c>
      <c r="M39" s="42">
        <v>46302</v>
      </c>
      <c r="N39" s="43">
        <v>11</v>
      </c>
      <c r="O39" s="7" t="s">
        <v>176</v>
      </c>
      <c r="P39" s="7"/>
      <c r="Q39" s="22"/>
      <c r="R39" s="54" t="s">
        <v>5835</v>
      </c>
    </row>
    <row r="40" spans="1:19" ht="91.5">
      <c r="A40" s="39">
        <v>38</v>
      </c>
      <c r="B40" s="52" t="s">
        <v>227</v>
      </c>
      <c r="C40" s="45" t="s">
        <v>5817</v>
      </c>
      <c r="D40" s="58" t="s">
        <v>5836</v>
      </c>
      <c r="E40" s="46" t="s">
        <v>5837</v>
      </c>
      <c r="F40" s="43">
        <v>7760855958</v>
      </c>
      <c r="G40" s="43" t="s">
        <v>5838</v>
      </c>
      <c r="H40" s="43" t="s">
        <v>1737</v>
      </c>
      <c r="I40" s="7" t="s">
        <v>5697</v>
      </c>
      <c r="J40" s="7"/>
      <c r="K40" s="183" t="s">
        <v>5698</v>
      </c>
      <c r="L40" s="42">
        <v>45985</v>
      </c>
      <c r="M40" s="42">
        <v>46319</v>
      </c>
      <c r="N40" s="43">
        <v>11</v>
      </c>
      <c r="O40" s="7" t="s">
        <v>176</v>
      </c>
      <c r="P40" s="7"/>
      <c r="Q40" s="22"/>
      <c r="R40" s="54" t="s">
        <v>5839</v>
      </c>
    </row>
    <row r="41" spans="1:19" ht="45.75">
      <c r="A41" s="39">
        <v>39</v>
      </c>
      <c r="B41" s="52" t="s">
        <v>227</v>
      </c>
      <c r="C41" s="45"/>
      <c r="D41" s="58" t="s">
        <v>5840</v>
      </c>
      <c r="E41" s="46"/>
      <c r="F41" s="43"/>
      <c r="G41" s="43"/>
      <c r="H41" s="43"/>
      <c r="I41" s="7"/>
      <c r="J41" s="7"/>
      <c r="K41" s="36"/>
      <c r="L41" s="42" t="s">
        <v>4698</v>
      </c>
      <c r="M41" s="42" t="s">
        <v>4699</v>
      </c>
      <c r="N41" s="43">
        <v>11</v>
      </c>
      <c r="O41" s="7" t="s">
        <v>176</v>
      </c>
      <c r="P41" s="7"/>
      <c r="Q41" s="22"/>
      <c r="R41" s="54" t="s">
        <v>5841</v>
      </c>
    </row>
    <row r="42" spans="1:19" ht="60.75">
      <c r="A42" s="39">
        <v>40</v>
      </c>
      <c r="B42" s="52" t="s">
        <v>227</v>
      </c>
      <c r="C42" s="45" t="s">
        <v>5842</v>
      </c>
      <c r="D42" s="58" t="s">
        <v>5843</v>
      </c>
      <c r="E42" s="46" t="s">
        <v>5844</v>
      </c>
      <c r="F42" s="43">
        <v>9035580591</v>
      </c>
      <c r="G42" s="43" t="s">
        <v>5845</v>
      </c>
      <c r="H42" s="43" t="s">
        <v>4468</v>
      </c>
      <c r="I42" s="44"/>
      <c r="J42" s="7"/>
      <c r="K42" s="53"/>
      <c r="L42" s="42" t="s">
        <v>2211</v>
      </c>
      <c r="M42" s="42" t="s">
        <v>2212</v>
      </c>
      <c r="N42" s="43">
        <v>11</v>
      </c>
      <c r="O42" s="7" t="s">
        <v>176</v>
      </c>
      <c r="P42" s="7"/>
      <c r="Q42" s="22"/>
      <c r="R42" s="54" t="s">
        <v>5846</v>
      </c>
      <c r="S42" s="242" t="s">
        <v>5847</v>
      </c>
    </row>
    <row r="43" spans="1:19" ht="60.75">
      <c r="A43" s="39">
        <v>41</v>
      </c>
      <c r="B43" s="52" t="s">
        <v>227</v>
      </c>
      <c r="C43" s="45" t="s">
        <v>5848</v>
      </c>
      <c r="D43" s="58" t="s">
        <v>5849</v>
      </c>
      <c r="E43" s="46" t="s">
        <v>5850</v>
      </c>
      <c r="F43" s="43" t="s">
        <v>5851</v>
      </c>
      <c r="G43" s="43" t="s">
        <v>5852</v>
      </c>
      <c r="H43" s="43"/>
      <c r="I43" s="44"/>
      <c r="J43" s="7"/>
      <c r="K43" s="53"/>
      <c r="L43" s="42">
        <v>46174</v>
      </c>
      <c r="M43" s="42">
        <v>46154</v>
      </c>
      <c r="N43" s="43">
        <v>11</v>
      </c>
      <c r="O43" s="7" t="s">
        <v>176</v>
      </c>
      <c r="P43" s="7"/>
      <c r="Q43" s="22"/>
      <c r="R43" s="54" t="s">
        <v>5853</v>
      </c>
    </row>
    <row r="44" spans="1:19" ht="91.5">
      <c r="A44" s="39">
        <v>42</v>
      </c>
      <c r="B44" s="52" t="s">
        <v>227</v>
      </c>
      <c r="C44" s="45" t="s">
        <v>5854</v>
      </c>
      <c r="D44" s="58" t="s">
        <v>5855</v>
      </c>
      <c r="E44" s="46" t="s">
        <v>5856</v>
      </c>
      <c r="F44" s="43">
        <v>9811491380</v>
      </c>
      <c r="G44" s="43" t="s">
        <v>5857</v>
      </c>
      <c r="H44" s="43"/>
      <c r="I44" s="44"/>
      <c r="J44" s="7"/>
      <c r="K44" s="77"/>
      <c r="L44" s="42">
        <v>46266</v>
      </c>
      <c r="M44" s="42">
        <v>46246</v>
      </c>
      <c r="N44" s="43">
        <v>11</v>
      </c>
      <c r="O44" s="7" t="s">
        <v>176</v>
      </c>
      <c r="P44" s="7"/>
      <c r="Q44" s="22"/>
      <c r="R44" s="54" t="s">
        <v>5858</v>
      </c>
    </row>
    <row r="45" spans="1:19" ht="76.5">
      <c r="A45" s="39">
        <v>43</v>
      </c>
      <c r="B45" s="52" t="s">
        <v>227</v>
      </c>
      <c r="C45" s="45" t="s">
        <v>5859</v>
      </c>
      <c r="D45" s="58" t="s">
        <v>5860</v>
      </c>
      <c r="E45" s="46" t="s">
        <v>5861</v>
      </c>
      <c r="F45" s="43">
        <v>9811491380</v>
      </c>
      <c r="G45" s="43" t="s">
        <v>5857</v>
      </c>
      <c r="H45" s="43"/>
      <c r="I45" s="44"/>
      <c r="J45" s="7"/>
      <c r="K45" s="53"/>
      <c r="L45" s="42" t="s">
        <v>3573</v>
      </c>
      <c r="M45" s="42">
        <v>46368</v>
      </c>
      <c r="N45" s="43">
        <v>11</v>
      </c>
      <c r="O45" s="7" t="s">
        <v>176</v>
      </c>
      <c r="P45" s="7"/>
      <c r="Q45" s="22"/>
      <c r="R45" s="54" t="s">
        <v>5862</v>
      </c>
    </row>
    <row r="46" spans="1:19" ht="45.75">
      <c r="A46" s="39">
        <v>44</v>
      </c>
      <c r="B46" s="52" t="s">
        <v>227</v>
      </c>
      <c r="C46" s="45"/>
      <c r="D46" s="58" t="s">
        <v>5863</v>
      </c>
      <c r="E46" s="46"/>
      <c r="F46" s="43"/>
      <c r="G46" s="43"/>
      <c r="H46" s="43"/>
      <c r="I46" s="44"/>
      <c r="J46" s="44"/>
      <c r="K46" s="53"/>
      <c r="L46" s="42" t="s">
        <v>3950</v>
      </c>
      <c r="M46" s="42" t="s">
        <v>5864</v>
      </c>
      <c r="N46" s="43">
        <v>11</v>
      </c>
      <c r="O46" s="7" t="s">
        <v>176</v>
      </c>
      <c r="P46" s="44"/>
      <c r="Q46" s="43"/>
      <c r="R46" s="54" t="s">
        <v>5865</v>
      </c>
    </row>
    <row r="47" spans="1:19" ht="45.75">
      <c r="A47" s="39">
        <v>45</v>
      </c>
      <c r="B47" s="52" t="s">
        <v>227</v>
      </c>
      <c r="C47" s="45" t="s">
        <v>5866</v>
      </c>
      <c r="D47" s="58" t="s">
        <v>5867</v>
      </c>
      <c r="E47" s="41" t="s">
        <v>5868</v>
      </c>
      <c r="F47" s="43">
        <v>9163333822</v>
      </c>
      <c r="G47" s="43"/>
      <c r="H47" s="43"/>
      <c r="I47" s="43"/>
      <c r="J47" s="44"/>
      <c r="K47" s="74"/>
      <c r="L47" s="42" t="s">
        <v>2367</v>
      </c>
      <c r="M47" s="42" t="s">
        <v>2368</v>
      </c>
      <c r="N47" s="43">
        <v>11</v>
      </c>
      <c r="O47" s="7" t="s">
        <v>176</v>
      </c>
      <c r="P47" s="44"/>
      <c r="Q47" s="43"/>
      <c r="R47" s="54" t="s">
        <v>5869</v>
      </c>
    </row>
    <row r="48" spans="1:19" ht="45.75">
      <c r="A48" s="39">
        <v>46</v>
      </c>
      <c r="B48" s="52" t="s">
        <v>227</v>
      </c>
      <c r="C48" s="45" t="s">
        <v>5870</v>
      </c>
      <c r="D48" s="58" t="s">
        <v>5871</v>
      </c>
      <c r="E48" s="41" t="s">
        <v>5872</v>
      </c>
      <c r="F48" s="43">
        <v>9163333822</v>
      </c>
      <c r="G48" s="43"/>
      <c r="H48" s="43"/>
      <c r="I48" s="43"/>
      <c r="J48" s="44"/>
      <c r="K48" s="74"/>
      <c r="L48" s="42" t="s">
        <v>2367</v>
      </c>
      <c r="M48" s="42" t="s">
        <v>2368</v>
      </c>
      <c r="N48" s="43">
        <v>11</v>
      </c>
      <c r="O48" s="7" t="s">
        <v>176</v>
      </c>
      <c r="P48" s="44"/>
      <c r="Q48" s="192"/>
      <c r="R48" s="54" t="s">
        <v>5873</v>
      </c>
    </row>
    <row r="49" spans="1:24" ht="76.5">
      <c r="A49" s="39">
        <v>47</v>
      </c>
      <c r="B49" s="52" t="s">
        <v>227</v>
      </c>
      <c r="C49" s="45" t="s">
        <v>5874</v>
      </c>
      <c r="D49" s="58" t="s">
        <v>5875</v>
      </c>
      <c r="E49" s="41" t="s">
        <v>5876</v>
      </c>
      <c r="F49" s="43">
        <v>8867495185</v>
      </c>
      <c r="G49" s="43"/>
      <c r="H49" s="43"/>
      <c r="I49" s="43"/>
      <c r="J49" s="44"/>
      <c r="K49" s="74"/>
      <c r="L49" s="42" t="s">
        <v>5877</v>
      </c>
      <c r="M49" s="42" t="s">
        <v>5878</v>
      </c>
      <c r="N49" s="43">
        <v>11</v>
      </c>
      <c r="O49" s="7" t="s">
        <v>176</v>
      </c>
      <c r="P49" s="44"/>
      <c r="Q49" s="177" t="s">
        <v>4744</v>
      </c>
      <c r="R49" s="54" t="s">
        <v>5879</v>
      </c>
    </row>
    <row r="50" spans="1:24" ht="45.75">
      <c r="A50" s="39">
        <v>48</v>
      </c>
      <c r="B50" s="259" t="s">
        <v>227</v>
      </c>
      <c r="C50" s="141"/>
      <c r="D50" s="260" t="s">
        <v>5880</v>
      </c>
      <c r="E50" s="41"/>
      <c r="F50" s="43"/>
      <c r="G50" s="43"/>
      <c r="H50" s="43"/>
      <c r="I50" s="43"/>
      <c r="J50" s="44"/>
      <c r="K50" s="74"/>
      <c r="L50" s="42">
        <v>46055</v>
      </c>
      <c r="M50" s="42">
        <v>46388</v>
      </c>
      <c r="N50" s="43">
        <v>11</v>
      </c>
      <c r="O50" s="7" t="s">
        <v>176</v>
      </c>
      <c r="P50" s="44"/>
      <c r="Q50" s="43"/>
      <c r="R50" s="54" t="s">
        <v>5881</v>
      </c>
    </row>
    <row r="51" spans="1:24" ht="66.75">
      <c r="A51" s="39">
        <v>49</v>
      </c>
      <c r="B51" s="7" t="s">
        <v>5492</v>
      </c>
      <c r="C51" s="85" t="s">
        <v>5692</v>
      </c>
      <c r="D51" s="89" t="s">
        <v>5693</v>
      </c>
      <c r="E51" s="86" t="s">
        <v>5694</v>
      </c>
      <c r="F51" s="21"/>
      <c r="G51" s="21" t="s">
        <v>5695</v>
      </c>
      <c r="H51" s="7" t="s">
        <v>5696</v>
      </c>
      <c r="I51" s="7" t="s">
        <v>5697</v>
      </c>
      <c r="J51" s="7"/>
      <c r="K51" s="81" t="s">
        <v>5698</v>
      </c>
      <c r="L51" s="8" t="s">
        <v>2272</v>
      </c>
      <c r="M51" s="8" t="s">
        <v>2273</v>
      </c>
      <c r="N51" s="7">
        <v>11</v>
      </c>
      <c r="O51" s="7" t="s">
        <v>176</v>
      </c>
      <c r="P51" s="85"/>
      <c r="Q51" s="251" t="s">
        <v>243</v>
      </c>
      <c r="R51" s="57" t="s">
        <v>5882</v>
      </c>
      <c r="S51" s="29"/>
      <c r="T51" s="29"/>
      <c r="U51" s="29"/>
      <c r="V51" s="29"/>
      <c r="W51" s="29"/>
      <c r="X51" s="29"/>
    </row>
    <row r="52" spans="1:24" ht="60.75">
      <c r="A52" s="39">
        <v>50</v>
      </c>
      <c r="B52" s="7" t="s">
        <v>5492</v>
      </c>
      <c r="C52" s="45" t="s">
        <v>5883</v>
      </c>
      <c r="D52" s="58" t="s">
        <v>5884</v>
      </c>
      <c r="E52" s="41" t="s">
        <v>5885</v>
      </c>
      <c r="F52" s="43"/>
      <c r="G52" s="43"/>
      <c r="H52" s="43"/>
      <c r="I52" s="43"/>
      <c r="J52" s="44"/>
      <c r="K52" s="74">
        <v>9830033535</v>
      </c>
      <c r="L52" s="42">
        <v>46328</v>
      </c>
      <c r="M52" s="42">
        <v>46661</v>
      </c>
      <c r="N52" s="43">
        <v>11</v>
      </c>
      <c r="O52" s="44" t="s">
        <v>195</v>
      </c>
      <c r="P52" s="44"/>
      <c r="Q52" s="43"/>
      <c r="R52" s="54" t="s">
        <v>5886</v>
      </c>
    </row>
    <row r="53" spans="1:24" ht="45.75">
      <c r="A53" s="39">
        <v>51</v>
      </c>
      <c r="B53" s="13"/>
      <c r="C53" s="4"/>
      <c r="D53" s="120" t="s">
        <v>5887</v>
      </c>
      <c r="E53" s="4"/>
      <c r="F53" s="51"/>
      <c r="G53" s="51"/>
      <c r="H53" s="51"/>
      <c r="I53" s="51"/>
      <c r="J53" s="51"/>
      <c r="K53" s="4"/>
      <c r="L53" s="4" t="s">
        <v>2330</v>
      </c>
      <c r="M53" s="4" t="s">
        <v>2331</v>
      </c>
      <c r="N53" s="4">
        <v>11</v>
      </c>
      <c r="O53" s="44" t="s">
        <v>195</v>
      </c>
      <c r="P53" s="44"/>
      <c r="Q53" s="4"/>
      <c r="R53" s="5" t="s">
        <v>5888</v>
      </c>
    </row>
    <row r="54" spans="1:24" ht="76.5">
      <c r="A54" s="39">
        <v>52</v>
      </c>
      <c r="B54" s="13" t="s">
        <v>5492</v>
      </c>
      <c r="C54" s="4" t="s">
        <v>5889</v>
      </c>
      <c r="D54" s="120" t="s">
        <v>5890</v>
      </c>
      <c r="E54" s="56" t="s">
        <v>5891</v>
      </c>
      <c r="F54" s="51">
        <v>9663963005</v>
      </c>
      <c r="G54" s="51" t="s">
        <v>5892</v>
      </c>
      <c r="H54" s="51"/>
      <c r="I54" s="51"/>
      <c r="J54" s="51"/>
      <c r="K54" s="4"/>
      <c r="L54" s="4" t="s">
        <v>2350</v>
      </c>
      <c r="M54" s="4" t="s">
        <v>2351</v>
      </c>
      <c r="N54" s="4">
        <v>11</v>
      </c>
      <c r="O54" s="44" t="s">
        <v>195</v>
      </c>
      <c r="P54" s="44"/>
      <c r="Q54" s="4" t="s">
        <v>5893</v>
      </c>
      <c r="R54" s="5" t="s">
        <v>5894</v>
      </c>
      <c r="V54">
        <f>SUM(V2:V53)</f>
        <v>500</v>
      </c>
    </row>
    <row r="55" spans="1:24" ht="45.75">
      <c r="A55" s="39">
        <v>53</v>
      </c>
      <c r="B55" s="259" t="s">
        <v>227</v>
      </c>
      <c r="C55" s="120" t="s">
        <v>5895</v>
      </c>
      <c r="D55" s="90" t="s">
        <v>5896</v>
      </c>
      <c r="E55" s="56" t="s">
        <v>5897</v>
      </c>
      <c r="F55" s="51">
        <v>9952364367</v>
      </c>
      <c r="G55" s="51" t="s">
        <v>5898</v>
      </c>
      <c r="H55" s="51"/>
      <c r="I55" s="51"/>
      <c r="J55" s="51"/>
      <c r="K55" s="4"/>
      <c r="L55" s="4" t="s">
        <v>5899</v>
      </c>
      <c r="M55" s="4" t="s">
        <v>4790</v>
      </c>
      <c r="N55" s="4">
        <v>11</v>
      </c>
      <c r="O55" s="7" t="s">
        <v>176</v>
      </c>
      <c r="P55" s="44"/>
      <c r="Q55" s="4"/>
      <c r="R55" s="5" t="s">
        <v>5900</v>
      </c>
      <c r="S55" s="174" t="s">
        <v>2353</v>
      </c>
    </row>
    <row r="56" spans="1:24" ht="44.25" customHeight="1">
      <c r="A56" s="39">
        <v>54</v>
      </c>
      <c r="B56" s="52" t="s">
        <v>227</v>
      </c>
      <c r="C56" s="45" t="s">
        <v>5901</v>
      </c>
      <c r="D56" s="46" t="s">
        <v>5902</v>
      </c>
      <c r="E56" s="41" t="s">
        <v>5903</v>
      </c>
      <c r="F56" s="43">
        <v>8886977573</v>
      </c>
      <c r="G56" s="43" t="s">
        <v>5904</v>
      </c>
      <c r="H56" s="43"/>
      <c r="I56" s="44"/>
      <c r="J56" s="44"/>
      <c r="K56" s="53"/>
      <c r="L56" s="42">
        <v>46057</v>
      </c>
      <c r="M56" s="42">
        <v>46390</v>
      </c>
      <c r="N56" s="43">
        <v>11</v>
      </c>
      <c r="O56" s="44" t="s">
        <v>176</v>
      </c>
      <c r="P56" s="44"/>
      <c r="Q56" s="43"/>
      <c r="R56" s="54" t="s">
        <v>5905</v>
      </c>
      <c r="S56" s="43"/>
    </row>
    <row r="57" spans="1:24" s="161" customFormat="1" ht="15" customHeight="1">
      <c r="A57" s="39">
        <v>55</v>
      </c>
      <c r="B57" s="52" t="s">
        <v>227</v>
      </c>
      <c r="C57" s="161" t="s">
        <v>5704</v>
      </c>
      <c r="D57" s="206" t="s">
        <v>5906</v>
      </c>
      <c r="E57" s="161" t="s">
        <v>5907</v>
      </c>
      <c r="F57" s="143"/>
      <c r="G57" s="143" t="s">
        <v>5707</v>
      </c>
      <c r="H57" s="143"/>
      <c r="I57" s="143"/>
      <c r="J57" s="143"/>
      <c r="L57" s="161" t="s">
        <v>3789</v>
      </c>
      <c r="M57" s="161" t="s">
        <v>3790</v>
      </c>
      <c r="N57" s="161">
        <v>11</v>
      </c>
      <c r="O57" s="44" t="s">
        <v>176</v>
      </c>
      <c r="P57" s="85"/>
      <c r="R57" s="161" t="s">
        <v>5908</v>
      </c>
      <c r="S57" s="161" t="s">
        <v>15</v>
      </c>
    </row>
    <row r="58" spans="1:24" s="161" customFormat="1" ht="45" customHeight="1">
      <c r="A58" s="39">
        <v>56</v>
      </c>
      <c r="B58" s="52" t="s">
        <v>227</v>
      </c>
      <c r="C58" s="161" t="s">
        <v>5909</v>
      </c>
      <c r="D58" s="206" t="s">
        <v>5910</v>
      </c>
      <c r="E58" s="147" t="s">
        <v>5911</v>
      </c>
      <c r="F58" s="143">
        <v>91478580604</v>
      </c>
      <c r="G58" s="143" t="s">
        <v>5912</v>
      </c>
      <c r="H58" s="143"/>
      <c r="I58" s="143"/>
      <c r="J58" s="143"/>
      <c r="L58" s="161" t="s">
        <v>2446</v>
      </c>
      <c r="M58" s="161" t="s">
        <v>2447</v>
      </c>
      <c r="N58" s="161">
        <v>11</v>
      </c>
      <c r="O58" s="44" t="s">
        <v>195</v>
      </c>
      <c r="P58" s="85"/>
      <c r="R58" s="161" t="s">
        <v>5913</v>
      </c>
      <c r="S58" s="161" t="s">
        <v>15</v>
      </c>
    </row>
    <row r="59" spans="1:24" s="161" customFormat="1" ht="36.75" customHeight="1">
      <c r="A59" s="39">
        <v>57</v>
      </c>
      <c r="B59" s="52" t="s">
        <v>227</v>
      </c>
      <c r="C59" s="45" t="s">
        <v>5859</v>
      </c>
      <c r="D59" s="58" t="s">
        <v>5860</v>
      </c>
      <c r="E59" s="46" t="s">
        <v>5861</v>
      </c>
      <c r="F59" s="43">
        <v>9811491380</v>
      </c>
      <c r="G59" s="43" t="s">
        <v>5857</v>
      </c>
      <c r="H59" s="43"/>
      <c r="I59" s="44"/>
      <c r="J59" s="7"/>
      <c r="K59" s="53"/>
      <c r="L59" s="42" t="s">
        <v>2446</v>
      </c>
      <c r="M59" s="42"/>
      <c r="N59" s="43"/>
      <c r="O59" s="147" t="s">
        <v>5914</v>
      </c>
      <c r="P59" s="57"/>
      <c r="Q59" s="22"/>
      <c r="R59" s="54" t="s">
        <v>5862</v>
      </c>
      <c r="S59"/>
    </row>
    <row r="60" spans="1:24" s="161" customFormat="1" ht="48" customHeight="1">
      <c r="A60" s="39">
        <v>58</v>
      </c>
      <c r="B60" s="52" t="s">
        <v>227</v>
      </c>
      <c r="C60" s="161" t="s">
        <v>5915</v>
      </c>
      <c r="D60" s="206" t="s">
        <v>5916</v>
      </c>
      <c r="E60" s="147" t="s">
        <v>5917</v>
      </c>
      <c r="F60" s="143">
        <v>9910059364</v>
      </c>
      <c r="G60" s="143" t="s">
        <v>5918</v>
      </c>
      <c r="H60" s="143"/>
      <c r="I60" s="143"/>
      <c r="J60" s="143"/>
      <c r="L60" s="161" t="s">
        <v>5448</v>
      </c>
      <c r="M60" s="161" t="s">
        <v>5449</v>
      </c>
      <c r="N60" s="161">
        <v>11</v>
      </c>
      <c r="O60" s="44" t="s">
        <v>195</v>
      </c>
      <c r="P60" s="85"/>
      <c r="R60" s="161" t="s">
        <v>5919</v>
      </c>
      <c r="S60" s="161" t="s">
        <v>5920</v>
      </c>
    </row>
    <row r="61" spans="1:24" s="161" customFormat="1" ht="34.5" customHeight="1">
      <c r="A61" s="39">
        <v>59</v>
      </c>
      <c r="B61" s="52" t="s">
        <v>227</v>
      </c>
      <c r="C61" s="161" t="s">
        <v>5921</v>
      </c>
      <c r="D61" s="206" t="s">
        <v>5922</v>
      </c>
      <c r="E61" s="147" t="s">
        <v>5923</v>
      </c>
      <c r="F61" s="143">
        <v>9824133300</v>
      </c>
      <c r="G61" s="143" t="s">
        <v>5924</v>
      </c>
      <c r="H61" s="143"/>
      <c r="I61" s="143"/>
      <c r="J61" s="143"/>
      <c r="L61" s="161" t="s">
        <v>2553</v>
      </c>
      <c r="M61" s="161" t="s">
        <v>2405</v>
      </c>
      <c r="N61" s="161">
        <v>11</v>
      </c>
      <c r="O61" s="44" t="s">
        <v>195</v>
      </c>
      <c r="R61" s="161" t="s">
        <v>5925</v>
      </c>
      <c r="S61" s="161" t="s">
        <v>5920</v>
      </c>
    </row>
    <row r="62" spans="1:24" s="161" customFormat="1" ht="27.75" customHeight="1">
      <c r="A62" s="39">
        <v>60</v>
      </c>
      <c r="B62" s="52" t="s">
        <v>227</v>
      </c>
      <c r="C62" s="161" t="s">
        <v>5926</v>
      </c>
      <c r="D62" s="206" t="s">
        <v>5927</v>
      </c>
      <c r="E62" s="147" t="s">
        <v>5928</v>
      </c>
      <c r="F62" s="143">
        <v>8291200954</v>
      </c>
      <c r="G62" s="143" t="s">
        <v>5929</v>
      </c>
      <c r="H62" s="143"/>
      <c r="I62" s="143"/>
      <c r="J62" s="143"/>
      <c r="L62" s="250">
        <v>46147</v>
      </c>
      <c r="M62" s="250">
        <v>46481</v>
      </c>
      <c r="N62" s="161">
        <v>11</v>
      </c>
      <c r="O62" s="44" t="s">
        <v>195</v>
      </c>
      <c r="R62" s="161" t="s">
        <v>5930</v>
      </c>
      <c r="S62" s="161" t="s">
        <v>5920</v>
      </c>
    </row>
    <row r="63" spans="1:24" s="161" customFormat="1" ht="42" customHeight="1">
      <c r="A63" s="39">
        <v>61</v>
      </c>
      <c r="B63" s="52" t="s">
        <v>227</v>
      </c>
      <c r="C63" s="161" t="s">
        <v>5931</v>
      </c>
      <c r="D63" s="206" t="s">
        <v>5893</v>
      </c>
      <c r="E63" s="388" t="s">
        <v>5932</v>
      </c>
      <c r="F63" s="143"/>
      <c r="G63" s="143" t="s">
        <v>5933</v>
      </c>
      <c r="H63" s="143"/>
      <c r="I63" s="143"/>
      <c r="J63" s="143"/>
      <c r="L63" s="250">
        <v>46147</v>
      </c>
      <c r="M63" s="250">
        <v>46481</v>
      </c>
      <c r="N63" s="161">
        <v>11</v>
      </c>
      <c r="O63" s="44" t="s">
        <v>176</v>
      </c>
      <c r="R63" s="161" t="s">
        <v>5934</v>
      </c>
      <c r="S63" s="161" t="s">
        <v>5920</v>
      </c>
    </row>
    <row r="64" spans="1:24" s="161" customFormat="1" ht="38.25" customHeight="1">
      <c r="A64" s="39">
        <v>62</v>
      </c>
      <c r="B64" s="52" t="s">
        <v>227</v>
      </c>
      <c r="C64" s="45" t="s">
        <v>5935</v>
      </c>
      <c r="D64" s="58" t="s">
        <v>5761</v>
      </c>
      <c r="E64" s="46" t="s">
        <v>5762</v>
      </c>
      <c r="F64" s="43"/>
      <c r="G64" s="43" t="s">
        <v>5763</v>
      </c>
      <c r="H64" s="44" t="s">
        <v>202</v>
      </c>
      <c r="I64" s="7"/>
      <c r="J64" s="7"/>
      <c r="K64" s="53"/>
      <c r="L64" s="42" t="s">
        <v>2527</v>
      </c>
      <c r="M64" s="42" t="s">
        <v>2528</v>
      </c>
      <c r="N64" s="22">
        <v>11</v>
      </c>
      <c r="O64" s="7" t="s">
        <v>176</v>
      </c>
      <c r="P64" s="7"/>
      <c r="Q64" s="22" t="s">
        <v>5936</v>
      </c>
      <c r="R64" s="161" t="s">
        <v>5937</v>
      </c>
      <c r="S64" s="9" t="s">
        <v>243</v>
      </c>
      <c r="T64"/>
      <c r="U64"/>
      <c r="V64"/>
      <c r="W64"/>
      <c r="X64"/>
    </row>
    <row r="65" spans="1:24" s="161" customFormat="1" ht="37.5" customHeight="1">
      <c r="A65" s="39">
        <v>63</v>
      </c>
      <c r="B65" s="52" t="s">
        <v>227</v>
      </c>
      <c r="C65" s="161" t="s">
        <v>5938</v>
      </c>
      <c r="D65" s="58" t="s">
        <v>5770</v>
      </c>
      <c r="E65" s="147" t="s">
        <v>5939</v>
      </c>
      <c r="F65" s="143" t="s">
        <v>5940</v>
      </c>
      <c r="G65" s="143" t="s">
        <v>5941</v>
      </c>
      <c r="H65" s="143"/>
      <c r="I65" s="143"/>
      <c r="J65" s="143"/>
      <c r="L65" s="250">
        <v>46272</v>
      </c>
      <c r="M65" s="161" t="s">
        <v>2589</v>
      </c>
      <c r="N65" s="161">
        <v>11</v>
      </c>
      <c r="O65" s="44" t="s">
        <v>176</v>
      </c>
      <c r="Q65" s="161" t="s">
        <v>5942</v>
      </c>
      <c r="R65" s="161" t="s">
        <v>5943</v>
      </c>
      <c r="S65" s="9" t="s">
        <v>243</v>
      </c>
      <c r="T65" s="194" t="s">
        <v>5944</v>
      </c>
      <c r="V65" s="194" t="s">
        <v>5945</v>
      </c>
    </row>
    <row r="66" spans="1:24" s="451" customFormat="1" ht="45" customHeight="1">
      <c r="A66" s="39">
        <v>64</v>
      </c>
      <c r="B66" s="177" t="s">
        <v>5492</v>
      </c>
      <c r="C66" s="177" t="s">
        <v>5700</v>
      </c>
      <c r="D66" s="281" t="s">
        <v>5701</v>
      </c>
      <c r="E66" s="493" t="s">
        <v>5702</v>
      </c>
      <c r="F66" s="494" t="s">
        <v>5946</v>
      </c>
      <c r="G66" s="495" t="s">
        <v>5703</v>
      </c>
      <c r="H66" s="177" t="s">
        <v>2095</v>
      </c>
      <c r="I66" s="177" t="s">
        <v>5697</v>
      </c>
      <c r="J66" s="177"/>
      <c r="K66" s="321" t="s">
        <v>5698</v>
      </c>
      <c r="L66" s="496" t="s">
        <v>1787</v>
      </c>
      <c r="M66" s="496" t="s">
        <v>4059</v>
      </c>
      <c r="N66" s="177">
        <v>11</v>
      </c>
      <c r="O66" s="177" t="s">
        <v>176</v>
      </c>
      <c r="P66" s="177"/>
      <c r="Q66" s="177" t="s">
        <v>2549</v>
      </c>
      <c r="R66" s="191" t="s">
        <v>5947</v>
      </c>
      <c r="S66" s="191" t="s">
        <v>243</v>
      </c>
      <c r="T66" s="386" t="s">
        <v>5948</v>
      </c>
      <c r="U66" s="174"/>
      <c r="V66" s="239"/>
      <c r="W66" s="174"/>
      <c r="X66" s="174"/>
    </row>
    <row r="67" spans="1:24" s="164" customFormat="1" ht="45" customHeight="1">
      <c r="A67" s="39">
        <v>65</v>
      </c>
      <c r="B67" s="52" t="s">
        <v>227</v>
      </c>
      <c r="C67" s="45" t="s">
        <v>5786</v>
      </c>
      <c r="D67" s="58" t="s">
        <v>5787</v>
      </c>
      <c r="E67" s="41" t="s">
        <v>5788</v>
      </c>
      <c r="F67" s="43"/>
      <c r="G67" s="43" t="s">
        <v>5789</v>
      </c>
      <c r="H67" s="43" t="s">
        <v>1737</v>
      </c>
      <c r="I67" s="7" t="s">
        <v>5697</v>
      </c>
      <c r="J67" s="97"/>
      <c r="K67" s="183" t="s">
        <v>5698</v>
      </c>
      <c r="L67" s="187" t="s">
        <v>2648</v>
      </c>
      <c r="M67" s="42" t="s">
        <v>2649</v>
      </c>
      <c r="N67" s="43">
        <v>11</v>
      </c>
      <c r="O67" s="7" t="s">
        <v>176</v>
      </c>
      <c r="P67" s="7"/>
      <c r="Q67" s="54" t="s">
        <v>243</v>
      </c>
      <c r="R67" s="164" t="s">
        <v>5949</v>
      </c>
      <c r="S67">
        <v>4.5</v>
      </c>
      <c r="T67"/>
      <c r="U67"/>
      <c r="V67"/>
      <c r="W67"/>
      <c r="X67"/>
    </row>
    <row r="68" spans="1:24" s="164" customFormat="1" ht="45" customHeight="1">
      <c r="A68" s="39">
        <v>66</v>
      </c>
      <c r="B68" s="52" t="s">
        <v>227</v>
      </c>
      <c r="C68" s="46" t="s">
        <v>5803</v>
      </c>
      <c r="D68" s="58" t="s">
        <v>5804</v>
      </c>
      <c r="E68" s="41" t="s">
        <v>5805</v>
      </c>
      <c r="F68" s="43">
        <v>9611210003</v>
      </c>
      <c r="G68" s="43" t="s">
        <v>5806</v>
      </c>
      <c r="H68" s="43" t="s">
        <v>4024</v>
      </c>
      <c r="I68" s="7" t="s">
        <v>5697</v>
      </c>
      <c r="J68" s="97"/>
      <c r="K68" s="183" t="s">
        <v>5698</v>
      </c>
      <c r="L68" s="187" t="s">
        <v>5950</v>
      </c>
      <c r="M68" s="42" t="s">
        <v>5951</v>
      </c>
      <c r="N68" s="43">
        <v>11</v>
      </c>
      <c r="O68" s="7" t="s">
        <v>176</v>
      </c>
      <c r="P68" s="7"/>
      <c r="Q68" s="54" t="s">
        <v>243</v>
      </c>
      <c r="R68" s="500" t="s">
        <v>5952</v>
      </c>
      <c r="S68">
        <v>4.5</v>
      </c>
      <c r="T68"/>
      <c r="U68"/>
      <c r="V68"/>
      <c r="W68"/>
      <c r="X68"/>
    </row>
    <row r="69" spans="1:24" s="161" customFormat="1" ht="50.25" customHeight="1">
      <c r="A69" s="39">
        <v>67</v>
      </c>
      <c r="B69" s="139" t="s">
        <v>227</v>
      </c>
      <c r="C69" s="137" t="s">
        <v>5817</v>
      </c>
      <c r="D69" s="137" t="s">
        <v>5817</v>
      </c>
      <c r="E69" s="147" t="s">
        <v>5818</v>
      </c>
      <c r="F69" s="139">
        <v>7760855958</v>
      </c>
      <c r="G69" s="139" t="s">
        <v>5819</v>
      </c>
      <c r="H69" s="139" t="s">
        <v>5820</v>
      </c>
      <c r="I69" s="133" t="s">
        <v>5697</v>
      </c>
      <c r="J69" s="133"/>
      <c r="K69" s="183" t="s">
        <v>5698</v>
      </c>
      <c r="L69" s="146" t="s">
        <v>5953</v>
      </c>
      <c r="M69" s="146" t="s">
        <v>5954</v>
      </c>
      <c r="N69" s="139">
        <v>11</v>
      </c>
      <c r="O69" s="133" t="s">
        <v>176</v>
      </c>
      <c r="P69" s="133"/>
      <c r="Q69" s="133" t="s">
        <v>243</v>
      </c>
      <c r="R69" s="161" t="s">
        <v>5955</v>
      </c>
      <c r="S69" s="161">
        <v>4.5</v>
      </c>
    </row>
    <row r="70" spans="1:24" s="161" customFormat="1" ht="15" customHeight="1">
      <c r="A70" s="139"/>
      <c r="B70" s="143"/>
      <c r="D70" s="206"/>
      <c r="F70" s="143"/>
      <c r="G70" s="143"/>
      <c r="H70" s="143"/>
      <c r="I70" s="143"/>
      <c r="J70" s="143"/>
    </row>
    <row r="71" spans="1:24" s="161" customFormat="1" ht="15" customHeight="1">
      <c r="A71" s="139"/>
      <c r="B71" s="143"/>
      <c r="D71" s="206"/>
      <c r="F71" s="143"/>
      <c r="G71" s="143"/>
      <c r="H71" s="143"/>
      <c r="I71" s="143"/>
      <c r="J71" s="143"/>
    </row>
    <row r="72" spans="1:24" s="161" customFormat="1" ht="15" customHeight="1">
      <c r="A72" s="139"/>
      <c r="B72" s="143"/>
      <c r="D72" s="206"/>
      <c r="F72" s="143"/>
      <c r="G72" s="143"/>
      <c r="H72" s="143"/>
      <c r="I72" s="143"/>
      <c r="J72" s="143"/>
    </row>
    <row r="73" spans="1:24" s="161" customFormat="1" ht="15" customHeight="1">
      <c r="A73" s="139"/>
      <c r="B73" s="143"/>
      <c r="D73" s="206"/>
      <c r="F73" s="143"/>
      <c r="G73" s="143"/>
      <c r="H73" s="143"/>
      <c r="I73" s="143"/>
      <c r="J73" s="143"/>
    </row>
    <row r="74" spans="1:24" s="161" customFormat="1" ht="15" customHeight="1">
      <c r="A74" s="139"/>
      <c r="B74" s="143"/>
      <c r="D74" s="206"/>
      <c r="F74" s="143"/>
      <c r="G74" s="143"/>
      <c r="H74" s="143"/>
      <c r="I74" s="143"/>
      <c r="J74" s="143"/>
    </row>
    <row r="75" spans="1:24" s="161" customFormat="1" ht="15" customHeight="1">
      <c r="A75" s="139"/>
      <c r="B75" s="143"/>
      <c r="D75" s="206"/>
      <c r="F75" s="143"/>
      <c r="G75" s="143"/>
      <c r="H75" s="143"/>
      <c r="I75" s="143"/>
      <c r="J75" s="143"/>
    </row>
    <row r="76" spans="1:24" s="161" customFormat="1" ht="15" customHeight="1">
      <c r="A76" s="139"/>
      <c r="B76" s="143"/>
      <c r="D76" s="206"/>
      <c r="F76" s="143"/>
      <c r="G76" s="143"/>
      <c r="H76" s="143"/>
      <c r="I76" s="143"/>
      <c r="J76" s="143"/>
    </row>
    <row r="77" spans="1:24" s="161" customFormat="1" ht="15" customHeight="1">
      <c r="A77" s="139"/>
      <c r="B77" s="143"/>
      <c r="D77" s="206"/>
      <c r="F77" s="143"/>
      <c r="G77" s="143"/>
      <c r="H77" s="143"/>
      <c r="I77" s="143"/>
      <c r="J77" s="143"/>
    </row>
    <row r="78" spans="1:24" s="161" customFormat="1" ht="15" customHeight="1">
      <c r="A78" s="139"/>
      <c r="B78" s="143"/>
      <c r="D78" s="206"/>
      <c r="F78" s="143"/>
      <c r="G78" s="143"/>
      <c r="H78" s="143"/>
      <c r="I78" s="143"/>
      <c r="J78" s="143"/>
    </row>
    <row r="79" spans="1:24" s="161" customFormat="1" ht="15" customHeight="1">
      <c r="A79" s="139"/>
      <c r="B79" s="143"/>
      <c r="D79" s="206"/>
      <c r="F79" s="143"/>
      <c r="G79" s="143"/>
      <c r="H79" s="143"/>
      <c r="I79" s="143"/>
      <c r="J79" s="143"/>
    </row>
    <row r="80" spans="1:24" s="161" customFormat="1" ht="15" customHeight="1">
      <c r="A80" s="139"/>
      <c r="B80" s="143"/>
      <c r="D80" s="206"/>
      <c r="F80" s="143"/>
      <c r="G80" s="143"/>
      <c r="H80" s="143"/>
      <c r="I80" s="143"/>
      <c r="J80" s="143"/>
    </row>
    <row r="81" spans="1:10" s="161" customFormat="1" ht="15" customHeight="1">
      <c r="A81" s="139"/>
      <c r="B81" s="143"/>
      <c r="D81" s="206"/>
      <c r="F81" s="143"/>
      <c r="G81" s="143"/>
      <c r="H81" s="143"/>
      <c r="I81" s="143"/>
      <c r="J81" s="143"/>
    </row>
    <row r="82" spans="1:10" s="161" customFormat="1" ht="15" customHeight="1">
      <c r="A82" s="139"/>
      <c r="B82" s="143"/>
      <c r="D82" s="206"/>
      <c r="F82" s="143"/>
      <c r="G82" s="143"/>
      <c r="H82" s="143"/>
      <c r="I82" s="143"/>
      <c r="J82" s="143"/>
    </row>
    <row r="83" spans="1:10" s="161" customFormat="1" ht="15" customHeight="1">
      <c r="A83" s="139"/>
      <c r="B83" s="143"/>
      <c r="D83" s="206"/>
      <c r="F83" s="143"/>
      <c r="G83" s="143"/>
      <c r="H83" s="143"/>
      <c r="I83" s="143"/>
      <c r="J83" s="143"/>
    </row>
    <row r="84" spans="1:10" s="161" customFormat="1" ht="15" customHeight="1">
      <c r="A84" s="139"/>
      <c r="B84" s="143"/>
      <c r="D84" s="206"/>
      <c r="F84" s="143"/>
      <c r="G84" s="143"/>
      <c r="H84" s="143"/>
      <c r="I84" s="143"/>
      <c r="J84" s="143"/>
    </row>
    <row r="85" spans="1:10" s="161" customFormat="1" ht="15" customHeight="1">
      <c r="A85" s="139"/>
      <c r="B85" s="143"/>
      <c r="D85" s="206"/>
      <c r="F85" s="143"/>
      <c r="G85" s="143"/>
      <c r="H85" s="143"/>
      <c r="I85" s="143"/>
      <c r="J85" s="143"/>
    </row>
    <row r="86" spans="1:10" s="161" customFormat="1" ht="15" customHeight="1">
      <c r="A86" s="139"/>
      <c r="B86" s="143"/>
      <c r="D86" s="206"/>
      <c r="F86" s="143"/>
      <c r="G86" s="143"/>
      <c r="H86" s="143"/>
      <c r="I86" s="143"/>
      <c r="J86" s="143"/>
    </row>
    <row r="87" spans="1:10" s="161" customFormat="1" ht="15" customHeight="1">
      <c r="A87" s="139"/>
      <c r="B87" s="143"/>
      <c r="D87" s="206"/>
      <c r="F87" s="143"/>
      <c r="G87" s="143"/>
      <c r="H87" s="143"/>
      <c r="I87" s="143"/>
      <c r="J87" s="143"/>
    </row>
  </sheetData>
  <autoFilter ref="A1:X69" xr:uid="{A6311608-0777-4209-8DBF-8A9D59384B8F}"/>
  <dataValidations count="2">
    <dataValidation type="list" allowBlank="1" showInputMessage="1" showErrorMessage="1" sqref="O1:P12 O36:P51 O29:P29 O33:P33 O14:P26 O63 O55:P57 O64:P64 O65 O66:P69" xr:uid="{EAD5EC03-E260-4EAA-BAE9-646B3018E034}">
      <formula1>$X$2:$X$11</formula1>
    </dataValidation>
    <dataValidation type="list" allowBlank="1" showInputMessage="1" showErrorMessage="1" sqref="O13:P13 O60:P60 O58:P58 O52:P54 O27:P28 O30:P32 O34:P35 O61:O62" xr:uid="{60FBD5F0-1136-4042-B39B-535C81A471DD}">
      <formula1>$X$2:$X$10</formula1>
    </dataValidation>
  </dataValidations>
  <hyperlinks>
    <hyperlink ref="T65" r:id="rId1" xr:uid="{F0AA4FF4-3A5A-4FCD-BB6F-34A087FB0D49}"/>
    <hyperlink ref="V65" r:id="rId2" xr:uid="{CE593840-722B-411A-BB8B-E78E08AF22A8}"/>
    <hyperlink ref="T66" r:id="rId3" xr:uid="{2121831F-1C4C-4396-AB38-78813AE6BD03}"/>
  </hyperlinks>
  <pageMargins left="0.7" right="0.7" top="0.75" bottom="0.75" header="0.3" footer="0.3"/>
  <pageSetup paperSize="11" orientation="portrait" horizontalDpi="4294967293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F2DA-1F73-47C3-AC16-E2950290E0CF}">
  <dimension ref="A1:Z62"/>
  <sheetViews>
    <sheetView topLeftCell="A7" workbookViewId="0">
      <selection activeCell="F3" sqref="F3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22.140625" style="57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0.42578125" bestFit="1" customWidth="1"/>
    <col min="14" max="14" width="10.28515625" customWidth="1"/>
    <col min="15" max="15" width="14.28515625" customWidth="1"/>
    <col min="16" max="16" width="10.28515625" customWidth="1"/>
    <col min="17" max="17" width="25.85546875" customWidth="1"/>
    <col min="18" max="18" width="18.28515625" customWidth="1"/>
    <col min="19" max="19" width="17.28515625" customWidth="1"/>
    <col min="20" max="20" width="18" customWidth="1"/>
    <col min="21" max="21" width="20" customWidth="1"/>
    <col min="23" max="23" width="24.28515625" customWidth="1"/>
    <col min="25" max="25" width="23.7109375" bestFit="1" customWidth="1"/>
  </cols>
  <sheetData>
    <row r="1" spans="1:26" ht="45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2"/>
      <c r="Q1" s="3" t="s">
        <v>164</v>
      </c>
      <c r="R1" s="111" t="s">
        <v>5956</v>
      </c>
      <c r="S1" s="111" t="s">
        <v>5957</v>
      </c>
      <c r="T1" s="18" t="s">
        <v>5691</v>
      </c>
      <c r="U1" s="18" t="s">
        <v>3886</v>
      </c>
      <c r="W1" s="115" t="s">
        <v>5958</v>
      </c>
    </row>
    <row r="2" spans="1:26" s="29" customFormat="1" ht="46.9" customHeight="1">
      <c r="A2" s="7">
        <v>1</v>
      </c>
      <c r="B2" s="7" t="s">
        <v>5492</v>
      </c>
      <c r="C2" s="85" t="s">
        <v>5959</v>
      </c>
      <c r="D2" s="55" t="s">
        <v>5960</v>
      </c>
      <c r="E2" s="86" t="s">
        <v>5961</v>
      </c>
      <c r="F2" s="21"/>
      <c r="G2" s="21" t="s">
        <v>5962</v>
      </c>
      <c r="H2" s="7" t="s">
        <v>1864</v>
      </c>
      <c r="I2" s="7" t="s">
        <v>5963</v>
      </c>
      <c r="J2" s="7" t="s">
        <v>5964</v>
      </c>
      <c r="K2" s="81">
        <v>8122550964</v>
      </c>
      <c r="L2" s="8">
        <v>45694</v>
      </c>
      <c r="M2" s="8"/>
      <c r="N2" s="22">
        <v>11</v>
      </c>
      <c r="O2" s="44" t="s">
        <v>195</v>
      </c>
      <c r="P2" s="7"/>
      <c r="Q2" s="87" t="s">
        <v>2701</v>
      </c>
      <c r="R2" s="87" t="e">
        <f>#REF!*18%+#REF!</f>
        <v>#REF!</v>
      </c>
      <c r="T2" s="29" t="s">
        <v>5437</v>
      </c>
      <c r="U2" s="29" t="s">
        <v>5699</v>
      </c>
      <c r="V2" s="87" t="e">
        <f>(R2-(6000*10%))</f>
        <v>#REF!</v>
      </c>
      <c r="X2" s="29">
        <v>100</v>
      </c>
    </row>
    <row r="3" spans="1:26" ht="55.5">
      <c r="A3" s="7">
        <v>2</v>
      </c>
      <c r="B3" s="7" t="s">
        <v>639</v>
      </c>
      <c r="C3" s="7" t="s">
        <v>5965</v>
      </c>
      <c r="D3" s="7" t="s">
        <v>5966</v>
      </c>
      <c r="E3" s="20" t="s">
        <v>5967</v>
      </c>
      <c r="F3" s="21">
        <v>9164605531</v>
      </c>
      <c r="G3" s="21"/>
      <c r="H3" s="7" t="s">
        <v>416</v>
      </c>
      <c r="I3" s="7" t="s">
        <v>5963</v>
      </c>
      <c r="J3" s="7" t="s">
        <v>5964</v>
      </c>
      <c r="K3" s="81">
        <v>8122550964</v>
      </c>
      <c r="L3" s="8">
        <v>45695</v>
      </c>
      <c r="M3" s="8"/>
      <c r="N3" s="22">
        <v>11</v>
      </c>
      <c r="O3" s="44" t="s">
        <v>195</v>
      </c>
      <c r="P3" s="7"/>
      <c r="Q3" s="87" t="s">
        <v>2701</v>
      </c>
      <c r="R3" s="87" t="e">
        <f>#REF!*18%+#REF!</f>
        <v>#REF!</v>
      </c>
      <c r="T3" s="29" t="s">
        <v>5437</v>
      </c>
      <c r="U3" s="29" t="s">
        <v>5699</v>
      </c>
      <c r="V3" s="87" t="e">
        <f>(R3-(6000*10%))</f>
        <v>#REF!</v>
      </c>
      <c r="X3">
        <v>100</v>
      </c>
    </row>
    <row r="4" spans="1:26" ht="44.25">
      <c r="A4" s="23">
        <v>3</v>
      </c>
      <c r="B4" s="7" t="s">
        <v>639</v>
      </c>
      <c r="C4" s="7" t="s">
        <v>5968</v>
      </c>
      <c r="D4" s="7" t="s">
        <v>5969</v>
      </c>
      <c r="E4" s="25" t="s">
        <v>5970</v>
      </c>
      <c r="F4" s="22"/>
      <c r="G4" s="48"/>
      <c r="H4" s="7" t="s">
        <v>1864</v>
      </c>
      <c r="I4" s="7" t="s">
        <v>5971</v>
      </c>
      <c r="J4" s="7"/>
      <c r="K4" s="26"/>
      <c r="L4" s="27">
        <v>45735</v>
      </c>
      <c r="M4" s="27"/>
      <c r="N4" s="22">
        <v>11</v>
      </c>
      <c r="O4" s="7" t="s">
        <v>203</v>
      </c>
      <c r="P4" s="22"/>
      <c r="Q4" s="87" t="s">
        <v>2701</v>
      </c>
      <c r="R4" s="85"/>
      <c r="S4" s="85"/>
      <c r="T4" s="29" t="s">
        <v>5437</v>
      </c>
    </row>
    <row r="5" spans="1:26" ht="55.5">
      <c r="A5" s="23">
        <v>4</v>
      </c>
      <c r="B5" s="7" t="s">
        <v>639</v>
      </c>
      <c r="C5" s="22" t="s">
        <v>5972</v>
      </c>
      <c r="D5" s="7" t="s">
        <v>5973</v>
      </c>
      <c r="E5" s="25" t="s">
        <v>5974</v>
      </c>
      <c r="F5" s="22"/>
      <c r="G5" s="22"/>
      <c r="H5" s="22" t="s">
        <v>348</v>
      </c>
      <c r="I5" s="7" t="s">
        <v>5971</v>
      </c>
      <c r="J5" s="7"/>
      <c r="K5" s="74"/>
      <c r="L5" s="27">
        <v>45792</v>
      </c>
      <c r="M5" s="27"/>
      <c r="N5" s="22">
        <v>11</v>
      </c>
      <c r="O5" s="44" t="s">
        <v>195</v>
      </c>
      <c r="P5" s="22"/>
      <c r="Q5" s="9"/>
      <c r="R5" s="85"/>
      <c r="S5" s="85"/>
    </row>
    <row r="6" spans="1:26" s="29" customFormat="1" ht="45.75">
      <c r="A6" s="23">
        <v>5</v>
      </c>
      <c r="B6" s="7" t="s">
        <v>639</v>
      </c>
      <c r="C6" s="22" t="s">
        <v>5975</v>
      </c>
      <c r="D6" s="7" t="s">
        <v>5976</v>
      </c>
      <c r="E6" s="25" t="s">
        <v>5977</v>
      </c>
      <c r="F6" s="22">
        <v>9843734053</v>
      </c>
      <c r="G6" s="22" t="s">
        <v>5978</v>
      </c>
      <c r="H6" s="22" t="s">
        <v>1966</v>
      </c>
      <c r="I6" s="22" t="s">
        <v>5979</v>
      </c>
      <c r="J6" s="97" t="s">
        <v>5964</v>
      </c>
      <c r="K6" s="183">
        <v>8122550964</v>
      </c>
      <c r="L6" s="184">
        <v>45919</v>
      </c>
      <c r="M6" s="27">
        <v>46253</v>
      </c>
      <c r="N6" s="22">
        <v>11</v>
      </c>
      <c r="O6" s="44" t="s">
        <v>195</v>
      </c>
      <c r="P6" s="22"/>
      <c r="Q6" s="9"/>
      <c r="R6" s="85"/>
      <c r="S6" s="85"/>
    </row>
    <row r="7" spans="1:26" s="29" customFormat="1" ht="60.75">
      <c r="A7" s="7">
        <v>6</v>
      </c>
      <c r="B7" s="7" t="s">
        <v>227</v>
      </c>
      <c r="C7" s="7" t="s">
        <v>5980</v>
      </c>
      <c r="D7" s="7" t="s">
        <v>5981</v>
      </c>
      <c r="E7" s="25" t="s">
        <v>5982</v>
      </c>
      <c r="F7" s="21">
        <v>8489809439</v>
      </c>
      <c r="G7" s="21" t="s">
        <v>5983</v>
      </c>
      <c r="H7" s="7" t="s">
        <v>5984</v>
      </c>
      <c r="I7" s="17" t="s">
        <v>5985</v>
      </c>
      <c r="J7" s="7" t="s">
        <v>5986</v>
      </c>
      <c r="K7" s="17">
        <v>9025274542</v>
      </c>
      <c r="L7" s="8">
        <v>45920</v>
      </c>
      <c r="M7" s="8">
        <v>46254</v>
      </c>
      <c r="N7" s="7">
        <v>11</v>
      </c>
      <c r="O7" s="7" t="s">
        <v>195</v>
      </c>
      <c r="P7" s="7"/>
      <c r="Q7" s="9" t="s">
        <v>5987</v>
      </c>
      <c r="R7" s="87"/>
      <c r="S7"/>
      <c r="V7" s="87"/>
      <c r="W7"/>
      <c r="X7">
        <v>100</v>
      </c>
      <c r="Y7"/>
      <c r="Z7"/>
    </row>
    <row r="8" spans="1:26" ht="45.75">
      <c r="A8" s="22">
        <v>7</v>
      </c>
      <c r="B8" s="7" t="s">
        <v>227</v>
      </c>
      <c r="C8" s="7" t="s">
        <v>5988</v>
      </c>
      <c r="D8" s="7" t="s">
        <v>5989</v>
      </c>
      <c r="E8" s="33"/>
      <c r="F8" s="22"/>
      <c r="G8" s="22"/>
      <c r="H8" s="22"/>
      <c r="I8" s="17" t="s">
        <v>5985</v>
      </c>
      <c r="J8" s="7" t="s">
        <v>5986</v>
      </c>
      <c r="K8" s="36"/>
      <c r="L8" s="27" t="s">
        <v>2367</v>
      </c>
      <c r="M8" s="27" t="s">
        <v>2368</v>
      </c>
      <c r="N8" s="22">
        <v>11</v>
      </c>
      <c r="O8" s="9" t="s">
        <v>5990</v>
      </c>
      <c r="P8" s="22"/>
      <c r="Q8" s="9"/>
      <c r="R8" s="85"/>
      <c r="S8" s="85"/>
    </row>
    <row r="9" spans="1:26" ht="45.75">
      <c r="A9" s="22">
        <v>8</v>
      </c>
      <c r="B9" s="7" t="s">
        <v>227</v>
      </c>
      <c r="C9" s="22" t="s">
        <v>5991</v>
      </c>
      <c r="D9" s="7" t="s">
        <v>5992</v>
      </c>
      <c r="E9" s="31"/>
      <c r="F9" s="22"/>
      <c r="G9" s="22"/>
      <c r="H9" s="22"/>
      <c r="I9" s="22"/>
      <c r="J9" s="7"/>
      <c r="K9" s="22"/>
      <c r="L9" s="27">
        <v>46175</v>
      </c>
      <c r="M9" s="27">
        <v>46508</v>
      </c>
      <c r="N9" s="22">
        <v>11</v>
      </c>
      <c r="O9" s="7" t="s">
        <v>195</v>
      </c>
      <c r="P9" s="22"/>
      <c r="Q9" s="30"/>
      <c r="R9" s="34"/>
      <c r="S9" s="34"/>
    </row>
    <row r="10" spans="1:26" ht="45.75">
      <c r="A10" s="22">
        <v>9</v>
      </c>
      <c r="B10" s="7" t="s">
        <v>227</v>
      </c>
      <c r="C10" s="7" t="s">
        <v>5993</v>
      </c>
      <c r="D10" s="7" t="s">
        <v>5994</v>
      </c>
      <c r="E10" s="33"/>
      <c r="F10" s="22"/>
      <c r="G10" s="22"/>
      <c r="H10" s="22"/>
      <c r="I10" s="22"/>
      <c r="J10" s="7"/>
      <c r="K10" s="36"/>
      <c r="L10" s="27" t="s">
        <v>2325</v>
      </c>
      <c r="M10" s="27" t="s">
        <v>2326</v>
      </c>
      <c r="N10" s="22">
        <v>11</v>
      </c>
      <c r="O10" s="7" t="s">
        <v>195</v>
      </c>
      <c r="P10" s="22"/>
      <c r="Q10" s="9"/>
      <c r="R10" s="85"/>
      <c r="S10" s="85"/>
    </row>
    <row r="11" spans="1:26" ht="45.75">
      <c r="A11" s="22">
        <v>10</v>
      </c>
      <c r="B11" s="7" t="s">
        <v>227</v>
      </c>
      <c r="C11" s="7" t="s">
        <v>5995</v>
      </c>
      <c r="D11" s="7" t="s">
        <v>5966</v>
      </c>
      <c r="E11" s="32"/>
      <c r="F11" s="49"/>
      <c r="G11" s="7"/>
      <c r="H11" s="7"/>
      <c r="I11" s="7"/>
      <c r="J11" s="7"/>
      <c r="K11" s="36"/>
      <c r="L11" s="27" t="s">
        <v>5996</v>
      </c>
      <c r="M11" s="27" t="s">
        <v>5997</v>
      </c>
      <c r="N11" s="22">
        <v>11</v>
      </c>
      <c r="O11" s="9" t="s">
        <v>5990</v>
      </c>
      <c r="P11" s="22"/>
      <c r="Q11" s="35"/>
      <c r="R11" s="79"/>
      <c r="S11" s="79"/>
    </row>
    <row r="12" spans="1:26" s="29" customFormat="1">
      <c r="A12" s="23"/>
      <c r="B12" s="24"/>
      <c r="C12" s="22"/>
      <c r="D12" s="7"/>
      <c r="E12" s="31"/>
      <c r="F12" s="22"/>
      <c r="G12" s="22"/>
      <c r="H12" s="22"/>
      <c r="I12" s="22"/>
      <c r="J12" s="7"/>
      <c r="K12" s="17"/>
      <c r="L12" s="27"/>
      <c r="M12" s="27"/>
      <c r="N12" s="22"/>
      <c r="O12" s="12"/>
      <c r="P12" s="22"/>
      <c r="Q12" s="9"/>
      <c r="R12" s="85"/>
      <c r="S12" s="85"/>
    </row>
    <row r="13" spans="1:26" s="29" customFormat="1">
      <c r="A13" s="23"/>
      <c r="B13" s="24"/>
      <c r="C13" s="22"/>
      <c r="D13" s="7"/>
      <c r="E13" s="31"/>
      <c r="F13" s="22"/>
      <c r="G13" s="22"/>
      <c r="H13" s="22"/>
      <c r="I13" s="7"/>
      <c r="J13" s="7"/>
      <c r="K13" s="36"/>
      <c r="L13" s="27"/>
      <c r="M13" s="27"/>
      <c r="N13" s="22"/>
      <c r="O13" s="12"/>
      <c r="P13" s="22"/>
      <c r="Q13" s="9"/>
      <c r="R13" s="85"/>
      <c r="S13" s="85"/>
    </row>
    <row r="14" spans="1:26" s="29" customFormat="1">
      <c r="A14" s="23"/>
      <c r="B14" s="24"/>
      <c r="C14" s="22"/>
      <c r="D14" s="7"/>
      <c r="E14" s="31"/>
      <c r="F14" s="22"/>
      <c r="G14" s="22"/>
      <c r="H14" s="22"/>
      <c r="I14" s="22"/>
      <c r="J14" s="7"/>
      <c r="K14" s="17"/>
      <c r="L14" s="27"/>
      <c r="M14" s="27"/>
      <c r="N14" s="22"/>
      <c r="O14" s="12"/>
      <c r="P14" s="22"/>
      <c r="Q14" s="9"/>
      <c r="R14" s="85"/>
      <c r="S14" s="85"/>
    </row>
    <row r="15" spans="1:26" s="29" customFormat="1">
      <c r="A15" s="23"/>
      <c r="B15" s="24"/>
      <c r="C15" s="22"/>
      <c r="D15" s="7"/>
      <c r="E15" s="31"/>
      <c r="F15" s="22"/>
      <c r="G15" s="22"/>
      <c r="H15" s="22"/>
      <c r="I15" s="7"/>
      <c r="J15" s="7"/>
      <c r="K15" s="36"/>
      <c r="L15" s="27"/>
      <c r="M15" s="27"/>
      <c r="N15" s="22"/>
      <c r="O15" s="12"/>
      <c r="P15" s="22"/>
      <c r="Q15" s="9"/>
      <c r="R15" s="85"/>
      <c r="S15" s="85"/>
    </row>
    <row r="16" spans="1:26" s="29" customFormat="1">
      <c r="A16" s="23"/>
      <c r="B16" s="24"/>
      <c r="C16" s="38"/>
      <c r="D16" s="15"/>
      <c r="E16" s="15"/>
      <c r="F16" s="22"/>
      <c r="G16" s="22"/>
      <c r="H16" s="22"/>
      <c r="I16" s="22"/>
      <c r="J16" s="22"/>
      <c r="K16" s="38"/>
      <c r="L16" s="37"/>
      <c r="M16" s="37"/>
      <c r="N16" s="22"/>
      <c r="O16" s="12"/>
      <c r="P16" s="22"/>
      <c r="Q16" s="30"/>
      <c r="R16" s="34"/>
      <c r="S16" s="34"/>
    </row>
    <row r="17" spans="1:20">
      <c r="A17" s="39"/>
      <c r="B17" s="24"/>
      <c r="C17" s="45"/>
      <c r="D17" s="46"/>
      <c r="E17" s="46"/>
      <c r="F17" s="43"/>
      <c r="G17" s="43"/>
      <c r="H17" s="44"/>
      <c r="I17" s="7"/>
      <c r="J17" s="7"/>
      <c r="K17" s="36"/>
      <c r="L17" s="42"/>
      <c r="M17" s="42"/>
      <c r="N17" s="43"/>
      <c r="O17" s="12"/>
      <c r="P17" s="22"/>
      <c r="Q17" s="9"/>
      <c r="R17" s="85"/>
      <c r="S17" s="85"/>
    </row>
    <row r="18" spans="1:20">
      <c r="A18" s="39"/>
      <c r="B18" s="52"/>
      <c r="C18" s="45"/>
      <c r="D18" s="46"/>
      <c r="E18" s="46"/>
      <c r="F18" s="43"/>
      <c r="G18" s="43"/>
      <c r="H18" s="44"/>
      <c r="I18" s="22"/>
      <c r="J18" s="7"/>
      <c r="K18" s="17"/>
      <c r="L18" s="42"/>
      <c r="M18" s="42"/>
      <c r="N18" s="43"/>
      <c r="O18" s="7"/>
      <c r="P18" s="22"/>
      <c r="Q18" s="9"/>
      <c r="R18" s="85"/>
      <c r="S18" s="85"/>
    </row>
    <row r="19" spans="1:20">
      <c r="A19" s="39"/>
      <c r="B19" s="52"/>
      <c r="C19" s="45"/>
      <c r="D19" s="46"/>
      <c r="E19" s="46"/>
      <c r="F19" s="43"/>
      <c r="G19" s="43"/>
      <c r="H19" s="44"/>
      <c r="I19" s="22"/>
      <c r="J19" s="7"/>
      <c r="K19" s="17"/>
      <c r="L19" s="42"/>
      <c r="M19" s="42"/>
      <c r="N19" s="43"/>
      <c r="O19" s="7"/>
      <c r="P19" s="22"/>
      <c r="Q19" s="9"/>
      <c r="R19" s="85"/>
      <c r="S19" s="85"/>
    </row>
    <row r="20" spans="1:20">
      <c r="A20" s="39"/>
      <c r="B20" s="52"/>
      <c r="C20" s="46"/>
      <c r="D20" s="44"/>
      <c r="E20" s="46"/>
      <c r="F20" s="43"/>
      <c r="G20" s="43"/>
      <c r="H20" s="44"/>
      <c r="I20" s="44"/>
      <c r="J20" s="44"/>
      <c r="K20" s="53"/>
      <c r="L20" s="42"/>
      <c r="M20" s="42"/>
      <c r="N20" s="43"/>
      <c r="O20" s="7"/>
      <c r="P20" s="22"/>
      <c r="Q20" s="30"/>
      <c r="R20" s="34"/>
      <c r="S20" s="34"/>
    </row>
    <row r="21" spans="1:20">
      <c r="A21" s="39"/>
      <c r="B21" s="52"/>
      <c r="C21" s="45"/>
      <c r="D21" s="46"/>
      <c r="E21" s="41"/>
      <c r="F21" s="45"/>
      <c r="G21" s="45"/>
      <c r="H21" s="43"/>
      <c r="I21" s="22"/>
      <c r="J21" s="7"/>
      <c r="K21" s="17"/>
      <c r="L21" s="42"/>
      <c r="M21" s="42"/>
      <c r="N21" s="43"/>
      <c r="O21" s="7"/>
      <c r="P21" s="22"/>
      <c r="Q21" s="54"/>
      <c r="R21" s="85"/>
      <c r="S21" s="85"/>
    </row>
    <row r="22" spans="1:20">
      <c r="A22" s="39"/>
      <c r="B22" s="52"/>
      <c r="C22" s="40"/>
      <c r="D22" s="41"/>
      <c r="E22" s="41"/>
      <c r="F22" s="50"/>
      <c r="G22" s="50"/>
      <c r="H22" s="43"/>
      <c r="I22" s="22"/>
      <c r="J22" s="7"/>
      <c r="K22" s="17"/>
      <c r="L22" s="42"/>
      <c r="M22" s="42"/>
      <c r="N22" s="43"/>
      <c r="O22" s="7"/>
      <c r="P22" s="22"/>
      <c r="Q22" s="54"/>
      <c r="R22" s="85"/>
      <c r="S22" s="85"/>
    </row>
    <row r="23" spans="1:20">
      <c r="A23" s="61"/>
      <c r="B23" s="62"/>
      <c r="C23" s="63"/>
      <c r="D23" s="64"/>
      <c r="E23" s="65"/>
      <c r="F23" s="66"/>
      <c r="G23" s="66"/>
      <c r="H23" s="66"/>
      <c r="I23" s="68"/>
      <c r="J23" s="67"/>
      <c r="K23" s="69"/>
      <c r="L23" s="70"/>
      <c r="M23" s="70"/>
      <c r="N23" s="66"/>
      <c r="O23" s="71"/>
      <c r="P23" s="68"/>
      <c r="Q23" s="72"/>
      <c r="R23" s="112"/>
      <c r="S23" s="112"/>
      <c r="T23" s="73"/>
    </row>
    <row r="24" spans="1:20">
      <c r="A24" s="39"/>
      <c r="B24" s="52"/>
      <c r="C24" s="59"/>
      <c r="D24" s="58"/>
      <c r="E24" s="41"/>
      <c r="F24" s="50"/>
      <c r="G24" s="50"/>
      <c r="H24" s="43"/>
      <c r="I24" s="22"/>
      <c r="J24" s="7"/>
      <c r="K24" s="17"/>
      <c r="L24" s="42"/>
      <c r="M24" s="42"/>
      <c r="N24" s="43"/>
      <c r="O24" s="44"/>
      <c r="P24" s="22"/>
      <c r="Q24" s="54"/>
      <c r="R24" s="85"/>
      <c r="S24" s="85"/>
    </row>
    <row r="25" spans="1:20">
      <c r="A25" s="39"/>
      <c r="B25" s="52"/>
      <c r="C25" s="45"/>
      <c r="D25" s="58"/>
      <c r="E25" s="41"/>
      <c r="F25" s="50"/>
      <c r="G25" s="50"/>
      <c r="H25" s="43"/>
      <c r="I25" s="7"/>
      <c r="J25" s="7"/>
      <c r="K25" s="36"/>
      <c r="L25" s="42"/>
      <c r="M25" s="42"/>
      <c r="N25" s="43"/>
      <c r="O25" s="44"/>
      <c r="P25" s="22"/>
      <c r="Q25" s="54"/>
      <c r="R25" s="85"/>
      <c r="S25" s="85"/>
    </row>
    <row r="26" spans="1:20">
      <c r="A26" s="39"/>
      <c r="B26" s="52"/>
      <c r="C26" s="45"/>
      <c r="D26" s="46"/>
      <c r="E26" s="41"/>
      <c r="F26" s="50"/>
      <c r="G26" s="50"/>
      <c r="H26" s="43"/>
      <c r="I26" s="7"/>
      <c r="J26" s="7"/>
      <c r="K26" s="36"/>
      <c r="L26" s="42"/>
      <c r="M26" s="42"/>
      <c r="N26" s="43"/>
      <c r="O26" s="44"/>
      <c r="P26" s="22"/>
      <c r="Q26" s="54"/>
      <c r="R26" s="85"/>
      <c r="S26" s="85"/>
    </row>
    <row r="27" spans="1:20">
      <c r="A27" s="39"/>
      <c r="B27" s="52"/>
      <c r="C27" s="45"/>
      <c r="D27" s="46"/>
      <c r="E27" s="41"/>
      <c r="F27" s="43"/>
      <c r="G27" s="43"/>
      <c r="H27" s="43"/>
      <c r="I27" s="22"/>
      <c r="J27" s="7"/>
      <c r="K27" s="17"/>
      <c r="L27" s="42"/>
      <c r="M27" s="42"/>
      <c r="N27" s="43"/>
      <c r="O27" s="44"/>
      <c r="P27" s="22"/>
      <c r="Q27" s="54"/>
      <c r="R27" s="85"/>
      <c r="S27" s="85"/>
    </row>
    <row r="28" spans="1:20">
      <c r="A28" s="39"/>
      <c r="B28" s="52"/>
      <c r="C28" s="45"/>
      <c r="D28" s="46"/>
      <c r="E28" s="41"/>
      <c r="F28" s="43"/>
      <c r="G28" s="43"/>
      <c r="H28" s="43"/>
      <c r="I28" s="7"/>
      <c r="J28" s="7"/>
      <c r="K28" s="36"/>
      <c r="L28" s="42"/>
      <c r="M28" s="42"/>
      <c r="N28" s="43"/>
      <c r="O28" s="44"/>
      <c r="P28" s="22"/>
      <c r="Q28" s="54"/>
      <c r="R28" s="85"/>
      <c r="S28" s="85"/>
    </row>
    <row r="29" spans="1:20">
      <c r="A29" s="39"/>
      <c r="B29" s="52"/>
      <c r="C29" s="45"/>
      <c r="D29" s="46"/>
      <c r="E29" s="41"/>
      <c r="F29" s="43"/>
      <c r="G29" s="43"/>
      <c r="H29" s="43"/>
      <c r="I29" s="7"/>
      <c r="J29" s="7"/>
      <c r="K29" s="36"/>
      <c r="L29" s="42"/>
      <c r="M29" s="42"/>
      <c r="N29" s="43"/>
      <c r="O29" s="44"/>
      <c r="P29" s="22"/>
      <c r="Q29" s="54"/>
      <c r="R29" s="85"/>
      <c r="S29" s="85"/>
    </row>
    <row r="30" spans="1:20">
      <c r="A30" s="39"/>
      <c r="B30" s="52"/>
      <c r="C30" s="46"/>
      <c r="D30" s="46"/>
      <c r="E30" s="41"/>
      <c r="F30" s="43"/>
      <c r="G30" s="43"/>
      <c r="H30" s="43"/>
      <c r="I30" s="7"/>
      <c r="J30" s="7"/>
      <c r="K30" s="36"/>
      <c r="L30" s="42"/>
      <c r="M30" s="42"/>
      <c r="N30" s="43"/>
      <c r="O30" s="44"/>
      <c r="P30" s="22"/>
      <c r="Q30" s="54"/>
      <c r="R30" s="85"/>
      <c r="S30" s="85"/>
      <c r="T30" s="75"/>
    </row>
    <row r="31" spans="1:20">
      <c r="A31" s="39"/>
      <c r="B31" s="52"/>
      <c r="C31" s="45"/>
      <c r="D31" s="46"/>
      <c r="E31" s="41"/>
      <c r="F31" s="43"/>
      <c r="G31" s="43"/>
      <c r="H31" s="43"/>
      <c r="I31" s="7"/>
      <c r="J31" s="7"/>
      <c r="K31" s="36"/>
      <c r="L31" s="42"/>
      <c r="M31" s="42"/>
      <c r="N31" s="43"/>
      <c r="O31" s="44"/>
      <c r="P31" s="22"/>
      <c r="Q31" s="54"/>
      <c r="R31" s="85"/>
      <c r="S31" s="85"/>
    </row>
    <row r="32" spans="1:20">
      <c r="A32" s="39"/>
      <c r="B32" s="52"/>
      <c r="C32" s="46"/>
      <c r="D32" s="46"/>
      <c r="E32" s="41"/>
      <c r="F32" s="43"/>
      <c r="G32" s="43"/>
      <c r="H32" s="43"/>
      <c r="I32" s="7"/>
      <c r="J32" s="7"/>
      <c r="K32" s="36"/>
      <c r="L32" s="42"/>
      <c r="M32" s="42"/>
      <c r="N32" s="43"/>
      <c r="O32" s="44"/>
      <c r="P32" s="22"/>
      <c r="Q32" s="54"/>
      <c r="R32" s="85"/>
      <c r="S32" s="85"/>
    </row>
    <row r="33" spans="1:19">
      <c r="A33" s="39"/>
      <c r="B33" s="52"/>
      <c r="C33" s="46"/>
      <c r="D33" s="45"/>
      <c r="E33" s="46"/>
      <c r="F33" s="43"/>
      <c r="G33" s="43"/>
      <c r="H33" s="43"/>
      <c r="I33" s="7"/>
      <c r="J33" s="7"/>
      <c r="K33" s="36"/>
      <c r="L33" s="42"/>
      <c r="M33" s="42"/>
      <c r="N33" s="43"/>
      <c r="O33" s="44"/>
      <c r="P33" s="22"/>
      <c r="Q33" s="54"/>
      <c r="R33" s="85"/>
      <c r="S33" s="85"/>
    </row>
    <row r="34" spans="1:19">
      <c r="A34" s="39"/>
      <c r="B34" s="52"/>
      <c r="C34" s="45"/>
      <c r="D34" s="46"/>
      <c r="E34" s="41"/>
      <c r="F34" s="43"/>
      <c r="G34" s="43"/>
      <c r="H34" s="43"/>
      <c r="I34" s="7"/>
      <c r="J34" s="7"/>
      <c r="K34" s="36"/>
      <c r="L34" s="42"/>
      <c r="M34" s="42"/>
      <c r="N34" s="43"/>
      <c r="O34" s="44"/>
      <c r="P34" s="22"/>
      <c r="Q34" s="54"/>
      <c r="R34" s="85"/>
      <c r="S34" s="85"/>
    </row>
    <row r="35" spans="1:19">
      <c r="A35" s="39"/>
      <c r="B35" s="52"/>
      <c r="C35" s="45"/>
      <c r="D35" s="46"/>
      <c r="E35" s="41"/>
      <c r="F35" s="43"/>
      <c r="G35" s="43"/>
      <c r="H35" s="43"/>
      <c r="I35" s="7"/>
      <c r="J35" s="7"/>
      <c r="K35" s="36"/>
      <c r="L35" s="42"/>
      <c r="M35" s="42"/>
      <c r="N35" s="43"/>
      <c r="O35" s="44"/>
      <c r="P35" s="22"/>
      <c r="Q35" s="54"/>
      <c r="R35" s="85"/>
      <c r="S35" s="85"/>
    </row>
    <row r="36" spans="1:19">
      <c r="A36" s="39"/>
      <c r="B36" s="52"/>
      <c r="C36" s="45"/>
      <c r="D36" s="46"/>
      <c r="E36" s="41"/>
      <c r="F36" s="43"/>
      <c r="G36" s="43"/>
      <c r="H36" s="43"/>
      <c r="I36" s="7"/>
      <c r="J36" s="7"/>
      <c r="K36" s="36"/>
      <c r="L36" s="42"/>
      <c r="M36" s="42"/>
      <c r="N36" s="43"/>
      <c r="O36" s="44"/>
      <c r="P36" s="22"/>
      <c r="Q36" s="54"/>
      <c r="R36" s="85"/>
      <c r="S36" s="85"/>
    </row>
    <row r="37" spans="1:19">
      <c r="A37" s="39"/>
      <c r="B37" s="52"/>
      <c r="C37" s="45"/>
      <c r="D37" s="46"/>
      <c r="E37" s="46"/>
      <c r="F37" s="43"/>
      <c r="G37" s="43"/>
      <c r="H37" s="43"/>
      <c r="I37" s="7"/>
      <c r="J37" s="7"/>
      <c r="K37" s="36"/>
      <c r="L37" s="42"/>
      <c r="M37" s="42"/>
      <c r="N37" s="43"/>
      <c r="O37" s="44"/>
      <c r="P37" s="22"/>
      <c r="Q37" s="54"/>
      <c r="R37" s="85"/>
      <c r="S37" s="85"/>
    </row>
    <row r="38" spans="1:19">
      <c r="A38" s="39"/>
      <c r="B38" s="52"/>
      <c r="C38" s="76"/>
      <c r="D38" s="46"/>
      <c r="E38" s="46"/>
      <c r="G38" s="43"/>
      <c r="H38" s="43"/>
      <c r="I38" s="7"/>
      <c r="J38" s="7"/>
      <c r="K38" s="36"/>
      <c r="L38" s="42"/>
      <c r="M38" s="42"/>
      <c r="N38" s="43"/>
      <c r="O38" s="44"/>
      <c r="P38" s="22"/>
      <c r="Q38" s="54"/>
      <c r="R38" s="85"/>
      <c r="S38" s="85"/>
    </row>
    <row r="39" spans="1:19">
      <c r="A39" s="39"/>
      <c r="B39" s="52"/>
      <c r="C39" s="76"/>
      <c r="D39" s="46"/>
      <c r="E39" s="46"/>
      <c r="F39" s="43"/>
      <c r="G39" s="43"/>
      <c r="H39" s="43"/>
      <c r="I39" s="7"/>
      <c r="J39" s="7"/>
      <c r="K39" s="36"/>
      <c r="L39" s="42"/>
      <c r="M39" s="42"/>
      <c r="N39" s="43"/>
      <c r="O39" s="44"/>
      <c r="P39" s="22"/>
      <c r="Q39" s="54"/>
      <c r="R39" s="85"/>
      <c r="S39" s="85"/>
    </row>
    <row r="40" spans="1:19">
      <c r="A40" s="39"/>
      <c r="B40" s="52"/>
      <c r="C40" s="45"/>
      <c r="D40" s="46"/>
      <c r="E40" s="46"/>
      <c r="F40" s="43"/>
      <c r="G40" s="43"/>
      <c r="H40" s="43"/>
      <c r="I40" s="7"/>
      <c r="J40" s="7"/>
      <c r="K40" s="36"/>
      <c r="L40" s="42"/>
      <c r="M40" s="42"/>
      <c r="N40" s="43"/>
      <c r="O40" s="44"/>
      <c r="P40" s="22"/>
      <c r="Q40" s="54"/>
      <c r="R40" s="85"/>
      <c r="S40" s="85"/>
    </row>
    <row r="41" spans="1:19">
      <c r="A41" s="39"/>
      <c r="B41" s="52"/>
      <c r="C41" s="45"/>
      <c r="D41" s="46"/>
      <c r="E41" s="46"/>
      <c r="F41" s="43"/>
      <c r="G41" s="43"/>
      <c r="H41" s="43"/>
      <c r="I41" s="44"/>
      <c r="J41" s="7"/>
      <c r="K41" s="53"/>
      <c r="L41" s="42"/>
      <c r="M41" s="42"/>
      <c r="N41" s="43"/>
      <c r="O41" s="44"/>
      <c r="P41" s="22"/>
      <c r="Q41" s="54"/>
      <c r="R41" s="85"/>
      <c r="S41" s="85"/>
    </row>
    <row r="42" spans="1:19">
      <c r="A42" s="39"/>
      <c r="B42" s="52"/>
      <c r="C42" s="45"/>
      <c r="D42" s="46"/>
      <c r="E42" s="46"/>
      <c r="F42" s="43"/>
      <c r="G42" s="43"/>
      <c r="H42" s="43"/>
      <c r="I42" s="44"/>
      <c r="J42" s="7"/>
      <c r="K42" s="53"/>
      <c r="L42" s="42"/>
      <c r="M42" s="42"/>
      <c r="N42" s="43"/>
      <c r="O42" s="44"/>
      <c r="P42" s="22"/>
      <c r="Q42" s="54"/>
      <c r="R42" s="85"/>
      <c r="S42" s="85"/>
    </row>
    <row r="43" spans="1:19">
      <c r="A43" s="39"/>
      <c r="B43" s="52"/>
      <c r="C43" s="45"/>
      <c r="D43" s="46"/>
      <c r="E43" s="46"/>
      <c r="F43" s="43"/>
      <c r="G43" s="43"/>
      <c r="H43" s="43"/>
      <c r="I43" s="44"/>
      <c r="J43" s="7"/>
      <c r="K43" s="77"/>
      <c r="L43" s="42"/>
      <c r="M43" s="42"/>
      <c r="N43" s="43"/>
      <c r="O43" s="44"/>
      <c r="P43" s="22"/>
      <c r="Q43" s="54"/>
      <c r="R43" s="85"/>
      <c r="S43" s="85"/>
    </row>
    <row r="44" spans="1:19">
      <c r="A44" s="39"/>
      <c r="B44" s="52"/>
      <c r="C44" s="45"/>
      <c r="D44" s="46"/>
      <c r="E44" s="46"/>
      <c r="F44" s="43"/>
      <c r="G44" s="43"/>
      <c r="H44" s="43"/>
      <c r="I44" s="44"/>
      <c r="J44" s="7"/>
      <c r="K44" s="53"/>
      <c r="L44" s="42"/>
      <c r="M44" s="42"/>
      <c r="N44" s="43"/>
      <c r="O44" s="44"/>
      <c r="P44" s="22"/>
      <c r="Q44" s="54"/>
      <c r="R44" s="85"/>
      <c r="S44" s="85"/>
    </row>
    <row r="45" spans="1:19">
      <c r="A45" s="39"/>
      <c r="B45" s="52"/>
      <c r="C45" s="45"/>
      <c r="D45" s="46"/>
      <c r="E45" s="46"/>
      <c r="F45" s="43"/>
      <c r="G45" s="43"/>
      <c r="H45" s="43"/>
      <c r="I45" s="44"/>
      <c r="J45" s="44"/>
      <c r="K45" s="53"/>
      <c r="L45" s="42"/>
      <c r="M45" s="42"/>
      <c r="N45" s="43"/>
      <c r="O45" s="44"/>
      <c r="P45" s="43"/>
      <c r="Q45" s="54"/>
      <c r="R45" s="85"/>
      <c r="S45" s="85"/>
    </row>
    <row r="46" spans="1:19">
      <c r="A46" s="39"/>
      <c r="B46" s="52"/>
      <c r="C46" s="45"/>
      <c r="D46" s="46"/>
      <c r="E46" s="41"/>
      <c r="F46" s="43"/>
      <c r="G46" s="43"/>
      <c r="H46" s="43"/>
      <c r="I46" s="43"/>
      <c r="J46" s="44"/>
      <c r="K46" s="74"/>
      <c r="L46" s="42"/>
      <c r="M46" s="42"/>
      <c r="N46" s="43"/>
      <c r="O46" s="44"/>
      <c r="P46" s="43"/>
      <c r="Q46" s="54"/>
      <c r="R46" s="85"/>
      <c r="S46" s="85"/>
    </row>
    <row r="47" spans="1:19">
      <c r="A47" s="39"/>
      <c r="B47" s="52"/>
      <c r="C47" s="45"/>
      <c r="D47" s="46"/>
      <c r="E47" s="41"/>
      <c r="F47" s="43"/>
      <c r="G47" s="43"/>
      <c r="H47" s="43"/>
      <c r="I47" s="43"/>
      <c r="J47" s="44"/>
      <c r="K47" s="74"/>
      <c r="L47" s="42"/>
      <c r="M47" s="42"/>
      <c r="N47" s="43"/>
      <c r="O47" s="44"/>
      <c r="P47" s="43"/>
      <c r="Q47" s="54"/>
      <c r="R47" s="85"/>
      <c r="S47" s="85"/>
    </row>
    <row r="48" spans="1:19">
      <c r="A48" s="39"/>
      <c r="B48" s="52"/>
      <c r="C48" s="45"/>
      <c r="D48" s="46"/>
      <c r="E48" s="41"/>
      <c r="F48" s="43"/>
      <c r="G48" s="43"/>
      <c r="H48" s="43"/>
      <c r="I48" s="43"/>
      <c r="J48" s="44"/>
      <c r="K48" s="74"/>
      <c r="L48" s="42"/>
      <c r="M48" s="42"/>
      <c r="N48" s="43"/>
      <c r="O48" s="44"/>
      <c r="P48" s="43"/>
      <c r="Q48" s="54"/>
      <c r="R48" s="85"/>
      <c r="S48" s="85"/>
    </row>
    <row r="49" spans="1:24">
      <c r="A49" s="39"/>
      <c r="B49" s="52"/>
      <c r="C49" s="45"/>
      <c r="D49" s="46"/>
      <c r="E49" s="41"/>
      <c r="F49" s="43"/>
      <c r="G49" s="43"/>
      <c r="H49" s="43"/>
      <c r="I49" s="43"/>
      <c r="J49" s="44"/>
      <c r="K49" s="74"/>
      <c r="L49" s="42"/>
      <c r="M49" s="42"/>
      <c r="N49" s="43"/>
      <c r="O49" s="44"/>
      <c r="P49" s="43"/>
      <c r="Q49" s="54"/>
      <c r="R49" s="85"/>
      <c r="S49" s="85"/>
    </row>
    <row r="50" spans="1:24">
      <c r="A50" s="39"/>
      <c r="B50" s="52"/>
      <c r="C50" s="45"/>
      <c r="D50" s="46"/>
      <c r="E50" s="41"/>
      <c r="F50" s="43"/>
      <c r="G50" s="43"/>
      <c r="H50" s="43"/>
      <c r="I50" s="43"/>
      <c r="J50" s="44"/>
      <c r="K50" s="74"/>
      <c r="L50" s="42"/>
      <c r="M50" s="42"/>
      <c r="N50" s="43"/>
      <c r="O50" s="44"/>
      <c r="P50" s="43"/>
      <c r="Q50" s="54"/>
      <c r="R50" s="85"/>
      <c r="S50" s="85"/>
    </row>
    <row r="51" spans="1:24">
      <c r="A51" s="39">
        <v>40</v>
      </c>
      <c r="B51" s="52"/>
      <c r="C51" s="45"/>
      <c r="D51" s="46"/>
      <c r="E51" s="41"/>
      <c r="F51" s="43"/>
      <c r="G51" s="43"/>
      <c r="H51" s="43"/>
      <c r="I51" s="43"/>
      <c r="J51" s="44"/>
      <c r="K51" s="74"/>
      <c r="L51" s="42"/>
      <c r="M51" s="42"/>
      <c r="N51" s="43"/>
      <c r="O51" s="44"/>
      <c r="P51" s="43"/>
      <c r="Q51" s="54"/>
      <c r="R51" s="85"/>
      <c r="S51" s="85"/>
    </row>
    <row r="52" spans="1:24">
      <c r="A52" s="39">
        <v>41</v>
      </c>
      <c r="B52" s="13"/>
      <c r="C52" s="4"/>
      <c r="D52" s="56"/>
      <c r="E52" s="4"/>
      <c r="F52" s="51"/>
      <c r="G52" s="51"/>
      <c r="H52" s="51"/>
      <c r="I52" s="51"/>
      <c r="J52" s="51"/>
      <c r="K52" s="4"/>
      <c r="L52" s="4"/>
      <c r="M52" s="4"/>
      <c r="N52" s="4"/>
      <c r="O52" s="4"/>
      <c r="P52" s="4"/>
      <c r="Q52" s="5"/>
    </row>
    <row r="53" spans="1:24">
      <c r="A53" s="39">
        <v>42</v>
      </c>
      <c r="X53" s="47">
        <f>SUM(X2:X52)</f>
        <v>300</v>
      </c>
    </row>
    <row r="54" spans="1:24">
      <c r="A54" s="39">
        <v>43</v>
      </c>
    </row>
    <row r="55" spans="1:24">
      <c r="A55" s="39">
        <v>44</v>
      </c>
    </row>
    <row r="56" spans="1:24">
      <c r="A56" s="39">
        <v>45</v>
      </c>
    </row>
    <row r="57" spans="1:24">
      <c r="A57" s="39">
        <v>46</v>
      </c>
    </row>
    <row r="58" spans="1:24">
      <c r="A58" s="39">
        <v>47</v>
      </c>
      <c r="N58" s="14"/>
    </row>
    <row r="59" spans="1:24">
      <c r="A59" s="39">
        <v>48</v>
      </c>
    </row>
    <row r="60" spans="1:24">
      <c r="A60" s="39">
        <v>49</v>
      </c>
    </row>
    <row r="62" spans="1:24"/>
  </sheetData>
  <dataValidations count="3">
    <dataValidation type="list" allowBlank="1" showInputMessage="1" showErrorMessage="1" sqref="O5:O7 O9:O10 O1:O3 O12:O51" xr:uid="{F2CFE2C4-75E5-4121-9110-6E600AC7749E}">
      <formula1>$Y$2:$Y$11</formula1>
    </dataValidation>
    <dataValidation type="list" allowBlank="1" showInputMessage="1" showErrorMessage="1" sqref="O4" xr:uid="{86E70285-47FB-455B-8B83-98F9836DF18C}">
      <formula1>$AA$2:$AA$11</formula1>
    </dataValidation>
    <dataValidation type="list" allowBlank="1" showInputMessage="1" showErrorMessage="1" sqref="O8 O11" xr:uid="{D35C9F67-9254-4780-A1B7-A3EC6F349500}">
      <formula1>$Y$2:$Y$9</formula1>
    </dataValidation>
  </dataValidations>
  <hyperlinks>
    <hyperlink ref="W1" r:id="rId1" xr:uid="{9032F6DC-398F-470D-88D5-00C9DAC9EE0E}"/>
  </hyperlinks>
  <pageMargins left="0.7" right="0.7" top="0.75" bottom="0.75" header="0.3" footer="0.3"/>
  <pageSetup paperSize="11" orientation="portrait" horizontalDpi="4294967293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34DB-B1CE-47B4-A7FD-45EA0B554271}">
  <dimension ref="A1:Y59"/>
  <sheetViews>
    <sheetView workbookViewId="0">
      <pane xSplit="1" ySplit="1" topLeftCell="C12" activePane="bottomRight" state="frozen"/>
      <selection pane="bottomRight" activeCell="O23" sqref="O23"/>
      <selection pane="bottomLeft"/>
      <selection pane="topRight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22.140625" style="57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5.28515625" style="6" hidden="1" customWidth="1"/>
    <col min="10" max="10" width="12.85546875" style="6" customWidth="1"/>
    <col min="11" max="11" width="18.7109375" style="6" customWidth="1"/>
    <col min="12" max="12" width="12.85546875" bestFit="1" customWidth="1"/>
    <col min="13" max="14" width="11.42578125" bestFit="1" customWidth="1"/>
    <col min="15" max="15" width="10.28515625" customWidth="1"/>
    <col min="16" max="16" width="14.28515625" customWidth="1"/>
    <col min="17" max="17" width="26.5703125" customWidth="1"/>
    <col min="18" max="18" width="12.28515625" customWidth="1"/>
    <col min="19" max="19" width="26.5703125" customWidth="1"/>
    <col min="25" max="25" width="23.7109375" bestFit="1" customWidth="1"/>
  </cols>
  <sheetData>
    <row r="1" spans="1:25" ht="45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18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2" t="s">
        <v>160</v>
      </c>
      <c r="O1" s="2" t="s">
        <v>161</v>
      </c>
      <c r="P1" s="28" t="s">
        <v>162</v>
      </c>
      <c r="Q1" s="2" t="s">
        <v>2692</v>
      </c>
      <c r="R1" s="96"/>
      <c r="S1" s="3" t="s">
        <v>164</v>
      </c>
      <c r="T1" s="18" t="s">
        <v>5691</v>
      </c>
      <c r="U1" s="18" t="s">
        <v>3886</v>
      </c>
    </row>
    <row r="2" spans="1:25" s="29" customFormat="1" ht="46.9" customHeight="1">
      <c r="A2" s="7">
        <v>1</v>
      </c>
      <c r="B2" s="7" t="s">
        <v>5492</v>
      </c>
      <c r="C2" s="7" t="s">
        <v>5998</v>
      </c>
      <c r="D2" s="55" t="s">
        <v>5999</v>
      </c>
      <c r="E2" s="86"/>
      <c r="F2" s="21"/>
      <c r="G2" s="21"/>
      <c r="H2" s="7"/>
      <c r="I2" s="7" t="s">
        <v>6000</v>
      </c>
      <c r="J2" s="7"/>
      <c r="K2" s="7"/>
      <c r="L2" s="95"/>
      <c r="M2" s="8">
        <v>45699</v>
      </c>
      <c r="N2" s="8"/>
      <c r="O2" s="7">
        <v>11</v>
      </c>
      <c r="P2" s="44" t="s">
        <v>195</v>
      </c>
      <c r="Q2" s="7"/>
      <c r="R2" s="85"/>
      <c r="S2" s="87" t="s">
        <v>6001</v>
      </c>
      <c r="T2" s="29" t="s">
        <v>6002</v>
      </c>
      <c r="W2" s="29">
        <v>100</v>
      </c>
    </row>
    <row r="3" spans="1:25" ht="45.75">
      <c r="A3" s="92">
        <v>2</v>
      </c>
      <c r="B3" s="7" t="s">
        <v>5492</v>
      </c>
      <c r="C3" s="92" t="s">
        <v>6003</v>
      </c>
      <c r="D3" s="92" t="s">
        <v>6004</v>
      </c>
      <c r="E3" s="93" t="s">
        <v>6005</v>
      </c>
      <c r="F3" s="94"/>
      <c r="G3" s="94" t="s">
        <v>6006</v>
      </c>
      <c r="H3" s="92" t="s">
        <v>3991</v>
      </c>
      <c r="I3" s="7" t="s">
        <v>6000</v>
      </c>
      <c r="J3" s="92"/>
      <c r="K3" s="92"/>
      <c r="L3" s="81"/>
      <c r="M3" s="8">
        <v>45737</v>
      </c>
      <c r="N3" s="8"/>
      <c r="O3" s="7">
        <v>24</v>
      </c>
      <c r="P3" s="44" t="s">
        <v>195</v>
      </c>
      <c r="Q3" s="7"/>
      <c r="R3" s="97"/>
      <c r="S3" s="9" t="s">
        <v>2701</v>
      </c>
      <c r="T3" t="s">
        <v>6007</v>
      </c>
      <c r="W3">
        <v>100</v>
      </c>
    </row>
    <row r="4" spans="1:25" s="239" customFormat="1" ht="46.9" customHeight="1">
      <c r="A4" s="7">
        <v>3</v>
      </c>
      <c r="B4" s="18"/>
      <c r="C4" s="317" t="s">
        <v>6008</v>
      </c>
      <c r="D4" s="318" t="s">
        <v>6009</v>
      </c>
      <c r="E4" s="319" t="s">
        <v>6010</v>
      </c>
      <c r="F4" s="320"/>
      <c r="G4" s="320"/>
      <c r="H4" s="317"/>
      <c r="I4" s="18"/>
      <c r="J4" s="317"/>
      <c r="K4" s="317"/>
      <c r="L4" s="321"/>
      <c r="M4" s="322">
        <v>45749</v>
      </c>
      <c r="N4" s="322"/>
      <c r="O4" s="18">
        <v>11</v>
      </c>
      <c r="P4" s="177" t="s">
        <v>195</v>
      </c>
      <c r="Q4" s="18"/>
      <c r="R4" s="113"/>
      <c r="S4" s="251" t="s">
        <v>243</v>
      </c>
    </row>
    <row r="5" spans="1:25" s="174" customFormat="1" ht="45.75">
      <c r="A5" s="92">
        <v>4</v>
      </c>
      <c r="B5" s="283" t="s">
        <v>639</v>
      </c>
      <c r="C5" s="18" t="s">
        <v>6011</v>
      </c>
      <c r="D5" s="18" t="s">
        <v>6012</v>
      </c>
      <c r="E5" s="343" t="s">
        <v>6013</v>
      </c>
      <c r="F5" s="218"/>
      <c r="G5" s="344" t="s">
        <v>6014</v>
      </c>
      <c r="H5" s="18" t="s">
        <v>241</v>
      </c>
      <c r="I5" s="18" t="s">
        <v>6000</v>
      </c>
      <c r="J5" s="18" t="s">
        <v>6015</v>
      </c>
      <c r="K5" s="18"/>
      <c r="L5" s="365"/>
      <c r="M5" s="275">
        <v>45771</v>
      </c>
      <c r="N5" s="275"/>
      <c r="O5" s="218">
        <v>11</v>
      </c>
      <c r="P5" s="177" t="s">
        <v>195</v>
      </c>
      <c r="Q5" s="218"/>
      <c r="R5" s="381"/>
      <c r="S5" s="251" t="s">
        <v>243</v>
      </c>
    </row>
    <row r="6" spans="1:25" ht="66.75">
      <c r="A6" s="7">
        <v>5</v>
      </c>
      <c r="B6" s="24" t="s">
        <v>639</v>
      </c>
      <c r="C6" s="7" t="s">
        <v>6016</v>
      </c>
      <c r="D6" s="7" t="s">
        <v>6017</v>
      </c>
      <c r="E6" s="25" t="s">
        <v>6018</v>
      </c>
      <c r="F6" s="22"/>
      <c r="G6" s="22" t="s">
        <v>6019</v>
      </c>
      <c r="H6" s="22" t="s">
        <v>194</v>
      </c>
      <c r="I6" s="7"/>
      <c r="J6" s="7" t="s">
        <v>6015</v>
      </c>
      <c r="K6" s="7"/>
      <c r="L6" s="17"/>
      <c r="M6" s="27">
        <v>45771</v>
      </c>
      <c r="N6" s="27"/>
      <c r="O6" s="22">
        <v>11</v>
      </c>
      <c r="P6" s="44" t="s">
        <v>195</v>
      </c>
      <c r="Q6" s="22"/>
      <c r="R6" s="98"/>
      <c r="S6" s="9"/>
    </row>
    <row r="7" spans="1:25" s="29" customFormat="1" ht="45.75">
      <c r="A7" s="92">
        <v>6</v>
      </c>
      <c r="B7" s="24"/>
      <c r="C7" s="22" t="s">
        <v>6020</v>
      </c>
      <c r="D7" s="7" t="s">
        <v>6021</v>
      </c>
      <c r="E7" s="25" t="s">
        <v>6022</v>
      </c>
      <c r="F7" s="22">
        <v>9310312704</v>
      </c>
      <c r="G7" s="22" t="s">
        <v>6023</v>
      </c>
      <c r="H7" s="22" t="s">
        <v>194</v>
      </c>
      <c r="I7" s="7"/>
      <c r="J7" s="7" t="s">
        <v>6015</v>
      </c>
      <c r="K7" s="7"/>
      <c r="L7" s="36"/>
      <c r="M7" s="27">
        <v>45800</v>
      </c>
      <c r="N7" s="27"/>
      <c r="O7" s="22">
        <v>11</v>
      </c>
      <c r="P7" s="44" t="s">
        <v>195</v>
      </c>
      <c r="Q7" s="22"/>
      <c r="R7" s="98"/>
      <c r="S7" s="9"/>
    </row>
    <row r="8" spans="1:25" s="174" customFormat="1" ht="55.5">
      <c r="A8" s="18">
        <v>7</v>
      </c>
      <c r="B8" s="283"/>
      <c r="C8" s="18" t="s">
        <v>6024</v>
      </c>
      <c r="D8" s="428" t="s">
        <v>6025</v>
      </c>
      <c r="E8" s="343" t="s">
        <v>6026</v>
      </c>
      <c r="F8" s="348"/>
      <c r="G8" s="348" t="s">
        <v>6027</v>
      </c>
      <c r="H8" s="348"/>
      <c r="I8" s="18"/>
      <c r="J8" s="218"/>
      <c r="K8" s="18"/>
      <c r="L8" s="365"/>
      <c r="M8" s="275"/>
      <c r="N8" s="275"/>
      <c r="O8" s="218">
        <v>11</v>
      </c>
      <c r="P8" s="177" t="s">
        <v>195</v>
      </c>
      <c r="Q8" s="218"/>
      <c r="R8" s="399"/>
      <c r="S8" s="221" t="s">
        <v>243</v>
      </c>
      <c r="Y8" s="220"/>
    </row>
    <row r="9" spans="1:25" s="174" customFormat="1" ht="45.75">
      <c r="A9" s="92">
        <v>8</v>
      </c>
      <c r="B9" s="218"/>
      <c r="C9" s="218"/>
      <c r="D9" s="18" t="s">
        <v>6028</v>
      </c>
      <c r="E9" s="88" t="s">
        <v>6029</v>
      </c>
      <c r="F9" s="218"/>
      <c r="G9" s="218"/>
      <c r="H9" s="218" t="s">
        <v>261</v>
      </c>
      <c r="I9" s="218"/>
      <c r="J9" s="218"/>
      <c r="K9" s="18"/>
      <c r="L9" s="218"/>
      <c r="M9" s="275">
        <v>45860</v>
      </c>
      <c r="N9" s="275"/>
      <c r="O9" s="218">
        <v>11</v>
      </c>
      <c r="P9" s="177" t="s">
        <v>195</v>
      </c>
      <c r="Q9" s="400" t="s">
        <v>6030</v>
      </c>
      <c r="R9" s="400"/>
      <c r="S9" s="251" t="s">
        <v>243</v>
      </c>
    </row>
    <row r="10" spans="1:25" s="174" customFormat="1" ht="45.75">
      <c r="A10" s="7">
        <v>9</v>
      </c>
      <c r="B10" s="218"/>
      <c r="C10" s="18"/>
      <c r="D10" s="18" t="s">
        <v>6028</v>
      </c>
      <c r="E10" s="273" t="s">
        <v>1086</v>
      </c>
      <c r="F10" s="218"/>
      <c r="G10" s="218"/>
      <c r="H10" s="218"/>
      <c r="I10" s="18"/>
      <c r="J10" s="218"/>
      <c r="K10" s="18"/>
      <c r="L10" s="256"/>
      <c r="M10" s="275"/>
      <c r="N10" s="275"/>
      <c r="O10" s="218"/>
      <c r="P10" s="177" t="s">
        <v>195</v>
      </c>
      <c r="Q10" s="218"/>
      <c r="R10" s="399"/>
      <c r="S10" s="221"/>
    </row>
    <row r="11" spans="1:25" ht="45.75">
      <c r="A11" s="92">
        <v>10</v>
      </c>
      <c r="B11" s="22" t="s">
        <v>639</v>
      </c>
      <c r="C11" s="7" t="s">
        <v>6031</v>
      </c>
      <c r="D11" s="7" t="s">
        <v>4007</v>
      </c>
      <c r="E11" s="32" t="s">
        <v>6032</v>
      </c>
      <c r="F11" s="49"/>
      <c r="G11" s="7" t="s">
        <v>6033</v>
      </c>
      <c r="H11" s="7" t="s">
        <v>6034</v>
      </c>
      <c r="I11" s="7"/>
      <c r="J11" s="7" t="s">
        <v>6015</v>
      </c>
      <c r="K11" s="7"/>
      <c r="L11" s="36">
        <v>7042468424</v>
      </c>
      <c r="M11" s="27">
        <v>45934</v>
      </c>
      <c r="N11" s="27">
        <v>46269</v>
      </c>
      <c r="O11" s="22">
        <v>11</v>
      </c>
      <c r="P11" s="44" t="s">
        <v>195</v>
      </c>
      <c r="Q11" s="22"/>
      <c r="R11" s="98"/>
      <c r="S11" s="35"/>
    </row>
    <row r="12" spans="1:25" s="174" customFormat="1" ht="45.75">
      <c r="A12" s="18">
        <v>11</v>
      </c>
      <c r="B12" s="218" t="s">
        <v>639</v>
      </c>
      <c r="C12" s="18" t="s">
        <v>6035</v>
      </c>
      <c r="D12" s="18" t="s">
        <v>6036</v>
      </c>
      <c r="E12" s="273" t="s">
        <v>6037</v>
      </c>
      <c r="F12" s="18">
        <v>9746333851</v>
      </c>
      <c r="G12" s="18" t="s">
        <v>6038</v>
      </c>
      <c r="H12" s="18" t="s">
        <v>241</v>
      </c>
      <c r="I12" s="18"/>
      <c r="J12" s="18" t="s">
        <v>6015</v>
      </c>
      <c r="K12" s="18"/>
      <c r="L12" s="256">
        <v>7042468424</v>
      </c>
      <c r="M12" s="275">
        <v>45964</v>
      </c>
      <c r="N12" s="275">
        <v>46298</v>
      </c>
      <c r="O12" s="218">
        <v>11</v>
      </c>
      <c r="P12" s="177" t="s">
        <v>195</v>
      </c>
      <c r="Q12" s="218"/>
      <c r="R12" s="399"/>
      <c r="S12" s="501" t="s">
        <v>243</v>
      </c>
    </row>
    <row r="13" spans="1:25" s="239" customFormat="1" ht="91.5">
      <c r="A13" s="317">
        <v>12</v>
      </c>
      <c r="B13" s="218" t="s">
        <v>639</v>
      </c>
      <c r="C13" s="218" t="s">
        <v>6039</v>
      </c>
      <c r="D13" s="18" t="s">
        <v>6040</v>
      </c>
      <c r="E13" s="88" t="s">
        <v>6041</v>
      </c>
      <c r="F13" s="218">
        <v>9810455125</v>
      </c>
      <c r="G13" s="218" t="s">
        <v>6042</v>
      </c>
      <c r="H13" s="218" t="s">
        <v>194</v>
      </c>
      <c r="I13" s="18"/>
      <c r="J13" s="18" t="s">
        <v>6015</v>
      </c>
      <c r="K13" s="18"/>
      <c r="L13" s="256">
        <v>7042468424</v>
      </c>
      <c r="M13" s="275">
        <v>45981</v>
      </c>
      <c r="N13" s="275">
        <v>46315</v>
      </c>
      <c r="O13" s="218">
        <v>11</v>
      </c>
      <c r="P13" s="177" t="s">
        <v>195</v>
      </c>
      <c r="Q13" s="218"/>
      <c r="R13" s="399"/>
      <c r="S13" s="221" t="s">
        <v>243</v>
      </c>
    </row>
    <row r="14" spans="1:25" s="29" customFormat="1" ht="45.75">
      <c r="A14" s="7">
        <v>13</v>
      </c>
      <c r="B14" s="22" t="s">
        <v>639</v>
      </c>
      <c r="C14" s="22" t="s">
        <v>6043</v>
      </c>
      <c r="D14" s="7" t="s">
        <v>6044</v>
      </c>
      <c r="E14" s="31" t="s">
        <v>6045</v>
      </c>
      <c r="F14" s="22">
        <v>9899921412</v>
      </c>
      <c r="G14" s="22" t="s">
        <v>6046</v>
      </c>
      <c r="H14" s="22" t="s">
        <v>194</v>
      </c>
      <c r="I14" s="7"/>
      <c r="J14" s="7" t="s">
        <v>6015</v>
      </c>
      <c r="K14" s="7"/>
      <c r="L14" s="36">
        <v>7042468424</v>
      </c>
      <c r="M14" s="27">
        <v>45994</v>
      </c>
      <c r="N14" s="27">
        <v>46329</v>
      </c>
      <c r="O14" s="22">
        <v>11</v>
      </c>
      <c r="P14" s="44" t="s">
        <v>195</v>
      </c>
      <c r="Q14" s="22"/>
      <c r="R14" s="98"/>
      <c r="S14" s="221" t="s">
        <v>3466</v>
      </c>
    </row>
    <row r="15" spans="1:25" s="29" customFormat="1" ht="45.75">
      <c r="A15" s="92">
        <v>14</v>
      </c>
      <c r="B15" s="22" t="s">
        <v>639</v>
      </c>
      <c r="C15" s="7" t="s">
        <v>6047</v>
      </c>
      <c r="D15" s="7" t="s">
        <v>6048</v>
      </c>
      <c r="E15" s="31" t="s">
        <v>6049</v>
      </c>
      <c r="F15" s="22">
        <v>9177484295</v>
      </c>
      <c r="G15" s="22" t="s">
        <v>6050</v>
      </c>
      <c r="H15" s="22" t="s">
        <v>690</v>
      </c>
      <c r="I15" s="7"/>
      <c r="J15" s="7" t="s">
        <v>6015</v>
      </c>
      <c r="K15" s="7"/>
      <c r="L15" s="36">
        <v>7042468424</v>
      </c>
      <c r="M15" s="27">
        <v>45997</v>
      </c>
      <c r="N15" s="27">
        <v>46332</v>
      </c>
      <c r="O15" s="22">
        <v>11</v>
      </c>
      <c r="P15" s="44" t="s">
        <v>195</v>
      </c>
      <c r="Q15" s="22"/>
      <c r="R15" s="98"/>
      <c r="S15" s="9"/>
    </row>
    <row r="16" spans="1:25" s="29" customFormat="1" ht="45.75">
      <c r="A16" s="7">
        <v>15</v>
      </c>
      <c r="B16" s="22" t="s">
        <v>639</v>
      </c>
      <c r="C16" s="22"/>
      <c r="D16" s="7" t="s">
        <v>6051</v>
      </c>
      <c r="E16" s="31"/>
      <c r="F16" s="22"/>
      <c r="G16" s="22"/>
      <c r="H16" s="22"/>
      <c r="I16" s="7"/>
      <c r="J16" s="7"/>
      <c r="K16" s="7"/>
      <c r="L16" s="36"/>
      <c r="M16" s="27">
        <v>46205</v>
      </c>
      <c r="N16" s="27">
        <v>46539</v>
      </c>
      <c r="O16" s="22">
        <v>11</v>
      </c>
      <c r="P16" s="44" t="s">
        <v>195</v>
      </c>
      <c r="Q16" s="22"/>
      <c r="R16" s="98"/>
      <c r="S16" s="9"/>
    </row>
    <row r="17" spans="1:25" ht="55.5">
      <c r="A17" s="92">
        <v>16</v>
      </c>
      <c r="B17" s="22" t="s">
        <v>639</v>
      </c>
      <c r="C17" s="92" t="s">
        <v>6008</v>
      </c>
      <c r="D17" s="122" t="s">
        <v>6009</v>
      </c>
      <c r="E17" s="123" t="s">
        <v>6010</v>
      </c>
      <c r="F17" s="94"/>
      <c r="G17" s="94"/>
      <c r="H17" s="92"/>
      <c r="I17" s="7"/>
      <c r="J17" s="92"/>
      <c r="K17" s="92"/>
      <c r="L17" s="81"/>
      <c r="M17" s="8">
        <v>45749</v>
      </c>
      <c r="N17" s="8"/>
      <c r="O17" s="7">
        <v>11</v>
      </c>
      <c r="P17" s="44" t="s">
        <v>195</v>
      </c>
      <c r="Q17" s="7"/>
      <c r="R17" s="85"/>
      <c r="S17" s="87" t="s">
        <v>243</v>
      </c>
      <c r="T17" s="29"/>
      <c r="U17" s="29"/>
      <c r="V17" s="29"/>
      <c r="W17" s="29"/>
      <c r="X17" s="29"/>
      <c r="Y17" s="29"/>
    </row>
    <row r="18" spans="1:25" s="174" customFormat="1" ht="45.75">
      <c r="A18" s="18">
        <v>17</v>
      </c>
      <c r="B18" s="218" t="s">
        <v>639</v>
      </c>
      <c r="C18" s="18" t="s">
        <v>6011</v>
      </c>
      <c r="D18" s="18" t="s">
        <v>6012</v>
      </c>
      <c r="E18" s="343" t="s">
        <v>6013</v>
      </c>
      <c r="F18" s="218"/>
      <c r="G18" s="344" t="s">
        <v>6014</v>
      </c>
      <c r="H18" s="18" t="s">
        <v>241</v>
      </c>
      <c r="I18" s="18" t="s">
        <v>6000</v>
      </c>
      <c r="J18" s="18" t="s">
        <v>6015</v>
      </c>
      <c r="K18" s="18"/>
      <c r="L18" s="365"/>
      <c r="M18" s="275">
        <v>46026</v>
      </c>
      <c r="N18" s="275" t="s">
        <v>3750</v>
      </c>
      <c r="O18" s="218">
        <v>11</v>
      </c>
      <c r="P18" s="177" t="s">
        <v>195</v>
      </c>
      <c r="R18" s="381"/>
      <c r="S18" s="251" t="s">
        <v>243</v>
      </c>
    </row>
    <row r="19" spans="1:25" ht="45.75">
      <c r="A19" s="92">
        <v>18</v>
      </c>
      <c r="B19" s="22" t="s">
        <v>639</v>
      </c>
      <c r="C19" s="22"/>
      <c r="D19" s="7" t="s">
        <v>6028</v>
      </c>
      <c r="E19" s="31" t="s">
        <v>6029</v>
      </c>
      <c r="F19" s="22"/>
      <c r="G19" s="22"/>
      <c r="H19" s="22" t="s">
        <v>261</v>
      </c>
      <c r="I19" s="22"/>
      <c r="J19" s="22"/>
      <c r="K19" s="7"/>
      <c r="L19" s="22"/>
      <c r="M19" s="27" t="s">
        <v>6052</v>
      </c>
      <c r="N19" s="27" t="s">
        <v>6053</v>
      </c>
      <c r="O19" s="22">
        <v>11</v>
      </c>
      <c r="P19" s="44" t="s">
        <v>195</v>
      </c>
      <c r="Q19" s="30" t="s">
        <v>6030</v>
      </c>
      <c r="R19" s="30"/>
      <c r="S19" s="87" t="s">
        <v>243</v>
      </c>
    </row>
    <row r="20" spans="1:25" ht="30.75">
      <c r="A20" s="39">
        <v>19</v>
      </c>
      <c r="B20" s="22" t="s">
        <v>639</v>
      </c>
      <c r="C20" s="45" t="s">
        <v>6054</v>
      </c>
      <c r="D20" s="46" t="s">
        <v>6055</v>
      </c>
      <c r="E20" s="41" t="s">
        <v>6054</v>
      </c>
      <c r="F20" s="43"/>
      <c r="G20" s="43"/>
      <c r="H20" s="43"/>
      <c r="I20" s="7"/>
      <c r="J20" s="22"/>
      <c r="K20" s="7"/>
      <c r="L20" s="17"/>
      <c r="M20" s="42">
        <v>46271</v>
      </c>
      <c r="N20" s="42"/>
      <c r="O20" s="43"/>
      <c r="P20" s="7" t="s">
        <v>6056</v>
      </c>
      <c r="Q20" s="22"/>
      <c r="R20" s="99"/>
      <c r="S20" s="54"/>
      <c r="T20" s="404"/>
    </row>
    <row r="21" spans="1:25" ht="55.5">
      <c r="A21" s="7">
        <v>20</v>
      </c>
      <c r="B21" s="22" t="s">
        <v>639</v>
      </c>
      <c r="C21" s="7"/>
      <c r="D21" s="350" t="s">
        <v>6025</v>
      </c>
      <c r="E21" s="25" t="s">
        <v>6026</v>
      </c>
      <c r="F21" s="10"/>
      <c r="G21" s="10" t="s">
        <v>6027</v>
      </c>
      <c r="H21" s="10"/>
      <c r="I21" s="7"/>
      <c r="J21" s="22"/>
      <c r="K21" s="7"/>
      <c r="L21" s="26"/>
      <c r="M21" s="27">
        <v>46272</v>
      </c>
      <c r="N21" s="27">
        <v>46604</v>
      </c>
      <c r="O21" s="22">
        <v>11</v>
      </c>
      <c r="P21" s="44" t="s">
        <v>195</v>
      </c>
      <c r="Q21" s="22"/>
      <c r="R21" s="98"/>
      <c r="S21" s="9" t="s">
        <v>243</v>
      </c>
      <c r="Y21" s="16"/>
    </row>
    <row r="22" spans="1:25" ht="76.5">
      <c r="A22" s="92">
        <v>12</v>
      </c>
      <c r="B22" s="22" t="s">
        <v>639</v>
      </c>
      <c r="C22" s="22" t="s">
        <v>6039</v>
      </c>
      <c r="D22" s="7" t="s">
        <v>6040</v>
      </c>
      <c r="E22" s="31" t="s">
        <v>6041</v>
      </c>
      <c r="F22" s="22">
        <v>9810455125</v>
      </c>
      <c r="G22" s="22" t="s">
        <v>6042</v>
      </c>
      <c r="H22" s="22" t="s">
        <v>194</v>
      </c>
      <c r="I22" s="7"/>
      <c r="J22" s="7" t="s">
        <v>6015</v>
      </c>
      <c r="K22" s="7"/>
      <c r="L22" s="36">
        <v>7042468424</v>
      </c>
      <c r="M22" s="27" t="s">
        <v>6057</v>
      </c>
      <c r="N22" s="27" t="s">
        <v>6058</v>
      </c>
      <c r="O22" s="22">
        <v>11</v>
      </c>
      <c r="P22" s="44" t="s">
        <v>195</v>
      </c>
      <c r="Q22" s="22"/>
      <c r="R22" s="98"/>
      <c r="S22" s="9" t="s">
        <v>243</v>
      </c>
      <c r="T22" s="29"/>
      <c r="U22" s="29"/>
      <c r="V22" s="29"/>
      <c r="W22" s="29"/>
      <c r="X22" s="29"/>
      <c r="Y22" s="29"/>
    </row>
    <row r="23" spans="1:25" ht="45.75">
      <c r="A23" s="7">
        <v>11</v>
      </c>
      <c r="B23" s="22" t="s">
        <v>639</v>
      </c>
      <c r="C23" s="7" t="s">
        <v>6035</v>
      </c>
      <c r="D23" s="7" t="s">
        <v>6036</v>
      </c>
      <c r="E23" s="33" t="s">
        <v>6037</v>
      </c>
      <c r="F23" s="7">
        <v>9746333851</v>
      </c>
      <c r="G23" s="7" t="s">
        <v>6038</v>
      </c>
      <c r="H23" s="7" t="s">
        <v>241</v>
      </c>
      <c r="I23" s="7"/>
      <c r="J23" s="7" t="s">
        <v>6015</v>
      </c>
      <c r="K23" s="7"/>
      <c r="L23" s="36">
        <v>7042468424</v>
      </c>
      <c r="M23" s="27">
        <v>46091</v>
      </c>
      <c r="N23" s="27">
        <v>46427</v>
      </c>
      <c r="O23" s="22">
        <v>11</v>
      </c>
      <c r="P23" s="44" t="s">
        <v>195</v>
      </c>
      <c r="Q23" s="22"/>
      <c r="R23" s="98"/>
      <c r="S23" s="35" t="s">
        <v>243</v>
      </c>
    </row>
    <row r="24" spans="1:25">
      <c r="A24" s="39"/>
      <c r="B24" s="52"/>
      <c r="C24" s="45"/>
      <c r="D24" s="46"/>
      <c r="E24" s="41"/>
      <c r="F24" s="43"/>
      <c r="G24" s="43"/>
      <c r="H24" s="43"/>
      <c r="I24" s="7"/>
      <c r="J24" s="22"/>
      <c r="K24" s="7"/>
      <c r="L24" s="17"/>
      <c r="M24" s="42"/>
      <c r="N24" s="42"/>
      <c r="O24" s="43"/>
      <c r="P24" s="44"/>
      <c r="Q24" s="22"/>
      <c r="R24" s="99"/>
      <c r="S24" s="54"/>
    </row>
    <row r="25" spans="1:25">
      <c r="A25" s="39"/>
      <c r="B25" s="52"/>
      <c r="C25" s="45"/>
      <c r="D25" s="46"/>
      <c r="E25" s="41"/>
      <c r="F25" s="43"/>
      <c r="G25" s="43"/>
      <c r="H25" s="43"/>
      <c r="I25" s="7"/>
      <c r="J25" s="7"/>
      <c r="K25" s="7"/>
      <c r="L25" s="36"/>
      <c r="M25" s="42"/>
      <c r="N25" s="42"/>
      <c r="O25" s="43"/>
      <c r="P25" s="44"/>
      <c r="Q25" s="22"/>
      <c r="R25" s="99"/>
      <c r="S25" s="54"/>
    </row>
    <row r="26" spans="1:25">
      <c r="A26" s="39"/>
      <c r="B26" s="52"/>
      <c r="C26" s="45"/>
      <c r="D26" s="46"/>
      <c r="E26" s="41"/>
      <c r="F26" s="43"/>
      <c r="G26" s="43"/>
      <c r="H26" s="43"/>
      <c r="I26" s="7"/>
      <c r="J26" s="7"/>
      <c r="K26" s="7"/>
      <c r="L26" s="36"/>
      <c r="M26" s="42"/>
      <c r="N26" s="42"/>
      <c r="O26" s="43"/>
      <c r="P26" s="44"/>
      <c r="Q26" s="22"/>
      <c r="R26" s="99"/>
      <c r="S26" s="54"/>
    </row>
    <row r="27" spans="1:25">
      <c r="A27" s="39"/>
      <c r="B27" s="52"/>
      <c r="C27" s="46"/>
      <c r="D27" s="46"/>
      <c r="E27" s="41"/>
      <c r="F27" s="43"/>
      <c r="G27" s="43"/>
      <c r="H27" s="43"/>
      <c r="I27" s="7"/>
      <c r="J27" s="7"/>
      <c r="K27" s="7"/>
      <c r="L27" s="36"/>
      <c r="M27" s="42"/>
      <c r="N27" s="42"/>
      <c r="O27" s="43"/>
      <c r="P27" s="44"/>
      <c r="Q27" s="22"/>
      <c r="R27" s="99"/>
      <c r="S27" s="54"/>
      <c r="T27" s="75"/>
    </row>
    <row r="28" spans="1:25">
      <c r="A28" s="39"/>
      <c r="B28" s="52"/>
      <c r="C28" s="45"/>
      <c r="D28" s="46"/>
      <c r="E28" s="41"/>
      <c r="F28" s="43"/>
      <c r="G28" s="43"/>
      <c r="H28" s="43"/>
      <c r="I28" s="7"/>
      <c r="J28" s="7"/>
      <c r="K28" s="7"/>
      <c r="L28" s="36"/>
      <c r="M28" s="42"/>
      <c r="N28" s="42"/>
      <c r="O28" s="43"/>
      <c r="P28" s="44"/>
      <c r="Q28" s="22"/>
      <c r="R28" s="99"/>
      <c r="S28" s="54"/>
    </row>
    <row r="29" spans="1:25">
      <c r="A29" s="39"/>
      <c r="B29" s="52"/>
      <c r="C29" s="46"/>
      <c r="D29" s="46"/>
      <c r="E29" s="41"/>
      <c r="F29" s="43"/>
      <c r="G29" s="43"/>
      <c r="H29" s="43"/>
      <c r="I29" s="7"/>
      <c r="J29" s="7"/>
      <c r="K29" s="7"/>
      <c r="L29" s="36"/>
      <c r="M29" s="42"/>
      <c r="N29" s="42"/>
      <c r="O29" s="43"/>
      <c r="P29" s="44"/>
      <c r="Q29" s="22"/>
      <c r="R29" s="99"/>
      <c r="S29" s="54"/>
    </row>
    <row r="30" spans="1:25">
      <c r="A30" s="39"/>
      <c r="B30" s="52"/>
      <c r="C30" s="46"/>
      <c r="D30" s="45"/>
      <c r="E30" s="46"/>
      <c r="F30" s="43"/>
      <c r="G30" s="43"/>
      <c r="H30" s="43"/>
      <c r="I30" s="7"/>
      <c r="J30" s="7"/>
      <c r="K30" s="7"/>
      <c r="L30" s="36"/>
      <c r="M30" s="42"/>
      <c r="N30" s="42"/>
      <c r="O30" s="43"/>
      <c r="P30" s="44"/>
      <c r="Q30" s="22"/>
      <c r="R30" s="99"/>
      <c r="S30" s="54"/>
    </row>
    <row r="31" spans="1:25">
      <c r="A31" s="39"/>
      <c r="B31" s="52"/>
      <c r="C31" s="45"/>
      <c r="D31" s="46"/>
      <c r="E31" s="41"/>
      <c r="F31" s="43"/>
      <c r="G31" s="43"/>
      <c r="H31" s="43"/>
      <c r="I31" s="7"/>
      <c r="J31" s="7"/>
      <c r="K31" s="7"/>
      <c r="L31" s="36"/>
      <c r="M31" s="42"/>
      <c r="N31" s="42"/>
      <c r="O31" s="43"/>
      <c r="P31" s="44"/>
      <c r="Q31" s="22"/>
      <c r="R31" s="99"/>
      <c r="S31" s="54"/>
    </row>
    <row r="32" spans="1:25">
      <c r="A32" s="39"/>
      <c r="B32" s="52"/>
      <c r="C32" s="45"/>
      <c r="D32" s="46"/>
      <c r="E32" s="41"/>
      <c r="F32" s="43"/>
      <c r="G32" s="43"/>
      <c r="H32" s="43"/>
      <c r="I32" s="7"/>
      <c r="J32" s="7"/>
      <c r="K32" s="7"/>
      <c r="L32" s="36"/>
      <c r="M32" s="42"/>
      <c r="N32" s="42"/>
      <c r="O32" s="43"/>
      <c r="P32" s="44"/>
      <c r="Q32" s="22"/>
      <c r="R32" s="99"/>
      <c r="S32" s="54"/>
    </row>
    <row r="33" spans="1:19">
      <c r="A33" s="39"/>
      <c r="B33" s="52"/>
      <c r="C33" s="45"/>
      <c r="D33" s="46"/>
      <c r="E33" s="41"/>
      <c r="F33" s="43"/>
      <c r="G33" s="43"/>
      <c r="H33" s="43"/>
      <c r="I33" s="7"/>
      <c r="J33" s="7"/>
      <c r="K33" s="7"/>
      <c r="L33" s="36"/>
      <c r="M33" s="42"/>
      <c r="N33" s="42"/>
      <c r="O33" s="43"/>
      <c r="P33" s="44"/>
      <c r="Q33" s="22"/>
      <c r="R33" s="99"/>
      <c r="S33" s="54"/>
    </row>
    <row r="34" spans="1:19">
      <c r="A34" s="39"/>
      <c r="B34" s="52"/>
      <c r="C34" s="45"/>
      <c r="D34" s="46"/>
      <c r="E34" s="46"/>
      <c r="F34" s="43"/>
      <c r="G34" s="43"/>
      <c r="H34" s="43"/>
      <c r="I34" s="7"/>
      <c r="J34" s="7"/>
      <c r="K34" s="7"/>
      <c r="L34" s="36"/>
      <c r="M34" s="42"/>
      <c r="N34" s="42"/>
      <c r="O34" s="43"/>
      <c r="P34" s="44"/>
      <c r="Q34" s="22"/>
      <c r="R34" s="99"/>
      <c r="S34" s="54"/>
    </row>
    <row r="35" spans="1:19">
      <c r="A35" s="39"/>
      <c r="B35" s="52"/>
      <c r="C35" s="76"/>
      <c r="D35" s="46"/>
      <c r="E35" s="46"/>
      <c r="G35" s="43"/>
      <c r="H35" s="43"/>
      <c r="I35" s="7"/>
      <c r="J35" s="7"/>
      <c r="K35" s="7"/>
      <c r="L35" s="36"/>
      <c r="M35" s="42"/>
      <c r="N35" s="42"/>
      <c r="O35" s="43"/>
      <c r="P35" s="44"/>
      <c r="Q35" s="22"/>
      <c r="R35" s="99"/>
      <c r="S35" s="54"/>
    </row>
    <row r="36" spans="1:19">
      <c r="A36" s="39"/>
      <c r="B36" s="52"/>
      <c r="C36" s="76"/>
      <c r="D36" s="46"/>
      <c r="E36" s="46"/>
      <c r="F36" s="43"/>
      <c r="G36" s="43"/>
      <c r="H36" s="43"/>
      <c r="I36" s="7"/>
      <c r="J36" s="7"/>
      <c r="K36" s="7"/>
      <c r="L36" s="36"/>
      <c r="M36" s="42"/>
      <c r="N36" s="42"/>
      <c r="O36" s="43"/>
      <c r="P36" s="44"/>
      <c r="Q36" s="22"/>
      <c r="R36" s="99"/>
      <c r="S36" s="54"/>
    </row>
    <row r="37" spans="1:19">
      <c r="A37" s="39"/>
      <c r="B37" s="52"/>
      <c r="C37" s="45"/>
      <c r="D37" s="46"/>
      <c r="E37" s="46"/>
      <c r="F37" s="43"/>
      <c r="G37" s="43"/>
      <c r="H37" s="43"/>
      <c r="I37" s="7"/>
      <c r="J37" s="7"/>
      <c r="K37" s="7"/>
      <c r="L37" s="36"/>
      <c r="M37" s="42"/>
      <c r="N37" s="42"/>
      <c r="O37" s="43"/>
      <c r="P37" s="44"/>
      <c r="Q37" s="22"/>
      <c r="R37" s="99"/>
      <c r="S37" s="54"/>
    </row>
    <row r="38" spans="1:19">
      <c r="A38" s="39"/>
      <c r="B38" s="52"/>
      <c r="C38" s="45"/>
      <c r="D38" s="46"/>
      <c r="E38" s="46"/>
      <c r="F38" s="43"/>
      <c r="G38" s="43"/>
      <c r="H38" s="43"/>
      <c r="I38" s="7"/>
      <c r="J38" s="44"/>
      <c r="K38" s="7"/>
      <c r="L38" s="53"/>
      <c r="M38" s="42"/>
      <c r="N38" s="42"/>
      <c r="O38" s="43"/>
      <c r="P38" s="44"/>
      <c r="Q38" s="22"/>
      <c r="R38" s="99"/>
      <c r="S38" s="54"/>
    </row>
    <row r="39" spans="1:19">
      <c r="A39" s="39"/>
      <c r="B39" s="52"/>
      <c r="C39" s="45"/>
      <c r="D39" s="46"/>
      <c r="E39" s="46"/>
      <c r="F39" s="43"/>
      <c r="G39" s="43"/>
      <c r="H39" s="43"/>
      <c r="I39" s="7"/>
      <c r="J39" s="44"/>
      <c r="K39" s="7"/>
      <c r="L39" s="53"/>
      <c r="M39" s="42"/>
      <c r="N39" s="42"/>
      <c r="O39" s="43"/>
      <c r="P39" s="44"/>
      <c r="Q39" s="22"/>
      <c r="R39" s="99"/>
      <c r="S39" s="54"/>
    </row>
    <row r="40" spans="1:19">
      <c r="A40" s="39"/>
      <c r="B40" s="52"/>
      <c r="C40" s="45"/>
      <c r="D40" s="46"/>
      <c r="E40" s="46"/>
      <c r="F40" s="43"/>
      <c r="G40" s="43"/>
      <c r="H40" s="43"/>
      <c r="I40" s="7"/>
      <c r="J40" s="44"/>
      <c r="K40" s="7"/>
      <c r="L40" s="77"/>
      <c r="M40" s="42"/>
      <c r="N40" s="42"/>
      <c r="O40" s="43"/>
      <c r="P40" s="44"/>
      <c r="Q40" s="22"/>
      <c r="R40" s="99"/>
      <c r="S40" s="54"/>
    </row>
    <row r="41" spans="1:19">
      <c r="A41" s="39"/>
      <c r="B41" s="52"/>
      <c r="C41" s="45"/>
      <c r="D41" s="46"/>
      <c r="E41" s="46"/>
      <c r="F41" s="43"/>
      <c r="G41" s="43"/>
      <c r="H41" s="43"/>
      <c r="I41" s="7"/>
      <c r="J41" s="44"/>
      <c r="K41" s="7"/>
      <c r="L41" s="53"/>
      <c r="M41" s="42"/>
      <c r="N41" s="42"/>
      <c r="O41" s="43"/>
      <c r="P41" s="44"/>
      <c r="Q41" s="22"/>
      <c r="R41" s="99"/>
      <c r="S41" s="54"/>
    </row>
    <row r="42" spans="1:19">
      <c r="A42" s="39"/>
      <c r="B42" s="52"/>
      <c r="C42" s="45"/>
      <c r="D42" s="46"/>
      <c r="E42" s="46"/>
      <c r="F42" s="43"/>
      <c r="G42" s="43"/>
      <c r="H42" s="43"/>
      <c r="I42" s="44"/>
      <c r="J42" s="44"/>
      <c r="K42" s="44"/>
      <c r="L42" s="53"/>
      <c r="M42" s="42"/>
      <c r="N42" s="42"/>
      <c r="O42" s="43"/>
      <c r="P42" s="44"/>
      <c r="Q42" s="43"/>
      <c r="R42" s="99"/>
      <c r="S42" s="54"/>
    </row>
    <row r="43" spans="1:19">
      <c r="A43" s="39"/>
      <c r="B43" s="52"/>
      <c r="C43" s="45"/>
      <c r="D43" s="46"/>
      <c r="E43" s="41"/>
      <c r="F43" s="43"/>
      <c r="G43" s="43"/>
      <c r="H43" s="43"/>
      <c r="I43" s="44"/>
      <c r="J43" s="43"/>
      <c r="K43" s="44"/>
      <c r="L43" s="74"/>
      <c r="M43" s="42"/>
      <c r="N43" s="42"/>
      <c r="O43" s="43"/>
      <c r="P43" s="44"/>
      <c r="Q43" s="43"/>
      <c r="R43" s="99"/>
      <c r="S43" s="54"/>
    </row>
    <row r="44" spans="1:19">
      <c r="A44" s="39"/>
      <c r="B44" s="52"/>
      <c r="C44" s="45"/>
      <c r="D44" s="46"/>
      <c r="E44" s="41"/>
      <c r="F44" s="43"/>
      <c r="G44" s="43"/>
      <c r="H44" s="43"/>
      <c r="I44" s="44"/>
      <c r="J44" s="43"/>
      <c r="K44" s="44"/>
      <c r="L44" s="74"/>
      <c r="M44" s="42"/>
      <c r="N44" s="42"/>
      <c r="O44" s="43"/>
      <c r="P44" s="44"/>
      <c r="Q44" s="43"/>
      <c r="R44" s="99"/>
      <c r="S44" s="54"/>
    </row>
    <row r="45" spans="1:19">
      <c r="A45" s="39"/>
      <c r="B45" s="52"/>
      <c r="C45" s="45"/>
      <c r="D45" s="46"/>
      <c r="E45" s="41"/>
      <c r="F45" s="43"/>
      <c r="G45" s="43"/>
      <c r="H45" s="43"/>
      <c r="I45" s="44"/>
      <c r="J45" s="43"/>
      <c r="K45" s="44"/>
      <c r="L45" s="74"/>
      <c r="M45" s="42"/>
      <c r="N45" s="42"/>
      <c r="O45" s="43"/>
      <c r="P45" s="44"/>
      <c r="Q45" s="43"/>
      <c r="R45" s="99"/>
      <c r="S45" s="54"/>
    </row>
    <row r="46" spans="1:19">
      <c r="A46" s="39"/>
      <c r="B46" s="52"/>
      <c r="C46" s="45"/>
      <c r="D46" s="46"/>
      <c r="E46" s="41"/>
      <c r="F46" s="43"/>
      <c r="G46" s="43"/>
      <c r="H46" s="43"/>
      <c r="I46" s="44"/>
      <c r="J46" s="43"/>
      <c r="K46" s="44"/>
      <c r="L46" s="74"/>
      <c r="M46" s="42"/>
      <c r="N46" s="42"/>
      <c r="O46" s="43"/>
      <c r="P46" s="44"/>
      <c r="Q46" s="43"/>
      <c r="R46" s="99"/>
      <c r="S46" s="54"/>
    </row>
    <row r="47" spans="1:19">
      <c r="A47" s="39"/>
      <c r="B47" s="52"/>
      <c r="C47" s="45"/>
      <c r="D47" s="46"/>
      <c r="E47" s="41"/>
      <c r="F47" s="43"/>
      <c r="G47" s="43"/>
      <c r="H47" s="43"/>
      <c r="I47" s="44"/>
      <c r="J47" s="43"/>
      <c r="K47" s="44"/>
      <c r="L47" s="74"/>
      <c r="M47" s="42"/>
      <c r="N47" s="42"/>
      <c r="O47" s="43"/>
      <c r="P47" s="44"/>
      <c r="Q47" s="43"/>
      <c r="R47" s="99"/>
      <c r="S47" s="54"/>
    </row>
    <row r="48" spans="1:19">
      <c r="A48" s="39">
        <v>40</v>
      </c>
      <c r="B48" s="52"/>
      <c r="C48" s="45"/>
      <c r="D48" s="46"/>
      <c r="E48" s="41"/>
      <c r="F48" s="43"/>
      <c r="G48" s="43"/>
      <c r="H48" s="43"/>
      <c r="I48" s="44"/>
      <c r="J48" s="43"/>
      <c r="K48" s="44"/>
      <c r="L48" s="74"/>
      <c r="M48" s="42"/>
      <c r="N48" s="42"/>
      <c r="O48" s="43"/>
      <c r="P48" s="44"/>
      <c r="Q48" s="43"/>
      <c r="R48" s="99"/>
      <c r="S48" s="54"/>
    </row>
    <row r="49" spans="1:23">
      <c r="A49" s="39">
        <v>41</v>
      </c>
      <c r="B49" s="13"/>
      <c r="C49" s="4"/>
      <c r="D49" s="56"/>
      <c r="E49" s="4"/>
      <c r="F49" s="51"/>
      <c r="G49" s="51"/>
      <c r="H49" s="51"/>
      <c r="I49" s="51"/>
      <c r="J49" s="51"/>
      <c r="K49" s="51"/>
      <c r="L49" s="4"/>
      <c r="M49" s="4"/>
      <c r="N49" s="4"/>
      <c r="O49" s="4"/>
      <c r="P49" s="4"/>
      <c r="Q49" s="4"/>
      <c r="R49" s="100"/>
      <c r="S49" s="5"/>
    </row>
    <row r="50" spans="1:23">
      <c r="A50" s="39">
        <v>42</v>
      </c>
      <c r="W50" s="47">
        <f>SUM(W2:W49)</f>
        <v>200</v>
      </c>
    </row>
    <row r="51" spans="1:23">
      <c r="A51" s="39">
        <v>43</v>
      </c>
    </row>
    <row r="52" spans="1:23">
      <c r="A52" s="39">
        <v>44</v>
      </c>
    </row>
    <row r="53" spans="1:23">
      <c r="A53" s="39">
        <v>45</v>
      </c>
    </row>
    <row r="54" spans="1:23">
      <c r="A54" s="39">
        <v>46</v>
      </c>
    </row>
    <row r="55" spans="1:23">
      <c r="A55" s="39">
        <v>47</v>
      </c>
      <c r="O55" s="14"/>
    </row>
    <row r="56" spans="1:23">
      <c r="A56" s="39">
        <v>48</v>
      </c>
    </row>
    <row r="57" spans="1:23">
      <c r="A57" s="39">
        <v>49</v>
      </c>
    </row>
    <row r="59" spans="1:23"/>
  </sheetData>
  <dataValidations count="1">
    <dataValidation type="list" allowBlank="1" showInputMessage="1" showErrorMessage="1" sqref="P1:P48" xr:uid="{FF9F3CFC-20C9-4269-8FCF-C670922CAA23}">
      <formula1>$Y$2:$Y$11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71D6-B02A-4637-A6D1-B45D7982079F}">
  <dimension ref="A1:W62"/>
  <sheetViews>
    <sheetView workbookViewId="0">
      <pane xSplit="1" ySplit="1" topLeftCell="B17" activePane="bottomRight" state="frozen"/>
      <selection pane="bottomRight" activeCell="M20" sqref="M20"/>
      <selection pane="bottomLeft"/>
      <selection pane="topRight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31.7109375" style="57" bestFit="1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2" width="11.42578125" bestFit="1" customWidth="1"/>
    <col min="13" max="13" width="14.7109375" customWidth="1"/>
    <col min="14" max="14" width="10.28515625" customWidth="1"/>
    <col min="15" max="15" width="14.28515625" customWidth="1"/>
    <col min="16" max="16" width="10.28515625" customWidth="1"/>
    <col min="17" max="17" width="25.85546875" style="1" customWidth="1"/>
    <col min="18" max="18" width="39.85546875" style="1" customWidth="1"/>
    <col min="19" max="19" width="15.5703125" style="1" bestFit="1" customWidth="1"/>
    <col min="23" max="23" width="23.7109375" bestFit="1" customWidth="1"/>
  </cols>
  <sheetData>
    <row r="1" spans="1:23" ht="30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18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2"/>
      <c r="Q1" s="18" t="s">
        <v>164</v>
      </c>
      <c r="R1" s="18" t="s">
        <v>4970</v>
      </c>
      <c r="S1" s="18" t="s">
        <v>3886</v>
      </c>
    </row>
    <row r="2" spans="1:23" s="29" customFormat="1" ht="46.9" customHeight="1">
      <c r="A2" s="7">
        <v>1</v>
      </c>
      <c r="B2" s="7" t="s">
        <v>5492</v>
      </c>
      <c r="C2" s="85" t="s">
        <v>6059</v>
      </c>
      <c r="D2" s="55" t="s">
        <v>6060</v>
      </c>
      <c r="E2" s="86" t="s">
        <v>6061</v>
      </c>
      <c r="F2" s="21">
        <v>8095554000</v>
      </c>
      <c r="G2" s="21" t="s">
        <v>6062</v>
      </c>
      <c r="H2" s="7" t="s">
        <v>1737</v>
      </c>
      <c r="I2" s="7" t="s">
        <v>794</v>
      </c>
      <c r="J2" s="7" t="s">
        <v>6063</v>
      </c>
      <c r="K2" s="95">
        <v>9999883892</v>
      </c>
      <c r="L2" s="8">
        <v>45700</v>
      </c>
      <c r="M2" s="8"/>
      <c r="N2" s="7">
        <v>11</v>
      </c>
      <c r="O2" s="44" t="s">
        <v>195</v>
      </c>
      <c r="P2" s="7"/>
      <c r="Q2" s="101" t="s">
        <v>6001</v>
      </c>
      <c r="R2" s="38"/>
      <c r="S2" s="38" t="s">
        <v>5699</v>
      </c>
      <c r="T2" s="29">
        <v>100</v>
      </c>
    </row>
    <row r="3" spans="1:23" s="174" customFormat="1" ht="55.5">
      <c r="A3" s="18">
        <v>2</v>
      </c>
      <c r="B3" s="18" t="s">
        <v>227</v>
      </c>
      <c r="C3" s="18" t="s">
        <v>6064</v>
      </c>
      <c r="D3" s="18" t="s">
        <v>6065</v>
      </c>
      <c r="E3" s="351" t="s">
        <v>6066</v>
      </c>
      <c r="F3" s="284">
        <v>7337772001</v>
      </c>
      <c r="G3" s="284" t="s">
        <v>6067</v>
      </c>
      <c r="H3" s="18" t="s">
        <v>529</v>
      </c>
      <c r="I3" s="18" t="s">
        <v>794</v>
      </c>
      <c r="J3" s="18" t="s">
        <v>6063</v>
      </c>
      <c r="K3" s="345">
        <v>9999883892</v>
      </c>
      <c r="L3" s="322">
        <v>45702</v>
      </c>
      <c r="M3" s="322"/>
      <c r="N3" s="18">
        <v>11</v>
      </c>
      <c r="O3" s="177" t="s">
        <v>195</v>
      </c>
      <c r="P3" s="18"/>
      <c r="Q3" s="18" t="s">
        <v>243</v>
      </c>
      <c r="R3" s="240"/>
      <c r="S3" s="240" t="s">
        <v>5699</v>
      </c>
      <c r="T3" s="174">
        <v>100</v>
      </c>
    </row>
    <row r="4" spans="1:23" s="174" customFormat="1" ht="45.75">
      <c r="A4" s="342">
        <v>3</v>
      </c>
      <c r="B4" s="18" t="s">
        <v>227</v>
      </c>
      <c r="C4" s="18" t="s">
        <v>6068</v>
      </c>
      <c r="D4" s="18" t="s">
        <v>6069</v>
      </c>
      <c r="E4" s="343" t="s">
        <v>6070</v>
      </c>
      <c r="F4" s="218">
        <v>8939212426</v>
      </c>
      <c r="G4" s="344" t="s">
        <v>6071</v>
      </c>
      <c r="H4" s="18" t="s">
        <v>275</v>
      </c>
      <c r="I4" s="18" t="s">
        <v>794</v>
      </c>
      <c r="J4" s="18" t="s">
        <v>6063</v>
      </c>
      <c r="K4" s="345">
        <v>9999883892</v>
      </c>
      <c r="L4" s="322">
        <v>45721</v>
      </c>
      <c r="M4" s="275"/>
      <c r="N4" s="18">
        <v>11</v>
      </c>
      <c r="O4" s="177" t="s">
        <v>195</v>
      </c>
      <c r="P4" s="218"/>
      <c r="Q4" s="18" t="s">
        <v>243</v>
      </c>
      <c r="R4" s="240"/>
      <c r="S4" s="18" t="s">
        <v>243</v>
      </c>
      <c r="T4" s="174">
        <v>100</v>
      </c>
    </row>
    <row r="5" spans="1:23" ht="66.75">
      <c r="A5" s="7">
        <v>4</v>
      </c>
      <c r="B5" s="7" t="s">
        <v>227</v>
      </c>
      <c r="C5" s="22" t="s">
        <v>6072</v>
      </c>
      <c r="D5" s="7" t="s">
        <v>6073</v>
      </c>
      <c r="E5" s="25" t="s">
        <v>6074</v>
      </c>
      <c r="F5" s="22">
        <v>9372566484</v>
      </c>
      <c r="G5" s="22" t="s">
        <v>6075</v>
      </c>
      <c r="H5" s="22" t="s">
        <v>529</v>
      </c>
      <c r="I5" s="7" t="s">
        <v>794</v>
      </c>
      <c r="J5" s="7" t="s">
        <v>6063</v>
      </c>
      <c r="K5" s="95">
        <v>9999883892</v>
      </c>
      <c r="L5" s="8">
        <v>45721</v>
      </c>
      <c r="M5" s="27"/>
      <c r="N5" s="7">
        <v>11</v>
      </c>
      <c r="O5" s="44" t="s">
        <v>195</v>
      </c>
      <c r="P5" s="22"/>
      <c r="Q5" s="7" t="s">
        <v>6076</v>
      </c>
      <c r="R5" s="38"/>
      <c r="T5">
        <v>100</v>
      </c>
    </row>
    <row r="6" spans="1:23" s="29" customFormat="1" ht="45.75">
      <c r="A6" s="7">
        <v>5</v>
      </c>
      <c r="B6" s="24"/>
      <c r="C6" s="22" t="s">
        <v>6077</v>
      </c>
      <c r="D6" s="7" t="s">
        <v>6078</v>
      </c>
      <c r="E6" s="25" t="s">
        <v>6079</v>
      </c>
      <c r="F6" s="22">
        <v>9636433566</v>
      </c>
      <c r="G6" s="22" t="s">
        <v>6080</v>
      </c>
      <c r="H6" s="22" t="s">
        <v>6081</v>
      </c>
      <c r="I6" s="7" t="s">
        <v>794</v>
      </c>
      <c r="J6" s="7" t="s">
        <v>6063</v>
      </c>
      <c r="K6" s="95">
        <v>9999883892</v>
      </c>
      <c r="L6" s="27">
        <v>45785</v>
      </c>
      <c r="M6" s="27"/>
      <c r="N6" s="7">
        <v>11</v>
      </c>
      <c r="O6" s="44" t="s">
        <v>195</v>
      </c>
      <c r="P6" s="22"/>
      <c r="Q6" s="7"/>
      <c r="R6" s="38"/>
      <c r="S6" s="38"/>
    </row>
    <row r="7" spans="1:23" ht="45.75">
      <c r="A7" s="23">
        <v>6</v>
      </c>
      <c r="B7" s="24"/>
      <c r="C7" s="22" t="s">
        <v>6082</v>
      </c>
      <c r="D7" s="7" t="s">
        <v>6083</v>
      </c>
      <c r="E7" s="25" t="s">
        <v>6084</v>
      </c>
      <c r="F7" s="10"/>
      <c r="G7" s="10" t="s">
        <v>6085</v>
      </c>
      <c r="H7" s="10" t="s">
        <v>444</v>
      </c>
      <c r="I7" s="7" t="s">
        <v>794</v>
      </c>
      <c r="J7" s="7" t="s">
        <v>6063</v>
      </c>
      <c r="K7" s="95">
        <v>9999883892</v>
      </c>
      <c r="L7" s="27">
        <v>45785</v>
      </c>
      <c r="M7" s="27"/>
      <c r="N7" s="7">
        <v>11</v>
      </c>
      <c r="O7" s="44" t="s">
        <v>195</v>
      </c>
      <c r="P7" s="22"/>
      <c r="Q7" s="7"/>
      <c r="W7" s="16"/>
    </row>
    <row r="8" spans="1:23" s="174" customFormat="1" ht="76.5">
      <c r="A8" s="18">
        <v>7</v>
      </c>
      <c r="B8" s="218"/>
      <c r="C8" s="218" t="s">
        <v>6086</v>
      </c>
      <c r="D8" s="18" t="s">
        <v>6087</v>
      </c>
      <c r="E8" s="88" t="s">
        <v>6088</v>
      </c>
      <c r="F8" s="218" t="s">
        <v>6089</v>
      </c>
      <c r="G8" s="218" t="s">
        <v>6090</v>
      </c>
      <c r="H8" s="218" t="s">
        <v>1737</v>
      </c>
      <c r="I8" s="18" t="s">
        <v>794</v>
      </c>
      <c r="J8" s="18" t="s">
        <v>6063</v>
      </c>
      <c r="K8" s="345">
        <v>9999883892</v>
      </c>
      <c r="L8" s="275">
        <v>45789</v>
      </c>
      <c r="M8" s="275"/>
      <c r="N8" s="18">
        <v>11</v>
      </c>
      <c r="O8" s="18" t="s">
        <v>176</v>
      </c>
      <c r="P8" s="218"/>
      <c r="Q8" s="218"/>
      <c r="R8" s="367"/>
      <c r="S8" s="18" t="s">
        <v>243</v>
      </c>
    </row>
    <row r="9" spans="1:23" ht="60.75">
      <c r="A9" s="7">
        <v>8</v>
      </c>
      <c r="B9" s="22"/>
      <c r="C9" s="7"/>
      <c r="D9" s="7" t="s">
        <v>6091</v>
      </c>
      <c r="E9" s="33" t="s">
        <v>6092</v>
      </c>
      <c r="F9" s="22"/>
      <c r="G9" s="22" t="s">
        <v>6093</v>
      </c>
      <c r="H9" s="22" t="s">
        <v>6094</v>
      </c>
      <c r="I9" s="7" t="s">
        <v>794</v>
      </c>
      <c r="J9" s="7" t="s">
        <v>6063</v>
      </c>
      <c r="K9" s="95">
        <v>9999883892</v>
      </c>
      <c r="L9" s="27">
        <v>45853</v>
      </c>
      <c r="M9" s="27"/>
      <c r="N9" s="7">
        <v>11</v>
      </c>
      <c r="O9" s="44" t="s">
        <v>195</v>
      </c>
      <c r="P9" s="22"/>
      <c r="Q9" s="7"/>
    </row>
    <row r="10" spans="1:23" s="174" customFormat="1" ht="121.5">
      <c r="A10" s="342">
        <v>9</v>
      </c>
      <c r="B10" s="218"/>
      <c r="C10" s="18"/>
      <c r="D10" s="18" t="s">
        <v>6095</v>
      </c>
      <c r="E10" s="273" t="s">
        <v>6096</v>
      </c>
      <c r="F10" s="497">
        <v>9741356160</v>
      </c>
      <c r="G10" s="18" t="s">
        <v>6093</v>
      </c>
      <c r="H10" s="18" t="s">
        <v>1737</v>
      </c>
      <c r="I10" s="18" t="s">
        <v>794</v>
      </c>
      <c r="J10" s="18" t="s">
        <v>6063</v>
      </c>
      <c r="K10" s="256"/>
      <c r="L10" s="275">
        <v>45860</v>
      </c>
      <c r="M10" s="275">
        <v>46195</v>
      </c>
      <c r="N10" s="218">
        <v>11</v>
      </c>
      <c r="O10" s="177" t="s">
        <v>195</v>
      </c>
      <c r="P10" s="218"/>
      <c r="Q10" s="18" t="s">
        <v>6097</v>
      </c>
      <c r="R10" s="367"/>
      <c r="S10" s="367" t="s">
        <v>243</v>
      </c>
    </row>
    <row r="11" spans="1:23" s="174" customFormat="1" ht="76.5">
      <c r="A11" s="18">
        <v>10</v>
      </c>
      <c r="B11" s="218" t="s">
        <v>227</v>
      </c>
      <c r="C11" s="218" t="s">
        <v>6098</v>
      </c>
      <c r="D11" s="18" t="s">
        <v>6099</v>
      </c>
      <c r="E11" s="273" t="s">
        <v>6100</v>
      </c>
      <c r="F11" s="18"/>
      <c r="G11" s="18" t="s">
        <v>6101</v>
      </c>
      <c r="H11" s="18" t="s">
        <v>690</v>
      </c>
      <c r="I11" s="18" t="s">
        <v>794</v>
      </c>
      <c r="J11" s="18" t="s">
        <v>6063</v>
      </c>
      <c r="K11" s="256">
        <v>9999883892</v>
      </c>
      <c r="L11" s="275">
        <v>45903</v>
      </c>
      <c r="M11" s="275">
        <v>46237</v>
      </c>
      <c r="N11" s="218">
        <v>11</v>
      </c>
      <c r="O11" s="177" t="s">
        <v>195</v>
      </c>
      <c r="P11" s="218"/>
      <c r="Q11" s="498"/>
      <c r="R11" s="367"/>
      <c r="S11" s="367" t="s">
        <v>243</v>
      </c>
    </row>
    <row r="12" spans="1:23" s="29" customFormat="1" ht="60.75">
      <c r="A12" s="7">
        <v>11</v>
      </c>
      <c r="B12" s="22" t="s">
        <v>227</v>
      </c>
      <c r="C12" s="22" t="s">
        <v>6102</v>
      </c>
      <c r="D12" s="7" t="s">
        <v>6103</v>
      </c>
      <c r="E12" s="31" t="s">
        <v>6104</v>
      </c>
      <c r="F12" s="22">
        <v>8095424559</v>
      </c>
      <c r="G12" s="22" t="s">
        <v>6105</v>
      </c>
      <c r="H12" s="22" t="s">
        <v>6106</v>
      </c>
      <c r="I12" s="7" t="s">
        <v>794</v>
      </c>
      <c r="J12" s="7" t="s">
        <v>6063</v>
      </c>
      <c r="K12" s="36">
        <v>9999883892</v>
      </c>
      <c r="L12" s="27">
        <v>45919</v>
      </c>
      <c r="M12" s="27">
        <v>46253</v>
      </c>
      <c r="N12" s="7">
        <v>11</v>
      </c>
      <c r="O12" s="7" t="s">
        <v>176</v>
      </c>
      <c r="P12" s="22"/>
      <c r="Q12" s="7"/>
      <c r="R12" s="38"/>
      <c r="S12" s="38"/>
    </row>
    <row r="13" spans="1:23" s="29" customFormat="1" ht="60.75">
      <c r="A13" s="23">
        <v>12</v>
      </c>
      <c r="B13" s="22" t="s">
        <v>227</v>
      </c>
      <c r="C13" s="22" t="s">
        <v>6107</v>
      </c>
      <c r="D13" s="7" t="s">
        <v>6108</v>
      </c>
      <c r="E13" s="31" t="s">
        <v>6109</v>
      </c>
      <c r="F13" s="22">
        <v>9769503526</v>
      </c>
      <c r="G13" s="22" t="s">
        <v>6110</v>
      </c>
      <c r="H13" s="22" t="s">
        <v>690</v>
      </c>
      <c r="I13" s="7" t="s">
        <v>794</v>
      </c>
      <c r="J13" s="7" t="s">
        <v>6063</v>
      </c>
      <c r="K13" s="36">
        <v>9999883892</v>
      </c>
      <c r="L13" s="27">
        <v>45975</v>
      </c>
      <c r="M13" s="27">
        <v>46309</v>
      </c>
      <c r="N13" s="22">
        <v>11</v>
      </c>
      <c r="O13" s="7" t="s">
        <v>176</v>
      </c>
      <c r="P13" s="22"/>
      <c r="Q13" s="18" t="s">
        <v>6111</v>
      </c>
      <c r="R13" s="15" t="s">
        <v>6112</v>
      </c>
      <c r="S13" s="38"/>
    </row>
    <row r="14" spans="1:23" s="29" customFormat="1" ht="45.75">
      <c r="A14" s="23">
        <v>13</v>
      </c>
      <c r="B14" s="24" t="s">
        <v>227</v>
      </c>
      <c r="C14" s="22" t="s">
        <v>6113</v>
      </c>
      <c r="D14" s="7" t="s">
        <v>6114</v>
      </c>
      <c r="E14" s="31" t="s">
        <v>6115</v>
      </c>
      <c r="F14" s="22">
        <v>9650688430</v>
      </c>
      <c r="G14" s="22" t="s">
        <v>6116</v>
      </c>
      <c r="H14" s="22" t="s">
        <v>194</v>
      </c>
      <c r="I14" s="7" t="s">
        <v>794</v>
      </c>
      <c r="J14" s="7" t="s">
        <v>6063</v>
      </c>
      <c r="K14" s="36">
        <v>9999883892</v>
      </c>
      <c r="L14" s="27">
        <v>45978</v>
      </c>
      <c r="M14" s="27">
        <v>46312</v>
      </c>
      <c r="N14" s="22">
        <v>11</v>
      </c>
      <c r="O14" s="44" t="s">
        <v>195</v>
      </c>
      <c r="P14" s="22"/>
      <c r="Q14" s="7"/>
      <c r="R14" s="38"/>
      <c r="S14" s="38"/>
    </row>
    <row r="15" spans="1:23" s="29" customFormat="1" ht="76.5">
      <c r="A15" s="23">
        <v>14</v>
      </c>
      <c r="B15" s="24" t="s">
        <v>227</v>
      </c>
      <c r="C15" s="22" t="s">
        <v>6117</v>
      </c>
      <c r="D15" s="7" t="s">
        <v>6118</v>
      </c>
      <c r="E15" s="31" t="s">
        <v>6119</v>
      </c>
      <c r="F15" s="22">
        <v>7559822516</v>
      </c>
      <c r="G15" s="22" t="s">
        <v>6120</v>
      </c>
      <c r="H15" s="22" t="s">
        <v>202</v>
      </c>
      <c r="I15" s="7" t="s">
        <v>794</v>
      </c>
      <c r="J15" s="7" t="s">
        <v>6063</v>
      </c>
      <c r="K15" s="36">
        <v>9999883892</v>
      </c>
      <c r="L15" s="27">
        <v>46003</v>
      </c>
      <c r="M15" s="27">
        <v>46338</v>
      </c>
      <c r="N15" s="22">
        <v>11</v>
      </c>
      <c r="O15" s="44" t="s">
        <v>195</v>
      </c>
      <c r="P15" s="22"/>
      <c r="Q15" s="7" t="s">
        <v>6121</v>
      </c>
      <c r="R15" s="38"/>
      <c r="S15" s="38"/>
    </row>
    <row r="16" spans="1:23" s="29" customFormat="1" ht="55.5">
      <c r="A16" s="23">
        <v>15</v>
      </c>
      <c r="B16" s="230" t="s">
        <v>227</v>
      </c>
      <c r="C16" s="230" t="s">
        <v>6064</v>
      </c>
      <c r="D16" s="230" t="s">
        <v>6065</v>
      </c>
      <c r="E16" s="231" t="s">
        <v>6066</v>
      </c>
      <c r="F16" s="232">
        <v>7337772001</v>
      </c>
      <c r="G16" s="232" t="s">
        <v>6067</v>
      </c>
      <c r="H16" s="230" t="s">
        <v>529</v>
      </c>
      <c r="I16" s="230" t="s">
        <v>794</v>
      </c>
      <c r="J16" s="230" t="s">
        <v>6063</v>
      </c>
      <c r="K16" s="233">
        <v>9999883892</v>
      </c>
      <c r="L16" s="230" t="s">
        <v>3573</v>
      </c>
      <c r="M16" s="234">
        <v>46368</v>
      </c>
      <c r="N16" s="230">
        <v>11</v>
      </c>
      <c r="O16" s="235" t="s">
        <v>195</v>
      </c>
      <c r="P16" s="236" t="s">
        <v>6122</v>
      </c>
      <c r="Q16" s="237" t="s">
        <v>6122</v>
      </c>
      <c r="R16" s="223"/>
      <c r="S16" s="223"/>
      <c r="T16" s="223"/>
    </row>
    <row r="17" spans="1:20" ht="45.75">
      <c r="A17" s="23">
        <v>16</v>
      </c>
      <c r="B17" s="7" t="s">
        <v>227</v>
      </c>
      <c r="C17" s="7" t="s">
        <v>6068</v>
      </c>
      <c r="D17" s="7" t="s">
        <v>6069</v>
      </c>
      <c r="E17" s="25" t="s">
        <v>6070</v>
      </c>
      <c r="F17" s="22">
        <v>8939212426</v>
      </c>
      <c r="G17" s="48" t="s">
        <v>6071</v>
      </c>
      <c r="H17" s="7" t="s">
        <v>275</v>
      </c>
      <c r="I17" s="7" t="s">
        <v>794</v>
      </c>
      <c r="J17" s="7" t="s">
        <v>6063</v>
      </c>
      <c r="K17" s="95">
        <v>9999883892</v>
      </c>
      <c r="L17" s="8">
        <v>45721</v>
      </c>
      <c r="M17" s="27"/>
      <c r="N17" s="7">
        <v>11</v>
      </c>
      <c r="O17" s="44" t="s">
        <v>195</v>
      </c>
      <c r="P17" s="22"/>
      <c r="Q17" s="7" t="s">
        <v>243</v>
      </c>
      <c r="S17" s="7" t="s">
        <v>243</v>
      </c>
      <c r="T17">
        <v>100</v>
      </c>
    </row>
    <row r="18" spans="1:20">
      <c r="A18" s="23">
        <v>17</v>
      </c>
      <c r="B18" s="52"/>
      <c r="C18" s="45"/>
      <c r="D18" s="46" t="s">
        <v>6065</v>
      </c>
      <c r="E18" s="46"/>
      <c r="F18" s="43"/>
      <c r="G18" s="43"/>
      <c r="H18" s="44"/>
      <c r="I18" s="22"/>
      <c r="J18" s="7"/>
      <c r="K18" s="17"/>
      <c r="L18" s="42"/>
      <c r="M18" s="42"/>
      <c r="N18" s="43"/>
      <c r="O18" s="38" t="s">
        <v>6123</v>
      </c>
      <c r="P18" s="22"/>
      <c r="Q18" s="7"/>
    </row>
    <row r="19" spans="1:20" ht="76.5">
      <c r="A19" s="23">
        <v>18</v>
      </c>
      <c r="B19" s="7" t="s">
        <v>227</v>
      </c>
      <c r="C19" s="22" t="s">
        <v>6086</v>
      </c>
      <c r="D19" s="7" t="s">
        <v>6087</v>
      </c>
      <c r="E19" s="31" t="s">
        <v>6088</v>
      </c>
      <c r="F19" s="22" t="s">
        <v>6089</v>
      </c>
      <c r="G19" s="22" t="s">
        <v>6090</v>
      </c>
      <c r="H19" s="22" t="s">
        <v>1737</v>
      </c>
      <c r="I19" s="7" t="s">
        <v>794</v>
      </c>
      <c r="J19" s="7" t="s">
        <v>6063</v>
      </c>
      <c r="K19" s="95">
        <v>9999883892</v>
      </c>
      <c r="L19" s="27">
        <v>46330</v>
      </c>
      <c r="M19" s="27">
        <v>46092</v>
      </c>
      <c r="N19" s="7">
        <v>11</v>
      </c>
      <c r="O19" s="7" t="s">
        <v>176</v>
      </c>
      <c r="P19" s="22"/>
      <c r="Q19" s="22"/>
      <c r="S19" s="7" t="s">
        <v>243</v>
      </c>
    </row>
    <row r="20" spans="1:20" ht="45.75">
      <c r="A20" s="23">
        <v>19</v>
      </c>
      <c r="B20" s="52" t="s">
        <v>639</v>
      </c>
      <c r="C20" s="46" t="s">
        <v>6124</v>
      </c>
      <c r="D20" s="448" t="s">
        <v>6125</v>
      </c>
      <c r="E20" t="s">
        <v>6126</v>
      </c>
      <c r="F20" s="43">
        <v>9741356160</v>
      </c>
      <c r="G20" s="43" t="s">
        <v>6127</v>
      </c>
      <c r="H20" s="44"/>
      <c r="I20" s="44"/>
      <c r="J20" s="44"/>
      <c r="K20" s="53"/>
      <c r="L20" s="42" t="s">
        <v>6128</v>
      </c>
      <c r="M20" s="42" t="s">
        <v>5688</v>
      </c>
      <c r="N20" s="7">
        <v>11</v>
      </c>
      <c r="O20" s="44" t="s">
        <v>195</v>
      </c>
      <c r="P20" s="22"/>
      <c r="Q20" s="7" t="s">
        <v>243</v>
      </c>
    </row>
    <row r="21" spans="1:20" ht="76.5">
      <c r="A21" s="23">
        <v>20</v>
      </c>
      <c r="B21" s="22" t="s">
        <v>227</v>
      </c>
      <c r="C21" s="22" t="s">
        <v>6098</v>
      </c>
      <c r="D21" s="7" t="s">
        <v>6129</v>
      </c>
      <c r="E21" s="33" t="s">
        <v>6100</v>
      </c>
      <c r="F21" s="7"/>
      <c r="G21" s="7" t="s">
        <v>6101</v>
      </c>
      <c r="H21" s="7" t="s">
        <v>690</v>
      </c>
      <c r="I21" s="7" t="s">
        <v>794</v>
      </c>
      <c r="J21" s="7" t="s">
        <v>6063</v>
      </c>
      <c r="K21" s="36">
        <v>9999883892</v>
      </c>
      <c r="L21" s="27">
        <v>46150</v>
      </c>
      <c r="M21" s="27">
        <v>46484</v>
      </c>
      <c r="N21" s="22">
        <v>11</v>
      </c>
      <c r="O21" s="44" t="s">
        <v>195</v>
      </c>
      <c r="P21" s="22"/>
      <c r="Q21" s="32"/>
      <c r="S21" s="1" t="s">
        <v>243</v>
      </c>
    </row>
    <row r="22" spans="1:20">
      <c r="A22" s="39"/>
      <c r="B22" s="52"/>
      <c r="C22" s="40"/>
      <c r="D22" s="41"/>
      <c r="E22" s="41"/>
      <c r="F22" s="50"/>
      <c r="G22" s="50"/>
      <c r="H22" s="43"/>
      <c r="I22" s="22"/>
      <c r="J22" s="7"/>
      <c r="K22" s="17"/>
      <c r="L22" s="42"/>
      <c r="M22" s="42"/>
      <c r="N22" s="43"/>
      <c r="O22" s="7"/>
      <c r="P22" s="22"/>
      <c r="Q22" s="7"/>
    </row>
    <row r="23" spans="1:20">
      <c r="A23" s="61"/>
      <c r="B23" s="62"/>
      <c r="C23" s="63"/>
      <c r="D23" s="64"/>
      <c r="E23" s="65"/>
      <c r="F23" s="66"/>
      <c r="G23" s="66"/>
      <c r="H23" s="66"/>
      <c r="I23" s="68"/>
      <c r="J23" s="67"/>
      <c r="K23" s="69"/>
      <c r="L23" s="70"/>
      <c r="M23" s="70"/>
      <c r="N23" s="66"/>
      <c r="O23" s="71"/>
      <c r="P23" s="68"/>
      <c r="Q23" s="67"/>
      <c r="R23" s="68"/>
    </row>
    <row r="24" spans="1:20">
      <c r="A24" s="39"/>
      <c r="B24" s="52"/>
      <c r="C24" s="59"/>
      <c r="D24" s="58"/>
      <c r="E24" s="41"/>
      <c r="F24" s="50"/>
      <c r="G24" s="50"/>
      <c r="H24" s="43"/>
      <c r="I24" s="22"/>
      <c r="J24" s="7"/>
      <c r="K24" s="17"/>
      <c r="L24" s="42"/>
      <c r="M24" s="42"/>
      <c r="N24" s="43"/>
      <c r="O24" s="44"/>
      <c r="P24" s="22"/>
      <c r="Q24" s="7"/>
    </row>
    <row r="25" spans="1:20">
      <c r="A25" s="39"/>
      <c r="B25" s="52"/>
      <c r="C25" s="45"/>
      <c r="D25" s="58"/>
      <c r="E25" s="41"/>
      <c r="F25" s="50"/>
      <c r="G25" s="50"/>
      <c r="H25" s="43"/>
      <c r="I25" s="7"/>
      <c r="J25" s="7"/>
      <c r="K25" s="36"/>
      <c r="L25" s="42"/>
      <c r="M25" s="42"/>
      <c r="N25" s="43"/>
      <c r="O25" s="44"/>
      <c r="P25" s="22"/>
      <c r="Q25" s="7"/>
    </row>
    <row r="26" spans="1:20">
      <c r="A26" s="39"/>
      <c r="B26" s="52"/>
      <c r="C26" s="45"/>
      <c r="D26" s="46"/>
      <c r="E26" s="41"/>
      <c r="F26" s="50"/>
      <c r="G26" s="50"/>
      <c r="H26" s="43"/>
      <c r="I26" s="7"/>
      <c r="J26" s="7"/>
      <c r="K26" s="36"/>
      <c r="L26" s="42"/>
      <c r="M26" s="42"/>
      <c r="N26" s="43"/>
      <c r="O26" s="44"/>
      <c r="P26" s="22"/>
      <c r="Q26" s="7"/>
    </row>
    <row r="27" spans="1:20">
      <c r="A27" s="39"/>
      <c r="B27" s="52"/>
      <c r="C27" s="45"/>
      <c r="D27" s="46"/>
      <c r="E27" s="41"/>
      <c r="F27" s="43"/>
      <c r="G27" s="43"/>
      <c r="H27" s="43"/>
      <c r="I27" s="22"/>
      <c r="J27" s="7"/>
      <c r="K27" s="17"/>
      <c r="L27" s="42"/>
      <c r="M27" s="42"/>
      <c r="N27" s="43"/>
      <c r="O27" s="44"/>
      <c r="P27" s="22"/>
      <c r="Q27" s="7"/>
    </row>
    <row r="28" spans="1:20">
      <c r="A28" s="39"/>
      <c r="B28" s="52"/>
      <c r="C28" s="45"/>
      <c r="D28" s="46"/>
      <c r="E28" s="41"/>
      <c r="F28" s="43"/>
      <c r="G28" s="43"/>
      <c r="H28" s="43"/>
      <c r="I28" s="7"/>
      <c r="J28" s="7"/>
      <c r="K28" s="36"/>
      <c r="L28" s="42"/>
      <c r="M28" s="42"/>
      <c r="N28" s="43"/>
      <c r="O28" s="44"/>
      <c r="P28" s="22"/>
      <c r="Q28" s="7"/>
    </row>
    <row r="29" spans="1:20">
      <c r="A29" s="39"/>
      <c r="B29" s="52"/>
      <c r="C29" s="45"/>
      <c r="D29" s="46"/>
      <c r="E29" s="41"/>
      <c r="F29" s="43"/>
      <c r="G29" s="43"/>
      <c r="H29" s="43"/>
      <c r="I29" s="7"/>
      <c r="J29" s="7"/>
      <c r="K29" s="36"/>
      <c r="L29" s="42"/>
      <c r="M29" s="42"/>
      <c r="N29" s="43"/>
      <c r="O29" s="44"/>
      <c r="P29" s="22"/>
      <c r="Q29" s="7"/>
    </row>
    <row r="30" spans="1:20">
      <c r="A30" s="39"/>
      <c r="B30" s="52"/>
      <c r="C30" s="46"/>
      <c r="D30" s="46"/>
      <c r="E30" s="41"/>
      <c r="F30" s="43"/>
      <c r="G30" s="43"/>
      <c r="H30" s="43"/>
      <c r="I30" s="7"/>
      <c r="J30" s="7"/>
      <c r="K30" s="36"/>
      <c r="L30" s="42"/>
      <c r="M30" s="42"/>
      <c r="N30" s="43"/>
      <c r="O30" s="44"/>
      <c r="P30" s="22"/>
      <c r="Q30" s="7"/>
      <c r="R30" s="102"/>
    </row>
    <row r="31" spans="1:20">
      <c r="A31" s="39"/>
      <c r="B31" s="52"/>
      <c r="C31" s="45"/>
      <c r="D31" s="46"/>
      <c r="E31" s="41"/>
      <c r="F31" s="43"/>
      <c r="G31" s="43"/>
      <c r="H31" s="43"/>
      <c r="I31" s="7"/>
      <c r="J31" s="7"/>
      <c r="K31" s="36"/>
      <c r="L31" s="42"/>
      <c r="M31" s="42"/>
      <c r="N31" s="43"/>
      <c r="O31" s="44"/>
      <c r="P31" s="22"/>
      <c r="Q31" s="7"/>
    </row>
    <row r="32" spans="1:20">
      <c r="A32" s="39"/>
      <c r="B32" s="52"/>
      <c r="C32" s="46"/>
      <c r="D32" s="46"/>
      <c r="E32" s="41"/>
      <c r="F32" s="43"/>
      <c r="G32" s="43"/>
      <c r="H32" s="43"/>
      <c r="I32" s="7"/>
      <c r="J32" s="7"/>
      <c r="K32" s="36"/>
      <c r="L32" s="42"/>
      <c r="M32" s="42"/>
      <c r="N32" s="43"/>
      <c r="O32" s="44"/>
      <c r="P32" s="22"/>
      <c r="Q32" s="7"/>
    </row>
    <row r="33" spans="1:17">
      <c r="A33" s="39"/>
      <c r="B33" s="52"/>
      <c r="C33" s="46"/>
      <c r="D33" s="45"/>
      <c r="E33" s="46"/>
      <c r="F33" s="43"/>
      <c r="G33" s="43"/>
      <c r="H33" s="43"/>
      <c r="I33" s="7"/>
      <c r="J33" s="7"/>
      <c r="K33" s="36"/>
      <c r="L33" s="42"/>
      <c r="M33" s="42"/>
      <c r="N33" s="43"/>
      <c r="O33" s="44"/>
      <c r="P33" s="22"/>
      <c r="Q33" s="7"/>
    </row>
    <row r="34" spans="1:17">
      <c r="A34" s="39"/>
      <c r="B34" s="52"/>
      <c r="C34" s="45"/>
      <c r="D34" s="46"/>
      <c r="E34" s="41"/>
      <c r="F34" s="43"/>
      <c r="G34" s="43"/>
      <c r="H34" s="43"/>
      <c r="I34" s="7"/>
      <c r="J34" s="7"/>
      <c r="K34" s="36"/>
      <c r="L34" s="42"/>
      <c r="M34" s="42"/>
      <c r="N34" s="43"/>
      <c r="O34" s="44"/>
      <c r="P34" s="22"/>
      <c r="Q34" s="7"/>
    </row>
    <row r="35" spans="1:17">
      <c r="A35" s="39"/>
      <c r="B35" s="52"/>
      <c r="C35" s="45"/>
      <c r="D35" s="46"/>
      <c r="E35" s="41"/>
      <c r="F35" s="43"/>
      <c r="G35" s="43"/>
      <c r="H35" s="43"/>
      <c r="I35" s="7"/>
      <c r="J35" s="7"/>
      <c r="K35" s="36"/>
      <c r="L35" s="42"/>
      <c r="M35" s="42"/>
      <c r="N35" s="43"/>
      <c r="O35" s="44"/>
      <c r="P35" s="22"/>
      <c r="Q35" s="7"/>
    </row>
    <row r="36" spans="1:17">
      <c r="A36" s="39"/>
      <c r="B36" s="52"/>
      <c r="C36" s="45"/>
      <c r="D36" s="46"/>
      <c r="E36" s="41"/>
      <c r="F36" s="43"/>
      <c r="G36" s="43"/>
      <c r="H36" s="43"/>
      <c r="I36" s="7"/>
      <c r="J36" s="7"/>
      <c r="K36" s="36"/>
      <c r="L36" s="42"/>
      <c r="M36" s="42"/>
      <c r="N36" s="43"/>
      <c r="O36" s="44"/>
      <c r="P36" s="22"/>
      <c r="Q36" s="7"/>
    </row>
    <row r="37" spans="1:17">
      <c r="A37" s="39"/>
      <c r="B37" s="52"/>
      <c r="C37" s="45"/>
      <c r="D37" s="46"/>
      <c r="E37" s="46"/>
      <c r="F37" s="43"/>
      <c r="G37" s="43"/>
      <c r="H37" s="43"/>
      <c r="I37" s="7"/>
      <c r="J37" s="7"/>
      <c r="K37" s="36"/>
      <c r="L37" s="42"/>
      <c r="M37" s="42"/>
      <c r="N37" s="43"/>
      <c r="O37" s="44"/>
      <c r="P37" s="22"/>
      <c r="Q37" s="7"/>
    </row>
    <row r="38" spans="1:17">
      <c r="A38" s="39"/>
      <c r="B38" s="52"/>
      <c r="C38" s="76"/>
      <c r="D38" s="46"/>
      <c r="E38" s="46"/>
      <c r="G38" s="43"/>
      <c r="H38" s="43"/>
      <c r="I38" s="7"/>
      <c r="J38" s="7"/>
      <c r="K38" s="36"/>
      <c r="L38" s="42"/>
      <c r="M38" s="42"/>
      <c r="N38" s="43"/>
      <c r="O38" s="44"/>
      <c r="P38" s="22"/>
      <c r="Q38" s="7"/>
    </row>
    <row r="39" spans="1:17">
      <c r="A39" s="39"/>
      <c r="B39" s="52"/>
      <c r="C39" s="76"/>
      <c r="D39" s="46"/>
      <c r="E39" s="46"/>
      <c r="F39" s="43"/>
      <c r="G39" s="43"/>
      <c r="H39" s="43"/>
      <c r="I39" s="7"/>
      <c r="J39" s="7"/>
      <c r="K39" s="36"/>
      <c r="L39" s="42"/>
      <c r="M39" s="42"/>
      <c r="N39" s="43"/>
      <c r="O39" s="44"/>
      <c r="P39" s="22"/>
      <c r="Q39" s="7"/>
    </row>
    <row r="40" spans="1:17">
      <c r="A40" s="39"/>
      <c r="B40" s="52"/>
      <c r="C40" s="45"/>
      <c r="D40" s="46"/>
      <c r="E40" s="46"/>
      <c r="F40" s="43"/>
      <c r="G40" s="43"/>
      <c r="H40" s="43"/>
      <c r="I40" s="7"/>
      <c r="J40" s="7"/>
      <c r="K40" s="36"/>
      <c r="L40" s="42"/>
      <c r="M40" s="42"/>
      <c r="N40" s="43"/>
      <c r="O40" s="44"/>
      <c r="P40" s="22"/>
      <c r="Q40" s="7"/>
    </row>
    <row r="41" spans="1:17">
      <c r="A41" s="39"/>
      <c r="B41" s="52"/>
      <c r="C41" s="45"/>
      <c r="D41" s="46"/>
      <c r="E41" s="46"/>
      <c r="F41" s="43"/>
      <c r="G41" s="43"/>
      <c r="H41" s="43"/>
      <c r="I41" s="44"/>
      <c r="J41" s="7"/>
      <c r="K41" s="53"/>
      <c r="L41" s="42"/>
      <c r="M41" s="42"/>
      <c r="N41" s="43"/>
      <c r="O41" s="44"/>
      <c r="P41" s="22"/>
      <c r="Q41" s="7"/>
    </row>
    <row r="42" spans="1:17">
      <c r="A42" s="39"/>
      <c r="B42" s="52"/>
      <c r="C42" s="45"/>
      <c r="D42" s="46"/>
      <c r="E42" s="46"/>
      <c r="F42" s="43"/>
      <c r="G42" s="43"/>
      <c r="H42" s="43"/>
      <c r="I42" s="44"/>
      <c r="J42" s="7"/>
      <c r="K42" s="53"/>
      <c r="L42" s="42"/>
      <c r="M42" s="42"/>
      <c r="N42" s="43"/>
      <c r="O42" s="44"/>
      <c r="P42" s="22"/>
      <c r="Q42" s="7"/>
    </row>
    <row r="43" spans="1:17">
      <c r="A43" s="39"/>
      <c r="B43" s="52"/>
      <c r="C43" s="45"/>
      <c r="D43" s="46"/>
      <c r="E43" s="46"/>
      <c r="F43" s="43"/>
      <c r="G43" s="43"/>
      <c r="H43" s="43"/>
      <c r="I43" s="44"/>
      <c r="J43" s="7"/>
      <c r="K43" s="77"/>
      <c r="L43" s="42"/>
      <c r="M43" s="42"/>
      <c r="N43" s="43"/>
      <c r="O43" s="44"/>
      <c r="P43" s="22"/>
      <c r="Q43" s="7"/>
    </row>
    <row r="44" spans="1:17">
      <c r="A44" s="39"/>
      <c r="B44" s="52"/>
      <c r="C44" s="45"/>
      <c r="D44" s="46"/>
      <c r="E44" s="46"/>
      <c r="F44" s="43"/>
      <c r="G44" s="43"/>
      <c r="H44" s="43"/>
      <c r="I44" s="44"/>
      <c r="J44" s="7"/>
      <c r="K44" s="53"/>
      <c r="L44" s="42"/>
      <c r="M44" s="42"/>
      <c r="N44" s="43"/>
      <c r="O44" s="44"/>
      <c r="P44" s="22"/>
      <c r="Q44" s="7"/>
    </row>
    <row r="45" spans="1:17">
      <c r="A45" s="39"/>
      <c r="B45" s="52"/>
      <c r="C45" s="45"/>
      <c r="D45" s="46"/>
      <c r="E45" s="46"/>
      <c r="F45" s="43"/>
      <c r="G45" s="43"/>
      <c r="H45" s="43"/>
      <c r="I45" s="44"/>
      <c r="J45" s="44"/>
      <c r="K45" s="53"/>
      <c r="L45" s="42"/>
      <c r="M45" s="42"/>
      <c r="N45" s="43"/>
      <c r="O45" s="44"/>
      <c r="P45" s="43"/>
      <c r="Q45" s="7"/>
    </row>
    <row r="46" spans="1:17">
      <c r="A46" s="39"/>
      <c r="B46" s="52"/>
      <c r="C46" s="45"/>
      <c r="D46" s="46"/>
      <c r="E46" s="41"/>
      <c r="F46" s="43"/>
      <c r="G46" s="43"/>
      <c r="H46" s="43"/>
      <c r="I46" s="43"/>
      <c r="J46" s="44"/>
      <c r="K46" s="74"/>
      <c r="L46" s="42"/>
      <c r="M46" s="42"/>
      <c r="N46" s="43"/>
      <c r="O46" s="44"/>
      <c r="P46" s="43"/>
      <c r="Q46" s="7"/>
    </row>
    <row r="47" spans="1:17">
      <c r="A47" s="39"/>
      <c r="B47" s="52"/>
      <c r="C47" s="45"/>
      <c r="D47" s="46"/>
      <c r="E47" s="41"/>
      <c r="F47" s="43"/>
      <c r="G47" s="43"/>
      <c r="H47" s="43"/>
      <c r="I47" s="43"/>
      <c r="J47" s="44"/>
      <c r="K47" s="74"/>
      <c r="L47" s="42"/>
      <c r="M47" s="42"/>
      <c r="N47" s="43"/>
      <c r="O47" s="44"/>
      <c r="P47" s="43"/>
      <c r="Q47" s="7"/>
    </row>
    <row r="48" spans="1:17">
      <c r="A48" s="39"/>
      <c r="B48" s="52"/>
      <c r="C48" s="45"/>
      <c r="D48" s="46"/>
      <c r="E48" s="41"/>
      <c r="F48" s="43"/>
      <c r="G48" s="43"/>
      <c r="H48" s="43"/>
      <c r="I48" s="43"/>
      <c r="J48" s="44"/>
      <c r="K48" s="74"/>
      <c r="L48" s="42"/>
      <c r="M48" s="42"/>
      <c r="N48" s="43"/>
      <c r="O48" s="44"/>
      <c r="P48" s="43"/>
      <c r="Q48" s="7"/>
    </row>
    <row r="49" spans="1:20">
      <c r="A49" s="39"/>
      <c r="B49" s="52"/>
      <c r="C49" s="45"/>
      <c r="D49" s="46"/>
      <c r="E49" s="41"/>
      <c r="F49" s="43"/>
      <c r="G49" s="43"/>
      <c r="H49" s="43"/>
      <c r="I49" s="43"/>
      <c r="J49" s="44"/>
      <c r="K49" s="74"/>
      <c r="L49" s="42"/>
      <c r="M49" s="42"/>
      <c r="N49" s="43"/>
      <c r="O49" s="44"/>
      <c r="P49" s="43"/>
      <c r="Q49" s="7"/>
    </row>
    <row r="50" spans="1:20">
      <c r="A50" s="39"/>
      <c r="B50" s="52"/>
      <c r="C50" s="45"/>
      <c r="D50" s="46"/>
      <c r="E50" s="41"/>
      <c r="F50" s="43"/>
      <c r="G50" s="43"/>
      <c r="H50" s="43"/>
      <c r="I50" s="43"/>
      <c r="J50" s="44"/>
      <c r="K50" s="74"/>
      <c r="L50" s="42"/>
      <c r="M50" s="42"/>
      <c r="N50" s="43"/>
      <c r="O50" s="44"/>
      <c r="P50" s="43"/>
      <c r="Q50" s="7"/>
    </row>
    <row r="51" spans="1:20">
      <c r="A51" s="39">
        <v>40</v>
      </c>
      <c r="B51" s="52"/>
      <c r="C51" s="45"/>
      <c r="D51" s="46"/>
      <c r="E51" s="41"/>
      <c r="F51" s="43"/>
      <c r="G51" s="43"/>
      <c r="H51" s="43"/>
      <c r="I51" s="43"/>
      <c r="J51" s="44"/>
      <c r="K51" s="74"/>
      <c r="L51" s="42"/>
      <c r="M51" s="42"/>
      <c r="N51" s="43"/>
      <c r="O51" s="44"/>
      <c r="P51" s="43"/>
      <c r="Q51" s="7"/>
    </row>
    <row r="52" spans="1:20">
      <c r="A52" s="39">
        <v>41</v>
      </c>
      <c r="B52" s="13"/>
      <c r="C52" s="4"/>
      <c r="D52" s="56"/>
      <c r="E52" s="4"/>
      <c r="F52" s="51"/>
      <c r="G52" s="51"/>
      <c r="H52" s="51"/>
      <c r="I52" s="51"/>
      <c r="J52" s="51"/>
      <c r="K52" s="4"/>
      <c r="L52" s="4"/>
      <c r="M52" s="4"/>
      <c r="N52" s="4"/>
      <c r="O52" s="4"/>
      <c r="P52" s="4"/>
    </row>
    <row r="53" spans="1:20">
      <c r="A53" s="39">
        <v>42</v>
      </c>
      <c r="T53" s="47">
        <f>SUM(T2:T52)</f>
        <v>500</v>
      </c>
    </row>
    <row r="54" spans="1:20">
      <c r="A54" s="39">
        <v>43</v>
      </c>
    </row>
    <row r="55" spans="1:20">
      <c r="A55" s="39">
        <v>44</v>
      </c>
    </row>
    <row r="56" spans="1:20">
      <c r="A56" s="39">
        <v>45</v>
      </c>
    </row>
    <row r="57" spans="1:20">
      <c r="A57" s="39">
        <v>46</v>
      </c>
    </row>
    <row r="58" spans="1:20">
      <c r="A58" s="39">
        <v>47</v>
      </c>
      <c r="N58" s="14"/>
    </row>
    <row r="59" spans="1:20">
      <c r="A59" s="39">
        <v>48</v>
      </c>
    </row>
    <row r="60" spans="1:20">
      <c r="A60" s="39">
        <v>49</v>
      </c>
    </row>
    <row r="62" spans="1:20"/>
  </sheetData>
  <dataValidations count="1">
    <dataValidation type="list" allowBlank="1" showInputMessage="1" showErrorMessage="1" sqref="O1:O15 O17:O51" xr:uid="{0D148CA1-D009-4A80-A1B9-5B22DB8F3A0D}">
      <formula1>$W$2:$W$10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611B-7DB0-49B0-97FA-2EE1F6340A8F}">
  <dimension ref="A1:Q15"/>
  <sheetViews>
    <sheetView topLeftCell="D8" workbookViewId="0">
      <selection activeCell="W12" sqref="W12"/>
    </sheetView>
  </sheetViews>
  <sheetFormatPr defaultRowHeight="15" customHeight="1"/>
  <cols>
    <col min="1" max="1" width="5.85546875" bestFit="1" customWidth="1"/>
    <col min="2" max="2" width="14.140625" customWidth="1"/>
    <col min="3" max="3" width="22.42578125" customWidth="1"/>
    <col min="4" max="4" width="46.5703125" customWidth="1"/>
    <col min="5" max="5" width="12.5703125" bestFit="1" customWidth="1"/>
    <col min="6" max="6" width="15.28515625" bestFit="1" customWidth="1"/>
    <col min="7" max="7" width="12" customWidth="1"/>
    <col min="9" max="9" width="17.85546875" customWidth="1"/>
    <col min="10" max="10" width="13.28515625" customWidth="1"/>
    <col min="11" max="11" width="10.28515625" bestFit="1" customWidth="1"/>
    <col min="13" max="13" width="13" customWidth="1"/>
    <col min="14" max="14" width="31.140625" customWidth="1"/>
    <col min="15" max="15" width="12.7109375" customWidth="1"/>
  </cols>
  <sheetData>
    <row r="1" spans="1:17" ht="45.75">
      <c r="A1" s="18" t="s">
        <v>1</v>
      </c>
      <c r="B1" s="18" t="s">
        <v>149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154</v>
      </c>
      <c r="H1" s="18" t="s">
        <v>156</v>
      </c>
      <c r="I1" s="18" t="s">
        <v>158</v>
      </c>
      <c r="J1" s="18" t="s">
        <v>159</v>
      </c>
      <c r="K1" s="18" t="s">
        <v>160</v>
      </c>
      <c r="L1" s="18" t="s">
        <v>161</v>
      </c>
      <c r="M1" s="18" t="s">
        <v>162</v>
      </c>
      <c r="N1" s="18" t="s">
        <v>6130</v>
      </c>
      <c r="O1" s="18"/>
      <c r="P1" s="18" t="s">
        <v>5691</v>
      </c>
      <c r="Q1" s="18" t="s">
        <v>3886</v>
      </c>
    </row>
    <row r="2" spans="1:17" ht="45.75">
      <c r="A2" s="7">
        <v>1</v>
      </c>
      <c r="B2" s="7" t="s">
        <v>6131</v>
      </c>
      <c r="C2" s="55" t="s">
        <v>6132</v>
      </c>
      <c r="D2" s="86" t="s">
        <v>6133</v>
      </c>
      <c r="E2" s="21">
        <v>9560901369</v>
      </c>
      <c r="F2" s="21" t="s">
        <v>6134</v>
      </c>
      <c r="G2" s="7" t="s">
        <v>444</v>
      </c>
      <c r="H2" s="7" t="s">
        <v>6135</v>
      </c>
      <c r="I2" s="95"/>
      <c r="J2" s="8">
        <v>45783</v>
      </c>
      <c r="K2" s="8">
        <v>46117</v>
      </c>
      <c r="L2" s="7">
        <v>11</v>
      </c>
      <c r="M2" s="7" t="s">
        <v>176</v>
      </c>
      <c r="N2" s="7"/>
      <c r="O2" s="7"/>
      <c r="P2" s="38"/>
      <c r="Q2" s="38"/>
    </row>
    <row r="3" spans="1:17" ht="45.75">
      <c r="A3" s="7">
        <v>2</v>
      </c>
      <c r="B3" s="7" t="s">
        <v>6136</v>
      </c>
      <c r="C3" s="7" t="s">
        <v>6137</v>
      </c>
      <c r="D3" s="25" t="s">
        <v>6138</v>
      </c>
      <c r="E3" s="21">
        <v>6304140698</v>
      </c>
      <c r="F3" s="21" t="s">
        <v>6139</v>
      </c>
      <c r="G3" s="7" t="s">
        <v>2095</v>
      </c>
      <c r="H3" s="7" t="s">
        <v>6135</v>
      </c>
      <c r="I3" s="95"/>
      <c r="J3" s="8">
        <v>45828</v>
      </c>
      <c r="K3" s="8">
        <v>46162</v>
      </c>
      <c r="L3" s="7">
        <v>11</v>
      </c>
      <c r="M3" s="7" t="s">
        <v>176</v>
      </c>
      <c r="N3" s="7"/>
      <c r="O3" s="7"/>
      <c r="P3" s="38"/>
      <c r="Q3" s="38"/>
    </row>
    <row r="4" spans="1:17" ht="45.75">
      <c r="A4" s="7">
        <v>3</v>
      </c>
      <c r="B4" s="7" t="s">
        <v>6140</v>
      </c>
      <c r="C4" s="25" t="s">
        <v>6141</v>
      </c>
      <c r="D4" s="25" t="s">
        <v>6142</v>
      </c>
      <c r="E4" s="21">
        <v>9113805623</v>
      </c>
      <c r="F4" s="21" t="s">
        <v>6143</v>
      </c>
      <c r="G4" s="7" t="s">
        <v>268</v>
      </c>
      <c r="H4" s="7" t="s">
        <v>6135</v>
      </c>
      <c r="I4" s="95"/>
      <c r="J4" s="8">
        <v>45848</v>
      </c>
      <c r="K4" s="8">
        <v>46183</v>
      </c>
      <c r="L4" s="7">
        <v>11</v>
      </c>
      <c r="M4" s="7" t="s">
        <v>176</v>
      </c>
      <c r="N4" s="7"/>
      <c r="O4" s="7"/>
      <c r="P4" s="38"/>
      <c r="Q4" s="38"/>
    </row>
    <row r="5" spans="1:17" ht="45.75">
      <c r="A5" s="7">
        <v>4</v>
      </c>
      <c r="B5" s="7" t="s">
        <v>6144</v>
      </c>
      <c r="C5" s="25" t="s">
        <v>6145</v>
      </c>
      <c r="D5" s="25" t="s">
        <v>6146</v>
      </c>
      <c r="E5" s="21" t="s">
        <v>6147</v>
      </c>
      <c r="F5" s="21" t="s">
        <v>6148</v>
      </c>
      <c r="G5" s="7" t="s">
        <v>268</v>
      </c>
      <c r="H5" s="7" t="s">
        <v>6135</v>
      </c>
      <c r="I5" s="95"/>
      <c r="J5" s="8">
        <v>45903</v>
      </c>
      <c r="K5" s="8">
        <v>46237</v>
      </c>
      <c r="L5" s="7">
        <v>11</v>
      </c>
      <c r="M5" s="7" t="s">
        <v>176</v>
      </c>
      <c r="N5" s="7"/>
      <c r="O5" s="7"/>
      <c r="P5" s="38"/>
      <c r="Q5" s="38"/>
    </row>
    <row r="6" spans="1:17" ht="45.75">
      <c r="A6" s="7">
        <v>5</v>
      </c>
      <c r="B6" s="7" t="s">
        <v>6149</v>
      </c>
      <c r="C6" s="25" t="s">
        <v>6150</v>
      </c>
      <c r="D6" s="25" t="s">
        <v>6151</v>
      </c>
      <c r="E6" s="21">
        <v>8446791696</v>
      </c>
      <c r="F6" s="21" t="s">
        <v>6152</v>
      </c>
      <c r="G6" s="7" t="s">
        <v>354</v>
      </c>
      <c r="H6" s="7" t="s">
        <v>6135</v>
      </c>
      <c r="I6" s="95"/>
      <c r="J6" s="8">
        <v>45924</v>
      </c>
      <c r="K6" s="8">
        <v>46258</v>
      </c>
      <c r="L6" s="7">
        <v>11</v>
      </c>
      <c r="M6" s="44" t="s">
        <v>195</v>
      </c>
      <c r="N6" s="7"/>
      <c r="O6" s="7"/>
      <c r="P6" s="38"/>
      <c r="Q6" s="38"/>
    </row>
    <row r="7" spans="1:17" ht="45.75">
      <c r="A7" s="7">
        <v>6</v>
      </c>
      <c r="B7" s="7" t="s">
        <v>6153</v>
      </c>
      <c r="C7" s="25" t="s">
        <v>6154</v>
      </c>
      <c r="D7" s="25" t="s">
        <v>6155</v>
      </c>
      <c r="E7" s="21">
        <v>7996900996</v>
      </c>
      <c r="F7" s="21" t="s">
        <v>6156</v>
      </c>
      <c r="G7" s="7" t="s">
        <v>202</v>
      </c>
      <c r="H7" s="7"/>
      <c r="I7" s="95"/>
      <c r="J7" s="8">
        <v>45943</v>
      </c>
      <c r="K7" s="8">
        <v>46278</v>
      </c>
      <c r="L7" s="7">
        <v>11</v>
      </c>
      <c r="M7" s="44" t="s">
        <v>195</v>
      </c>
      <c r="N7" s="7"/>
      <c r="O7" s="7"/>
      <c r="P7" s="38"/>
      <c r="Q7" s="38"/>
    </row>
    <row r="8" spans="1:17" ht="45.75">
      <c r="A8" s="7">
        <v>7</v>
      </c>
      <c r="B8" s="7" t="s">
        <v>6157</v>
      </c>
      <c r="C8" s="25" t="s">
        <v>6158</v>
      </c>
      <c r="D8" s="25" t="s">
        <v>6159</v>
      </c>
      <c r="E8" s="21">
        <v>9591521079</v>
      </c>
      <c r="F8" s="21" t="s">
        <v>6160</v>
      </c>
      <c r="G8" s="7" t="s">
        <v>268</v>
      </c>
      <c r="H8" s="7" t="s">
        <v>6161</v>
      </c>
      <c r="I8" s="95">
        <v>9220447306</v>
      </c>
      <c r="J8" s="8">
        <v>45953</v>
      </c>
      <c r="K8" s="8">
        <v>46288</v>
      </c>
      <c r="L8" s="7">
        <v>11</v>
      </c>
      <c r="M8" s="7" t="s">
        <v>176</v>
      </c>
      <c r="N8" s="7" t="s">
        <v>6162</v>
      </c>
      <c r="O8" s="7"/>
      <c r="P8" s="38"/>
      <c r="Q8" s="38"/>
    </row>
    <row r="9" spans="1:17" ht="45.75">
      <c r="A9" s="7">
        <v>8</v>
      </c>
      <c r="B9" s="7" t="s">
        <v>6163</v>
      </c>
      <c r="C9" s="25" t="s">
        <v>6164</v>
      </c>
      <c r="D9" s="25"/>
      <c r="E9" s="21">
        <v>9591521079</v>
      </c>
      <c r="F9" s="21"/>
      <c r="G9" s="7"/>
      <c r="H9" s="7"/>
      <c r="I9" s="95"/>
      <c r="J9" s="8" t="s">
        <v>2211</v>
      </c>
      <c r="K9" s="8" t="s">
        <v>2212</v>
      </c>
      <c r="L9" s="7">
        <v>11</v>
      </c>
      <c r="M9" s="7" t="s">
        <v>176</v>
      </c>
      <c r="N9" s="11" t="s">
        <v>6165</v>
      </c>
      <c r="O9" s="18" t="s">
        <v>6166</v>
      </c>
      <c r="P9" s="38"/>
      <c r="Q9" s="38"/>
    </row>
    <row r="10" spans="1:17" ht="45.75">
      <c r="A10" s="7">
        <v>9</v>
      </c>
      <c r="B10" s="7" t="s">
        <v>6167</v>
      </c>
      <c r="C10" s="25" t="s">
        <v>6168</v>
      </c>
      <c r="D10" s="25"/>
      <c r="E10" s="21" t="s">
        <v>6169</v>
      </c>
      <c r="F10" s="21"/>
      <c r="G10" s="7"/>
      <c r="H10" s="7"/>
      <c r="I10" s="95"/>
      <c r="J10" s="8" t="s">
        <v>2367</v>
      </c>
      <c r="K10" s="8" t="s">
        <v>2368</v>
      </c>
      <c r="L10" s="7">
        <v>11</v>
      </c>
      <c r="M10" s="44" t="s">
        <v>195</v>
      </c>
      <c r="N10" s="7" t="s">
        <v>6170</v>
      </c>
      <c r="O10" s="7"/>
      <c r="P10" s="38"/>
      <c r="Q10" s="38"/>
    </row>
    <row r="11" spans="1:17" s="174" customFormat="1" ht="45.75">
      <c r="A11" s="18">
        <v>10</v>
      </c>
      <c r="B11" s="18" t="s">
        <v>6171</v>
      </c>
      <c r="C11" s="343" t="s">
        <v>6172</v>
      </c>
      <c r="D11" s="343"/>
      <c r="E11" s="284">
        <v>8099313193</v>
      </c>
      <c r="F11" s="284"/>
      <c r="G11" s="18"/>
      <c r="H11" s="18"/>
      <c r="I11" s="345"/>
      <c r="J11" s="322" t="s">
        <v>2496</v>
      </c>
      <c r="K11" s="322" t="s">
        <v>2497</v>
      </c>
      <c r="L11" s="18">
        <v>11</v>
      </c>
      <c r="M11" s="18" t="s">
        <v>176</v>
      </c>
      <c r="N11" s="18" t="s">
        <v>6173</v>
      </c>
      <c r="O11" s="18"/>
      <c r="P11" s="240"/>
      <c r="Q11" s="240"/>
    </row>
    <row r="12" spans="1:17" ht="28.5" customHeight="1">
      <c r="A12" s="7"/>
      <c r="B12" s="7"/>
      <c r="C12" s="25" t="s">
        <v>6172</v>
      </c>
      <c r="D12" s="25"/>
      <c r="E12" s="21"/>
      <c r="F12" s="21"/>
      <c r="G12" s="7"/>
      <c r="H12" s="7"/>
      <c r="I12" s="95"/>
      <c r="J12" s="8" t="s">
        <v>5456</v>
      </c>
      <c r="K12" s="8"/>
      <c r="L12" s="7"/>
      <c r="M12" s="7"/>
      <c r="N12" s="7"/>
      <c r="O12" s="7"/>
      <c r="P12" s="38"/>
      <c r="Q12" s="38"/>
    </row>
    <row r="13" spans="1:17" ht="15.75">
      <c r="A13" s="7"/>
      <c r="B13" s="7"/>
      <c r="C13" s="7"/>
      <c r="D13" s="25"/>
      <c r="E13" s="21"/>
      <c r="F13" s="21"/>
      <c r="G13" s="7"/>
      <c r="H13" s="7"/>
      <c r="I13" s="95"/>
      <c r="J13" s="8"/>
      <c r="K13" s="8"/>
      <c r="L13" s="7"/>
      <c r="M13" s="7"/>
      <c r="N13" s="7"/>
      <c r="O13" s="7"/>
      <c r="P13" s="38"/>
      <c r="Q13" s="38"/>
    </row>
    <row r="14" spans="1:17" ht="15.75">
      <c r="A14" s="7"/>
      <c r="B14" s="7"/>
      <c r="C14" s="7"/>
      <c r="D14" s="25"/>
      <c r="E14" s="22"/>
      <c r="F14" s="21"/>
      <c r="G14" s="7"/>
      <c r="H14" s="7"/>
      <c r="I14" s="95"/>
      <c r="J14" s="8"/>
      <c r="K14" s="27"/>
      <c r="L14" s="7"/>
      <c r="M14" s="7"/>
      <c r="N14" s="22"/>
      <c r="O14" s="22"/>
      <c r="P14" s="38"/>
      <c r="Q14" s="1"/>
    </row>
    <row r="15" spans="1:17"/>
  </sheetData>
  <dataValidations count="3">
    <dataValidation type="list" allowBlank="1" showInputMessage="1" showErrorMessage="1" sqref="M1 M14" xr:uid="{11973651-7026-4896-A1F3-11EFF7321F68}">
      <formula1>$V$2:$V$20</formula1>
    </dataValidation>
    <dataValidation type="list" allowBlank="1" showInputMessage="1" showErrorMessage="1" sqref="M2:M5 M8:M9 M11:M13" xr:uid="{4ED47990-12E3-4558-9BD1-71D20D7635FA}">
      <formula1>$X$2:$X$20</formula1>
    </dataValidation>
    <dataValidation type="list" allowBlank="1" showInputMessage="1" showErrorMessage="1" sqref="M6:M7 M10" xr:uid="{AF940041-32D3-4136-9B2E-3E6356B41C3F}">
      <formula1>$X$2:$X$12</formula1>
    </dataValidation>
  </dataValidations>
  <hyperlinks>
    <hyperlink ref="N9" r:id="rId1" xr:uid="{150A54D8-64D9-404E-B977-F4DE711FD1B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05A5-50EA-4566-8152-2F1DF1267D03}">
  <dimension ref="A1:S32"/>
  <sheetViews>
    <sheetView topLeftCell="A14" workbookViewId="0">
      <selection activeCell="U19" sqref="U19"/>
    </sheetView>
  </sheetViews>
  <sheetFormatPr defaultRowHeight="15" customHeight="1"/>
  <cols>
    <col min="1" max="1" width="5.85546875" bestFit="1" customWidth="1"/>
    <col min="2" max="2" width="6.5703125" customWidth="1"/>
    <col min="3" max="3" width="16.85546875" customWidth="1"/>
    <col min="4" max="4" width="22.42578125" customWidth="1"/>
    <col min="5" max="5" width="46.5703125" customWidth="1"/>
    <col min="6" max="6" width="17.140625" customWidth="1"/>
    <col min="7" max="7" width="15.28515625" bestFit="1" customWidth="1"/>
    <col min="11" max="11" width="11.140625" customWidth="1"/>
    <col min="12" max="12" width="11.85546875" customWidth="1"/>
    <col min="14" max="14" width="17.140625" customWidth="1"/>
    <col min="16" max="16" width="27.85546875" customWidth="1"/>
  </cols>
  <sheetData>
    <row r="1" spans="1:19" ht="45.75">
      <c r="A1" s="18" t="s">
        <v>1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18" t="s">
        <v>156</v>
      </c>
      <c r="J1" s="18" t="s">
        <v>158</v>
      </c>
      <c r="K1" s="18" t="s">
        <v>159</v>
      </c>
      <c r="L1" s="18" t="s">
        <v>160</v>
      </c>
      <c r="M1" s="18" t="s">
        <v>161</v>
      </c>
      <c r="N1" s="18" t="s">
        <v>162</v>
      </c>
      <c r="O1" s="18"/>
      <c r="P1" s="18" t="s">
        <v>163</v>
      </c>
      <c r="Q1" s="18" t="s">
        <v>164</v>
      </c>
      <c r="R1" s="18" t="s">
        <v>5691</v>
      </c>
      <c r="S1" s="18" t="s">
        <v>3886</v>
      </c>
    </row>
    <row r="2" spans="1:19" ht="30.75">
      <c r="A2" s="7">
        <v>1</v>
      </c>
      <c r="B2" s="7" t="s">
        <v>167</v>
      </c>
      <c r="C2" s="7"/>
      <c r="D2" s="55" t="s">
        <v>6174</v>
      </c>
      <c r="E2" s="86"/>
      <c r="F2" s="21"/>
      <c r="G2" s="21"/>
      <c r="H2" s="7"/>
      <c r="I2" s="7"/>
      <c r="J2" s="95"/>
      <c r="K2" s="8">
        <v>45847</v>
      </c>
      <c r="L2" s="8"/>
      <c r="M2" s="7"/>
      <c r="N2" s="7" t="s">
        <v>176</v>
      </c>
      <c r="O2" s="7"/>
      <c r="P2" s="7"/>
      <c r="Q2" s="101"/>
      <c r="R2" s="38"/>
      <c r="S2" s="38"/>
    </row>
    <row r="3" spans="1:19" ht="30.75">
      <c r="A3" s="7">
        <v>2</v>
      </c>
      <c r="B3" s="7" t="s">
        <v>167</v>
      </c>
      <c r="C3" s="7"/>
      <c r="D3" s="7" t="s">
        <v>6175</v>
      </c>
      <c r="E3" s="25"/>
      <c r="F3" s="21"/>
      <c r="G3" s="21"/>
      <c r="H3" s="7"/>
      <c r="I3" s="7"/>
      <c r="J3" s="95"/>
      <c r="K3" s="8"/>
      <c r="L3" s="8"/>
      <c r="M3" s="7"/>
      <c r="N3" s="7" t="s">
        <v>176</v>
      </c>
      <c r="O3" s="7"/>
      <c r="P3" s="7"/>
      <c r="Q3" s="7"/>
      <c r="R3" s="38"/>
      <c r="S3" s="38"/>
    </row>
    <row r="4" spans="1:19" ht="30.75">
      <c r="A4" s="7">
        <v>3</v>
      </c>
      <c r="B4" s="7" t="s">
        <v>167</v>
      </c>
      <c r="C4" s="7"/>
      <c r="D4" s="7" t="s">
        <v>6176</v>
      </c>
      <c r="E4" s="25"/>
      <c r="F4" s="21"/>
      <c r="G4" s="21"/>
      <c r="H4" s="7"/>
      <c r="I4" s="7"/>
      <c r="J4" s="95"/>
      <c r="K4" s="8"/>
      <c r="L4" s="8"/>
      <c r="M4" s="7"/>
      <c r="N4" s="7" t="s">
        <v>176</v>
      </c>
      <c r="O4" s="7"/>
      <c r="P4" s="7"/>
      <c r="Q4" s="7"/>
      <c r="R4" s="38"/>
      <c r="S4" s="38"/>
    </row>
    <row r="5" spans="1:19" ht="35.25" customHeight="1">
      <c r="A5" s="7">
        <v>4</v>
      </c>
      <c r="B5" s="7" t="s">
        <v>167</v>
      </c>
      <c r="C5" s="7" t="s">
        <v>6177</v>
      </c>
      <c r="D5" s="7" t="s">
        <v>6178</v>
      </c>
      <c r="E5" s="25" t="s">
        <v>6179</v>
      </c>
      <c r="F5" s="203" t="s">
        <v>6180</v>
      </c>
      <c r="G5" s="21" t="s">
        <v>6181</v>
      </c>
      <c r="H5" s="7"/>
      <c r="I5" s="7"/>
      <c r="J5" s="95"/>
      <c r="K5" s="8">
        <v>45937</v>
      </c>
      <c r="L5" s="8">
        <v>46272</v>
      </c>
      <c r="M5" s="7">
        <v>11</v>
      </c>
      <c r="N5" s="44" t="s">
        <v>195</v>
      </c>
      <c r="O5" s="7"/>
      <c r="P5" s="7" t="s">
        <v>6182</v>
      </c>
      <c r="Q5" s="7"/>
      <c r="R5" s="38"/>
      <c r="S5" s="38"/>
    </row>
    <row r="6" spans="1:19" ht="45.75">
      <c r="A6" s="7">
        <v>5</v>
      </c>
      <c r="B6" s="7" t="s">
        <v>167</v>
      </c>
      <c r="C6" s="7" t="s">
        <v>6183</v>
      </c>
      <c r="D6" s="7" t="s">
        <v>6184</v>
      </c>
      <c r="E6" s="25" t="s">
        <v>6185</v>
      </c>
      <c r="F6" s="21">
        <v>8105233113</v>
      </c>
      <c r="G6" s="21" t="s">
        <v>6186</v>
      </c>
      <c r="H6" s="7"/>
      <c r="I6" s="7"/>
      <c r="J6" s="95"/>
      <c r="K6" s="8">
        <v>45968</v>
      </c>
      <c r="L6" s="8">
        <v>46302</v>
      </c>
      <c r="M6" s="7">
        <v>11</v>
      </c>
      <c r="N6" s="12" t="s">
        <v>3938</v>
      </c>
      <c r="O6" s="7"/>
      <c r="P6" s="7"/>
      <c r="Q6" s="7"/>
      <c r="R6" s="38"/>
      <c r="S6" s="38"/>
    </row>
    <row r="7" spans="1:19" ht="30.75">
      <c r="A7" s="7">
        <v>6</v>
      </c>
      <c r="B7" s="7" t="s">
        <v>167</v>
      </c>
      <c r="C7" s="7" t="s">
        <v>6187</v>
      </c>
      <c r="D7" s="7" t="s">
        <v>6188</v>
      </c>
      <c r="E7" s="25" t="s">
        <v>6189</v>
      </c>
      <c r="F7" s="21">
        <v>9997778202</v>
      </c>
      <c r="G7" s="21" t="s">
        <v>6190</v>
      </c>
      <c r="H7" s="7"/>
      <c r="I7" s="7"/>
      <c r="J7" s="95"/>
      <c r="K7" s="8">
        <v>45972</v>
      </c>
      <c r="L7" s="8">
        <v>46306</v>
      </c>
      <c r="M7" s="7">
        <v>11</v>
      </c>
      <c r="N7" s="7" t="s">
        <v>176</v>
      </c>
      <c r="O7" s="7"/>
      <c r="P7" s="7"/>
      <c r="Q7" s="7"/>
      <c r="R7" s="38"/>
      <c r="S7" s="38"/>
    </row>
    <row r="8" spans="1:19" ht="33">
      <c r="A8" s="7">
        <v>7</v>
      </c>
      <c r="B8" s="7" t="s">
        <v>167</v>
      </c>
      <c r="C8" s="7" t="s">
        <v>6191</v>
      </c>
      <c r="D8" s="7" t="s">
        <v>6192</v>
      </c>
      <c r="E8" s="25" t="s">
        <v>6193</v>
      </c>
      <c r="F8" s="21">
        <v>9581810606</v>
      </c>
      <c r="G8" s="21" t="s">
        <v>6194</v>
      </c>
      <c r="H8" s="7"/>
      <c r="I8" s="7"/>
      <c r="J8" s="95"/>
      <c r="K8" s="8">
        <v>45985</v>
      </c>
      <c r="L8" s="8">
        <v>46319</v>
      </c>
      <c r="M8" s="7">
        <v>11</v>
      </c>
      <c r="N8" s="44" t="s">
        <v>195</v>
      </c>
      <c r="O8" s="7"/>
      <c r="P8" s="18" t="s">
        <v>3466</v>
      </c>
      <c r="Q8" s="7"/>
      <c r="R8" s="38"/>
      <c r="S8" s="38"/>
    </row>
    <row r="9" spans="1:19" ht="45.75">
      <c r="A9" s="7">
        <v>8</v>
      </c>
      <c r="B9" s="7" t="s">
        <v>167</v>
      </c>
      <c r="C9" s="7" t="s">
        <v>6195</v>
      </c>
      <c r="D9" s="7" t="s">
        <v>6196</v>
      </c>
      <c r="E9" s="25" t="s">
        <v>6197</v>
      </c>
      <c r="F9" s="21">
        <v>8891818858</v>
      </c>
      <c r="G9" s="21" t="s">
        <v>6198</v>
      </c>
      <c r="H9" s="7"/>
      <c r="I9" s="7"/>
      <c r="J9" s="95"/>
      <c r="K9" s="8">
        <v>45997</v>
      </c>
      <c r="L9" s="8">
        <v>46332</v>
      </c>
      <c r="M9" s="7">
        <v>11</v>
      </c>
      <c r="N9" s="7" t="s">
        <v>176</v>
      </c>
      <c r="O9" s="7"/>
      <c r="P9" s="7"/>
      <c r="Q9" s="7"/>
      <c r="R9" s="38"/>
      <c r="S9" s="38"/>
    </row>
    <row r="10" spans="1:19" ht="30.75">
      <c r="A10" s="7">
        <v>9</v>
      </c>
      <c r="B10" s="7" t="s">
        <v>167</v>
      </c>
      <c r="C10" s="7" t="s">
        <v>6199</v>
      </c>
      <c r="D10" s="7" t="s">
        <v>6200</v>
      </c>
      <c r="E10" s="25"/>
      <c r="F10" s="21">
        <v>8170924152</v>
      </c>
      <c r="G10" s="21" t="s">
        <v>6201</v>
      </c>
      <c r="H10" s="7"/>
      <c r="I10" s="7"/>
      <c r="J10" s="95"/>
      <c r="K10" s="8" t="s">
        <v>6202</v>
      </c>
      <c r="L10" s="8" t="s">
        <v>6203</v>
      </c>
      <c r="M10" s="7">
        <v>11</v>
      </c>
      <c r="N10" s="7" t="s">
        <v>176</v>
      </c>
      <c r="O10" s="7"/>
      <c r="P10" s="18" t="s">
        <v>6204</v>
      </c>
      <c r="Q10" s="7"/>
      <c r="R10" s="38"/>
      <c r="S10" s="38"/>
    </row>
    <row r="11" spans="1:19" ht="45.75">
      <c r="A11" s="7">
        <v>10</v>
      </c>
      <c r="B11" s="7" t="s">
        <v>167</v>
      </c>
      <c r="C11" s="7" t="s">
        <v>6205</v>
      </c>
      <c r="D11" s="7" t="s">
        <v>6206</v>
      </c>
      <c r="E11" s="25" t="s">
        <v>6207</v>
      </c>
      <c r="F11" s="21">
        <v>6397250377</v>
      </c>
      <c r="G11" s="21" t="s">
        <v>6208</v>
      </c>
      <c r="H11" s="7"/>
      <c r="I11" s="7"/>
      <c r="J11" s="95"/>
      <c r="K11" s="8">
        <v>46204</v>
      </c>
      <c r="L11" s="8">
        <v>46185</v>
      </c>
      <c r="M11" s="7">
        <v>11</v>
      </c>
      <c r="N11" s="7" t="s">
        <v>176</v>
      </c>
      <c r="O11" s="7"/>
      <c r="P11" s="7"/>
      <c r="Q11" s="7"/>
      <c r="R11" s="38"/>
      <c r="S11" s="38"/>
    </row>
    <row r="12" spans="1:19" ht="33">
      <c r="A12" s="7">
        <v>11</v>
      </c>
      <c r="B12" s="7" t="s">
        <v>167</v>
      </c>
      <c r="C12" s="7" t="s">
        <v>6209</v>
      </c>
      <c r="D12" s="7" t="s">
        <v>6210</v>
      </c>
      <c r="E12" s="25" t="s">
        <v>6211</v>
      </c>
      <c r="F12" s="21">
        <v>8088038389</v>
      </c>
      <c r="G12" s="21" t="s">
        <v>6212</v>
      </c>
      <c r="H12" s="7"/>
      <c r="I12" s="7"/>
      <c r="J12" s="95"/>
      <c r="K12" s="8" t="s">
        <v>4733</v>
      </c>
      <c r="L12" s="8" t="s">
        <v>4734</v>
      </c>
      <c r="M12" s="7">
        <v>11</v>
      </c>
      <c r="N12" s="7" t="s">
        <v>176</v>
      </c>
      <c r="O12" s="7"/>
      <c r="P12" s="7"/>
      <c r="Q12" s="7"/>
      <c r="R12" s="38"/>
      <c r="S12" s="38"/>
    </row>
    <row r="13" spans="1:19" ht="30.75">
      <c r="A13" s="7">
        <v>12</v>
      </c>
      <c r="B13" s="7" t="s">
        <v>167</v>
      </c>
      <c r="C13" s="7"/>
      <c r="D13" s="7" t="s">
        <v>6213</v>
      </c>
      <c r="E13" s="25"/>
      <c r="F13" s="21"/>
      <c r="G13" s="21"/>
      <c r="H13" s="7"/>
      <c r="I13" s="7"/>
      <c r="J13" s="95"/>
      <c r="K13" s="8" t="s">
        <v>98</v>
      </c>
      <c r="L13" s="8" t="s">
        <v>2285</v>
      </c>
      <c r="M13" s="7">
        <v>11</v>
      </c>
      <c r="N13" s="7" t="s">
        <v>176</v>
      </c>
      <c r="O13" s="7"/>
      <c r="P13" s="7"/>
      <c r="Q13" s="7"/>
      <c r="R13" s="38"/>
      <c r="S13" s="38"/>
    </row>
    <row r="14" spans="1:19" ht="30.75">
      <c r="A14" s="7">
        <v>13</v>
      </c>
      <c r="B14" s="7" t="s">
        <v>167</v>
      </c>
      <c r="C14" s="7" t="s">
        <v>6214</v>
      </c>
      <c r="D14" s="7" t="s">
        <v>6215</v>
      </c>
      <c r="E14" s="25" t="s">
        <v>6216</v>
      </c>
      <c r="F14" s="21">
        <v>8171937337</v>
      </c>
      <c r="G14" s="21"/>
      <c r="H14" s="7"/>
      <c r="I14" s="7"/>
      <c r="J14" s="95"/>
      <c r="K14" s="8" t="s">
        <v>101</v>
      </c>
      <c r="L14" s="8" t="s">
        <v>2293</v>
      </c>
      <c r="M14" s="7">
        <v>11</v>
      </c>
      <c r="N14" s="7" t="s">
        <v>176</v>
      </c>
      <c r="O14" s="7"/>
      <c r="P14" s="7"/>
      <c r="Q14" s="7"/>
      <c r="R14" s="38"/>
      <c r="S14" s="38"/>
    </row>
    <row r="15" spans="1:19" ht="33">
      <c r="A15" s="7">
        <v>14</v>
      </c>
      <c r="B15" s="7" t="s">
        <v>167</v>
      </c>
      <c r="C15" s="7" t="s">
        <v>6217</v>
      </c>
      <c r="D15" s="7" t="s">
        <v>6218</v>
      </c>
      <c r="E15" s="25" t="s">
        <v>6219</v>
      </c>
      <c r="F15" s="21">
        <v>6289084953</v>
      </c>
      <c r="G15" s="21"/>
      <c r="H15" s="7"/>
      <c r="I15" s="7"/>
      <c r="J15" s="95"/>
      <c r="K15" s="8">
        <v>46175</v>
      </c>
      <c r="L15" s="8">
        <v>46508</v>
      </c>
      <c r="M15" s="7">
        <v>11</v>
      </c>
      <c r="N15" s="7" t="s">
        <v>176</v>
      </c>
      <c r="O15" s="7"/>
      <c r="P15" s="7"/>
      <c r="Q15" s="7"/>
      <c r="R15" s="38"/>
      <c r="S15" s="38"/>
    </row>
    <row r="16" spans="1:19" ht="30.75">
      <c r="A16" s="7">
        <v>15</v>
      </c>
      <c r="B16" s="7" t="s">
        <v>167</v>
      </c>
      <c r="C16" s="7" t="s">
        <v>6220</v>
      </c>
      <c r="D16" s="7" t="s">
        <v>6221</v>
      </c>
      <c r="E16" s="25" t="s">
        <v>6222</v>
      </c>
      <c r="F16" s="21">
        <v>8299612553</v>
      </c>
      <c r="G16" s="21"/>
      <c r="H16" s="7"/>
      <c r="I16" s="7"/>
      <c r="J16" s="95"/>
      <c r="K16" s="8" t="s">
        <v>2238</v>
      </c>
      <c r="L16" s="8" t="s">
        <v>2239</v>
      </c>
      <c r="M16" s="7">
        <v>11</v>
      </c>
      <c r="N16" s="44" t="s">
        <v>195</v>
      </c>
      <c r="O16" s="7"/>
      <c r="P16" s="7"/>
      <c r="Q16" s="7"/>
      <c r="R16" s="38"/>
      <c r="S16" s="38"/>
    </row>
    <row r="17" spans="1:19" ht="30.75">
      <c r="A17" s="44">
        <v>16</v>
      </c>
      <c r="B17" s="44" t="s">
        <v>2694</v>
      </c>
      <c r="C17" s="44" t="s">
        <v>6223</v>
      </c>
      <c r="D17" s="44" t="s">
        <v>6224</v>
      </c>
      <c r="E17" s="211" t="s">
        <v>6225</v>
      </c>
      <c r="F17" s="43">
        <v>9902761404</v>
      </c>
      <c r="G17" s="373"/>
      <c r="H17" s="44"/>
      <c r="I17" s="44"/>
      <c r="J17" s="374"/>
      <c r="K17" s="375">
        <v>46176</v>
      </c>
      <c r="L17" s="197">
        <v>46509</v>
      </c>
      <c r="M17" s="44">
        <v>11</v>
      </c>
      <c r="N17" s="44" t="s">
        <v>195</v>
      </c>
      <c r="O17" s="43"/>
      <c r="P17" s="43" t="s">
        <v>6226</v>
      </c>
      <c r="Q17" s="44"/>
      <c r="R17" s="45"/>
      <c r="S17" s="40"/>
    </row>
    <row r="18" spans="1:19" s="161" customFormat="1" ht="45.75">
      <c r="A18" s="161">
        <v>17</v>
      </c>
      <c r="B18" s="7" t="s">
        <v>167</v>
      </c>
      <c r="C18" s="161" t="s">
        <v>6227</v>
      </c>
      <c r="D18" s="161" t="s">
        <v>6228</v>
      </c>
      <c r="E18" s="147" t="s">
        <v>6229</v>
      </c>
      <c r="F18" s="161">
        <v>9645589870</v>
      </c>
      <c r="K18" s="161" t="s">
        <v>2469</v>
      </c>
      <c r="L18" s="161" t="s">
        <v>2470</v>
      </c>
      <c r="M18" s="161">
        <v>11</v>
      </c>
      <c r="N18" s="44" t="s">
        <v>195</v>
      </c>
    </row>
    <row r="19" spans="1:19" s="161" customFormat="1" ht="58.5" customHeight="1">
      <c r="A19" s="161">
        <v>18</v>
      </c>
      <c r="B19" s="7" t="s">
        <v>167</v>
      </c>
      <c r="C19" s="161" t="s">
        <v>6230</v>
      </c>
      <c r="D19" s="147" t="s">
        <v>6231</v>
      </c>
      <c r="E19" s="147" t="s">
        <v>6232</v>
      </c>
      <c r="F19" s="161">
        <v>9173945430</v>
      </c>
      <c r="G19" s="161" t="s">
        <v>6233</v>
      </c>
      <c r="K19" s="161" t="s">
        <v>3809</v>
      </c>
      <c r="L19" s="161" t="s">
        <v>2417</v>
      </c>
      <c r="M19" s="161">
        <v>11</v>
      </c>
      <c r="N19" s="7" t="s">
        <v>176</v>
      </c>
    </row>
    <row r="20" spans="1:19" s="161" customFormat="1" ht="15" customHeight="1">
      <c r="A20" s="161">
        <v>19</v>
      </c>
    </row>
    <row r="21" spans="1:19" s="161" customFormat="1" ht="15" customHeight="1"/>
    <row r="22" spans="1:19" s="161" customFormat="1" ht="15" customHeight="1"/>
    <row r="23" spans="1:19" s="161" customFormat="1" ht="15" customHeight="1"/>
    <row r="24" spans="1:19" s="161" customFormat="1" ht="15" customHeight="1"/>
    <row r="25" spans="1:19" s="161" customFormat="1" ht="15" customHeight="1"/>
    <row r="26" spans="1:19" s="161" customFormat="1" ht="15" customHeight="1"/>
    <row r="27" spans="1:19" s="161" customFormat="1" ht="15" customHeight="1"/>
    <row r="28" spans="1:19" s="161" customFormat="1" ht="15" customHeight="1"/>
    <row r="29" spans="1:19" s="161" customFormat="1" ht="15" customHeight="1"/>
    <row r="30" spans="1:19" s="161" customFormat="1" ht="15" customHeight="1"/>
    <row r="31" spans="1:19" s="161" customFormat="1" ht="15" customHeight="1"/>
    <row r="32" spans="1:19" s="161" customFormat="1" ht="15" customHeight="1"/>
  </sheetData>
  <dataValidations count="3">
    <dataValidation type="list" allowBlank="1" showInputMessage="1" showErrorMessage="1" sqref="N2:N4 N7 N9:N15 N19" xr:uid="{8DB66B4B-321B-4A24-ABBD-9A06C1EE3C76}">
      <formula1>$Z$2:$Z$23</formula1>
    </dataValidation>
    <dataValidation type="list" allowBlank="1" showInputMessage="1" showErrorMessage="1" sqref="N1" xr:uid="{A3D44C3D-719A-4262-B619-12F5456CBFF9}">
      <formula1>$X$2:$X$23</formula1>
    </dataValidation>
    <dataValidation type="list" allowBlank="1" showInputMessage="1" showErrorMessage="1" sqref="N5 N8 N16:N18" xr:uid="{12401935-8463-4522-913C-F30B9DF69B51}">
      <formula1>$Y$2:$Y$17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6F82-DB64-4C3B-BB57-EAFCC35153BA}">
  <dimension ref="A1:W62"/>
  <sheetViews>
    <sheetView workbookViewId="0">
      <selection activeCell="D4" sqref="D4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22.140625" style="57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2.5703125" customWidth="1"/>
    <col min="14" max="14" width="10.28515625" customWidth="1"/>
    <col min="15" max="15" width="16.42578125" customWidth="1"/>
    <col min="16" max="16" width="10.28515625" customWidth="1"/>
    <col min="17" max="17" width="25.85546875" customWidth="1"/>
    <col min="23" max="23" width="23.7109375" bestFit="1" customWidth="1"/>
  </cols>
  <sheetData>
    <row r="1" spans="1:23" ht="45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2"/>
      <c r="Q1" s="202" t="s">
        <v>164</v>
      </c>
      <c r="R1" s="18" t="s">
        <v>5691</v>
      </c>
      <c r="S1" s="18" t="s">
        <v>3886</v>
      </c>
    </row>
    <row r="2" spans="1:23" ht="38.450000000000003" customHeight="1">
      <c r="A2" s="7">
        <v>1</v>
      </c>
      <c r="B2" s="7" t="s">
        <v>227</v>
      </c>
      <c r="C2" s="85" t="s">
        <v>6234</v>
      </c>
      <c r="D2" s="55" t="s">
        <v>6235</v>
      </c>
      <c r="E2" s="80" t="s">
        <v>6236</v>
      </c>
      <c r="F2" s="21">
        <v>8777534895</v>
      </c>
      <c r="G2" s="21" t="s">
        <v>6237</v>
      </c>
      <c r="H2" s="7" t="s">
        <v>6238</v>
      </c>
      <c r="I2" s="7" t="s">
        <v>6239</v>
      </c>
      <c r="J2" s="7" t="s">
        <v>425</v>
      </c>
      <c r="K2" s="81">
        <v>6289645039</v>
      </c>
      <c r="L2" s="8">
        <v>45694</v>
      </c>
      <c r="M2" s="8">
        <v>46028</v>
      </c>
      <c r="N2" s="7">
        <v>11</v>
      </c>
      <c r="O2" s="44" t="s">
        <v>195</v>
      </c>
      <c r="P2" s="7"/>
      <c r="Q2" s="201"/>
      <c r="S2" t="s">
        <v>5699</v>
      </c>
      <c r="U2">
        <v>100</v>
      </c>
    </row>
    <row r="3" spans="1:23" ht="33">
      <c r="A3" s="7">
        <v>2</v>
      </c>
      <c r="B3" s="7" t="s">
        <v>227</v>
      </c>
      <c r="C3" s="7" t="s">
        <v>6240</v>
      </c>
      <c r="D3" s="7" t="s">
        <v>6241</v>
      </c>
      <c r="E3" s="20" t="s">
        <v>6242</v>
      </c>
      <c r="F3" s="21">
        <v>8637094710</v>
      </c>
      <c r="G3" s="21" t="s">
        <v>6243</v>
      </c>
      <c r="H3" s="7" t="s">
        <v>290</v>
      </c>
      <c r="I3" s="7" t="s">
        <v>6244</v>
      </c>
      <c r="J3" s="7" t="s">
        <v>425</v>
      </c>
      <c r="K3" s="17">
        <v>6289645039</v>
      </c>
      <c r="L3" s="8">
        <v>45982</v>
      </c>
      <c r="M3" s="8">
        <v>46316</v>
      </c>
      <c r="N3" s="7">
        <v>11</v>
      </c>
      <c r="O3" s="7" t="s">
        <v>176</v>
      </c>
      <c r="P3" s="7"/>
      <c r="Q3" s="103"/>
    </row>
    <row r="4" spans="1:23" ht="15.75">
      <c r="A4" s="23"/>
      <c r="B4" s="24"/>
      <c r="C4" s="7"/>
      <c r="D4" s="7"/>
      <c r="E4" s="25"/>
      <c r="F4" s="22"/>
      <c r="G4" s="48"/>
      <c r="H4" s="7"/>
      <c r="I4" s="7"/>
      <c r="J4" s="7"/>
      <c r="K4" s="26"/>
      <c r="L4" s="27"/>
      <c r="M4" s="27"/>
      <c r="N4" s="22"/>
      <c r="O4" s="7"/>
      <c r="P4" s="22"/>
      <c r="Q4" s="9"/>
    </row>
    <row r="5" spans="1:23">
      <c r="A5" s="23"/>
      <c r="B5" s="24"/>
      <c r="C5" s="22"/>
      <c r="D5" s="7"/>
      <c r="E5" s="25"/>
      <c r="F5" s="22"/>
      <c r="G5" s="22"/>
      <c r="H5" s="22"/>
      <c r="I5" s="7"/>
      <c r="J5" s="7"/>
      <c r="K5" s="17"/>
      <c r="L5" s="27"/>
      <c r="M5" s="27"/>
      <c r="N5" s="22"/>
      <c r="O5" s="7"/>
      <c r="P5" s="22"/>
      <c r="Q5" s="9"/>
    </row>
    <row r="6" spans="1:23" s="29" customFormat="1">
      <c r="A6" s="23"/>
      <c r="B6" s="24"/>
      <c r="C6" s="22"/>
      <c r="D6" s="7"/>
      <c r="E6" s="25"/>
      <c r="F6" s="22"/>
      <c r="G6" s="22"/>
      <c r="H6" s="22"/>
      <c r="I6" s="22"/>
      <c r="J6" s="7"/>
      <c r="K6" s="36"/>
      <c r="L6" s="27"/>
      <c r="M6" s="27"/>
      <c r="N6" s="22"/>
      <c r="O6" s="7"/>
      <c r="P6" s="22"/>
      <c r="Q6" s="9"/>
    </row>
    <row r="7" spans="1:23">
      <c r="A7" s="23"/>
      <c r="B7" s="24"/>
      <c r="C7" s="22"/>
      <c r="D7" s="7"/>
      <c r="E7" s="25"/>
      <c r="F7" s="10"/>
      <c r="G7" s="10"/>
      <c r="H7" s="10"/>
      <c r="I7" s="22"/>
      <c r="J7" s="7"/>
      <c r="K7" s="26"/>
      <c r="L7" s="27"/>
      <c r="M7" s="27"/>
      <c r="N7" s="22"/>
      <c r="O7" s="7"/>
      <c r="P7" s="22"/>
      <c r="Q7" s="9"/>
      <c r="W7" s="16"/>
    </row>
    <row r="8" spans="1:23">
      <c r="A8" s="22"/>
      <c r="B8" s="22"/>
      <c r="C8" s="22"/>
      <c r="D8" s="7"/>
      <c r="E8" s="31"/>
      <c r="F8" s="22"/>
      <c r="G8" s="22"/>
      <c r="H8" s="22"/>
      <c r="I8" s="22"/>
      <c r="J8" s="7"/>
      <c r="K8" s="22"/>
      <c r="L8" s="27"/>
      <c r="M8" s="27"/>
      <c r="N8" s="22"/>
      <c r="O8" s="22"/>
      <c r="P8" s="22"/>
      <c r="Q8" s="30"/>
    </row>
    <row r="9" spans="1:23">
      <c r="A9" s="22"/>
      <c r="B9" s="22"/>
      <c r="C9" s="7"/>
      <c r="D9" s="7"/>
      <c r="E9" s="33"/>
      <c r="F9" s="22"/>
      <c r="G9" s="22"/>
      <c r="H9" s="22"/>
      <c r="I9" s="22"/>
      <c r="J9" s="7"/>
      <c r="K9" s="36"/>
      <c r="L9" s="27"/>
      <c r="M9" s="27"/>
      <c r="N9" s="22"/>
      <c r="O9" s="7"/>
      <c r="P9" s="22"/>
      <c r="Q9" s="9"/>
    </row>
    <row r="10" spans="1:23" ht="15.75">
      <c r="A10" s="22"/>
      <c r="B10" s="22"/>
      <c r="C10" s="7"/>
      <c r="D10" s="7"/>
      <c r="E10" s="32"/>
      <c r="F10" s="49"/>
      <c r="G10" s="7"/>
      <c r="H10" s="7"/>
      <c r="I10" s="7"/>
      <c r="J10" s="7"/>
      <c r="K10" s="36"/>
      <c r="L10" s="27"/>
      <c r="M10" s="27"/>
      <c r="N10" s="22"/>
      <c r="O10" s="7"/>
      <c r="P10" s="22"/>
      <c r="Q10" s="35"/>
    </row>
    <row r="11" spans="1:23">
      <c r="A11" s="22"/>
      <c r="B11" s="22"/>
      <c r="C11" s="22"/>
      <c r="D11" s="7"/>
      <c r="E11" s="33"/>
      <c r="F11" s="7"/>
      <c r="G11" s="7"/>
      <c r="H11" s="7"/>
      <c r="I11" s="7"/>
      <c r="J11" s="7"/>
      <c r="K11" s="36"/>
      <c r="L11" s="27"/>
      <c r="M11" s="27"/>
      <c r="N11" s="22"/>
      <c r="O11" s="7"/>
      <c r="P11" s="22"/>
      <c r="Q11" s="35"/>
    </row>
    <row r="12" spans="1:23" s="29" customFormat="1">
      <c r="A12" s="23"/>
      <c r="B12" s="24"/>
      <c r="C12" s="22"/>
      <c r="D12" s="7"/>
      <c r="E12" s="31"/>
      <c r="F12" s="22"/>
      <c r="G12" s="22"/>
      <c r="H12" s="22"/>
      <c r="I12" s="22"/>
      <c r="J12" s="7"/>
      <c r="K12" s="17"/>
      <c r="L12" s="27"/>
      <c r="M12" s="27"/>
      <c r="N12" s="22"/>
      <c r="O12" s="7"/>
      <c r="P12" s="22"/>
      <c r="Q12" s="9"/>
    </row>
    <row r="13" spans="1:23" s="29" customFormat="1">
      <c r="A13" s="23"/>
      <c r="B13" s="24"/>
      <c r="C13" s="22"/>
      <c r="D13" s="7"/>
      <c r="E13" s="31"/>
      <c r="F13" s="22"/>
      <c r="G13" s="22"/>
      <c r="H13" s="22"/>
      <c r="I13" s="7"/>
      <c r="J13" s="7"/>
      <c r="K13" s="36"/>
      <c r="L13" s="27"/>
      <c r="M13" s="27"/>
      <c r="N13" s="22"/>
      <c r="O13" s="7"/>
      <c r="P13" s="22"/>
      <c r="Q13" s="9"/>
    </row>
    <row r="14" spans="1:23" s="29" customFormat="1">
      <c r="A14" s="23"/>
      <c r="B14" s="24"/>
      <c r="C14" s="22"/>
      <c r="D14" s="7"/>
      <c r="E14" s="31"/>
      <c r="F14" s="22"/>
      <c r="G14" s="22"/>
      <c r="H14" s="22"/>
      <c r="I14" s="22"/>
      <c r="J14" s="7"/>
      <c r="K14" s="17"/>
      <c r="L14" s="27"/>
      <c r="M14" s="27"/>
      <c r="N14" s="22"/>
      <c r="O14" s="7"/>
      <c r="P14" s="22"/>
      <c r="Q14" s="9"/>
    </row>
    <row r="15" spans="1:23" s="29" customFormat="1">
      <c r="A15" s="23"/>
      <c r="B15" s="24"/>
      <c r="C15" s="22"/>
      <c r="D15" s="7"/>
      <c r="E15" s="31"/>
      <c r="F15" s="22"/>
      <c r="G15" s="22"/>
      <c r="H15" s="22"/>
      <c r="I15" s="7"/>
      <c r="J15" s="7"/>
      <c r="K15" s="36"/>
      <c r="L15" s="27"/>
      <c r="M15" s="27"/>
      <c r="N15" s="22"/>
      <c r="O15" s="7"/>
      <c r="P15" s="22"/>
      <c r="Q15" s="9"/>
    </row>
    <row r="16" spans="1:23" s="29" customFormat="1">
      <c r="A16" s="23"/>
      <c r="B16" s="24"/>
      <c r="C16" s="38"/>
      <c r="D16" s="15"/>
      <c r="E16" s="15"/>
      <c r="F16" s="22"/>
      <c r="G16" s="22"/>
      <c r="H16" s="22"/>
      <c r="I16" s="22"/>
      <c r="J16" s="22"/>
      <c r="K16" s="38"/>
      <c r="L16" s="37"/>
      <c r="M16" s="37"/>
      <c r="N16" s="22"/>
      <c r="O16" s="7"/>
      <c r="P16" s="22"/>
      <c r="Q16" s="30"/>
    </row>
    <row r="17" spans="1:18">
      <c r="A17" s="39"/>
      <c r="B17" s="24"/>
      <c r="C17" s="45"/>
      <c r="D17" s="46"/>
      <c r="E17" s="46"/>
      <c r="F17" s="43"/>
      <c r="G17" s="43"/>
      <c r="H17" s="44"/>
      <c r="I17" s="7"/>
      <c r="J17" s="7"/>
      <c r="K17" s="36"/>
      <c r="L17" s="42"/>
      <c r="M17" s="42"/>
      <c r="N17" s="43"/>
      <c r="O17" s="7"/>
      <c r="P17" s="22"/>
      <c r="Q17" s="9"/>
    </row>
    <row r="18" spans="1:18">
      <c r="A18" s="39"/>
      <c r="B18" s="52"/>
      <c r="C18" s="45"/>
      <c r="D18" s="46"/>
      <c r="E18" s="46"/>
      <c r="F18" s="43"/>
      <c r="G18" s="43"/>
      <c r="H18" s="44"/>
      <c r="I18" s="22"/>
      <c r="J18" s="7"/>
      <c r="K18" s="17"/>
      <c r="L18" s="42"/>
      <c r="M18" s="42"/>
      <c r="N18" s="43"/>
      <c r="O18" s="7"/>
      <c r="P18" s="22"/>
      <c r="Q18" s="9"/>
    </row>
    <row r="19" spans="1:18">
      <c r="A19" s="39"/>
      <c r="B19" s="52"/>
      <c r="C19" s="45"/>
      <c r="D19" s="46"/>
      <c r="E19" s="46"/>
      <c r="F19" s="43"/>
      <c r="G19" s="43"/>
      <c r="H19" s="44"/>
      <c r="I19" s="22"/>
      <c r="J19" s="7"/>
      <c r="K19" s="17"/>
      <c r="L19" s="42"/>
      <c r="M19" s="42"/>
      <c r="N19" s="43"/>
      <c r="O19" s="7"/>
      <c r="P19" s="22"/>
      <c r="Q19" s="9"/>
    </row>
    <row r="20" spans="1:18">
      <c r="A20" s="39"/>
      <c r="B20" s="52"/>
      <c r="C20" s="46"/>
      <c r="D20" s="44"/>
      <c r="E20" s="46"/>
      <c r="F20" s="43"/>
      <c r="G20" s="43"/>
      <c r="H20" s="44"/>
      <c r="I20" s="44"/>
      <c r="J20" s="44"/>
      <c r="K20" s="53"/>
      <c r="L20" s="42"/>
      <c r="M20" s="42"/>
      <c r="N20" s="43"/>
      <c r="O20" s="7"/>
      <c r="P20" s="22"/>
      <c r="Q20" s="30"/>
    </row>
    <row r="21" spans="1:18">
      <c r="A21" s="39"/>
      <c r="B21" s="52"/>
      <c r="C21" s="45"/>
      <c r="D21" s="46"/>
      <c r="E21" s="41"/>
      <c r="F21" s="45"/>
      <c r="G21" s="45"/>
      <c r="H21" s="43"/>
      <c r="I21" s="22"/>
      <c r="J21" s="7"/>
      <c r="K21" s="17"/>
      <c r="L21" s="42"/>
      <c r="M21" s="42"/>
      <c r="N21" s="43"/>
      <c r="O21" s="7"/>
      <c r="P21" s="22"/>
      <c r="Q21" s="54"/>
    </row>
    <row r="22" spans="1:18">
      <c r="A22" s="39"/>
      <c r="B22" s="52"/>
      <c r="C22" s="40"/>
      <c r="D22" s="41"/>
      <c r="E22" s="41"/>
      <c r="F22" s="50"/>
      <c r="G22" s="50"/>
      <c r="H22" s="43"/>
      <c r="I22" s="22"/>
      <c r="J22" s="7"/>
      <c r="K22" s="17"/>
      <c r="L22" s="42"/>
      <c r="M22" s="42"/>
      <c r="N22" s="43"/>
      <c r="O22" s="7"/>
      <c r="P22" s="22"/>
      <c r="Q22" s="54"/>
    </row>
    <row r="23" spans="1:18">
      <c r="A23" s="61"/>
      <c r="B23" s="62"/>
      <c r="C23" s="63"/>
      <c r="D23" s="64"/>
      <c r="E23" s="65"/>
      <c r="F23" s="66"/>
      <c r="G23" s="66"/>
      <c r="H23" s="66"/>
      <c r="I23" s="68"/>
      <c r="J23" s="67"/>
      <c r="K23" s="69"/>
      <c r="L23" s="70"/>
      <c r="M23" s="70"/>
      <c r="N23" s="66"/>
      <c r="O23" s="71"/>
      <c r="P23" s="68"/>
      <c r="Q23" s="72"/>
      <c r="R23" s="73"/>
    </row>
    <row r="24" spans="1:18">
      <c r="A24" s="39"/>
      <c r="B24" s="52"/>
      <c r="C24" s="59"/>
      <c r="D24" s="58"/>
      <c r="E24" s="41"/>
      <c r="F24" s="50"/>
      <c r="G24" s="50"/>
      <c r="H24" s="43"/>
      <c r="I24" s="22"/>
      <c r="J24" s="7"/>
      <c r="K24" s="17"/>
      <c r="L24" s="42"/>
      <c r="M24" s="42"/>
      <c r="N24" s="43"/>
      <c r="O24" s="44"/>
      <c r="P24" s="22"/>
      <c r="Q24" s="54"/>
    </row>
    <row r="25" spans="1:18">
      <c r="A25" s="39"/>
      <c r="B25" s="52"/>
      <c r="C25" s="45"/>
      <c r="D25" s="58"/>
      <c r="E25" s="41"/>
      <c r="F25" s="50"/>
      <c r="G25" s="50"/>
      <c r="H25" s="43"/>
      <c r="I25" s="7"/>
      <c r="J25" s="7"/>
      <c r="K25" s="36"/>
      <c r="L25" s="42"/>
      <c r="M25" s="42"/>
      <c r="N25" s="43"/>
      <c r="O25" s="44"/>
      <c r="P25" s="22"/>
      <c r="Q25" s="54"/>
    </row>
    <row r="26" spans="1:18">
      <c r="A26" s="39"/>
      <c r="B26" s="52"/>
      <c r="C26" s="45"/>
      <c r="D26" s="46"/>
      <c r="E26" s="41"/>
      <c r="F26" s="50"/>
      <c r="G26" s="50"/>
      <c r="H26" s="43"/>
      <c r="I26" s="7"/>
      <c r="J26" s="7"/>
      <c r="K26" s="36"/>
      <c r="L26" s="42"/>
      <c r="M26" s="42"/>
      <c r="N26" s="43"/>
      <c r="O26" s="44"/>
      <c r="P26" s="22"/>
      <c r="Q26" s="54"/>
    </row>
    <row r="27" spans="1:18">
      <c r="A27" s="39"/>
      <c r="B27" s="52"/>
      <c r="C27" s="45"/>
      <c r="D27" s="46"/>
      <c r="E27" s="41"/>
      <c r="F27" s="43"/>
      <c r="G27" s="43"/>
      <c r="H27" s="43"/>
      <c r="I27" s="22"/>
      <c r="J27" s="7"/>
      <c r="K27" s="17"/>
      <c r="L27" s="42"/>
      <c r="M27" s="42"/>
      <c r="N27" s="43"/>
      <c r="O27" s="44"/>
      <c r="P27" s="22"/>
      <c r="Q27" s="54"/>
    </row>
    <row r="28" spans="1:18">
      <c r="A28" s="39"/>
      <c r="B28" s="52"/>
      <c r="C28" s="45"/>
      <c r="D28" s="46"/>
      <c r="E28" s="41"/>
      <c r="F28" s="43"/>
      <c r="G28" s="43"/>
      <c r="H28" s="43"/>
      <c r="I28" s="7"/>
      <c r="J28" s="7"/>
      <c r="K28" s="36"/>
      <c r="L28" s="42"/>
      <c r="M28" s="42"/>
      <c r="N28" s="43"/>
      <c r="O28" s="44"/>
      <c r="P28" s="22"/>
      <c r="Q28" s="54"/>
    </row>
    <row r="29" spans="1:18">
      <c r="A29" s="39"/>
      <c r="B29" s="52"/>
      <c r="C29" s="45"/>
      <c r="D29" s="46"/>
      <c r="E29" s="41"/>
      <c r="F29" s="43"/>
      <c r="G29" s="43"/>
      <c r="H29" s="43"/>
      <c r="I29" s="7"/>
      <c r="J29" s="7"/>
      <c r="K29" s="36"/>
      <c r="L29" s="42"/>
      <c r="M29" s="42"/>
      <c r="N29" s="43"/>
      <c r="O29" s="44"/>
      <c r="P29" s="22"/>
      <c r="Q29" s="54"/>
    </row>
    <row r="30" spans="1:18">
      <c r="A30" s="39"/>
      <c r="B30" s="52"/>
      <c r="C30" s="46"/>
      <c r="D30" s="46"/>
      <c r="E30" s="41"/>
      <c r="F30" s="43"/>
      <c r="G30" s="43"/>
      <c r="H30" s="43"/>
      <c r="I30" s="7"/>
      <c r="J30" s="7"/>
      <c r="K30" s="36"/>
      <c r="L30" s="42"/>
      <c r="M30" s="42"/>
      <c r="N30" s="43"/>
      <c r="O30" s="44"/>
      <c r="P30" s="22"/>
      <c r="Q30" s="54"/>
      <c r="R30" s="75"/>
    </row>
    <row r="31" spans="1:18">
      <c r="A31" s="39"/>
      <c r="B31" s="52"/>
      <c r="C31" s="45"/>
      <c r="D31" s="46"/>
      <c r="E31" s="41"/>
      <c r="F31" s="43"/>
      <c r="G31" s="43"/>
      <c r="H31" s="43"/>
      <c r="I31" s="7"/>
      <c r="J31" s="7"/>
      <c r="K31" s="36"/>
      <c r="L31" s="42"/>
      <c r="M31" s="42"/>
      <c r="N31" s="43"/>
      <c r="O31" s="44"/>
      <c r="P31" s="22"/>
      <c r="Q31" s="54"/>
    </row>
    <row r="32" spans="1:18">
      <c r="A32" s="39"/>
      <c r="B32" s="52"/>
      <c r="C32" s="46"/>
      <c r="D32" s="46"/>
      <c r="E32" s="41"/>
      <c r="F32" s="43"/>
      <c r="G32" s="43"/>
      <c r="H32" s="43"/>
      <c r="I32" s="7"/>
      <c r="J32" s="7"/>
      <c r="K32" s="36"/>
      <c r="L32" s="42"/>
      <c r="M32" s="42"/>
      <c r="N32" s="43"/>
      <c r="O32" s="44"/>
      <c r="P32" s="22"/>
      <c r="Q32" s="54"/>
    </row>
    <row r="33" spans="1:17">
      <c r="A33" s="39"/>
      <c r="B33" s="52"/>
      <c r="C33" s="46"/>
      <c r="D33" s="45"/>
      <c r="E33" s="46"/>
      <c r="F33" s="43"/>
      <c r="G33" s="43"/>
      <c r="H33" s="43"/>
      <c r="I33" s="7"/>
      <c r="J33" s="7"/>
      <c r="K33" s="36"/>
      <c r="L33" s="42"/>
      <c r="M33" s="42"/>
      <c r="N33" s="43"/>
      <c r="O33" s="44"/>
      <c r="P33" s="22"/>
      <c r="Q33" s="54"/>
    </row>
    <row r="34" spans="1:17">
      <c r="A34" s="39"/>
      <c r="B34" s="52"/>
      <c r="C34" s="45"/>
      <c r="D34" s="46"/>
      <c r="E34" s="41"/>
      <c r="F34" s="43"/>
      <c r="G34" s="43"/>
      <c r="H34" s="43"/>
      <c r="I34" s="7"/>
      <c r="J34" s="7"/>
      <c r="K34" s="36"/>
      <c r="L34" s="42"/>
      <c r="M34" s="42"/>
      <c r="N34" s="43"/>
      <c r="O34" s="44"/>
      <c r="P34" s="22"/>
      <c r="Q34" s="54"/>
    </row>
    <row r="35" spans="1:17">
      <c r="A35" s="39"/>
      <c r="B35" s="52"/>
      <c r="C35" s="45"/>
      <c r="D35" s="46"/>
      <c r="E35" s="41"/>
      <c r="F35" s="43"/>
      <c r="G35" s="43"/>
      <c r="H35" s="43"/>
      <c r="I35" s="7"/>
      <c r="J35" s="7"/>
      <c r="K35" s="36"/>
      <c r="L35" s="42"/>
      <c r="M35" s="42"/>
      <c r="N35" s="43"/>
      <c r="O35" s="44"/>
      <c r="P35" s="22"/>
      <c r="Q35" s="54"/>
    </row>
    <row r="36" spans="1:17">
      <c r="A36" s="39"/>
      <c r="B36" s="52"/>
      <c r="C36" s="45"/>
      <c r="D36" s="46"/>
      <c r="E36" s="41"/>
      <c r="F36" s="43"/>
      <c r="G36" s="43"/>
      <c r="H36" s="43"/>
      <c r="I36" s="7"/>
      <c r="J36" s="7"/>
      <c r="K36" s="36"/>
      <c r="L36" s="42"/>
      <c r="M36" s="42"/>
      <c r="N36" s="43"/>
      <c r="O36" s="44"/>
      <c r="P36" s="22"/>
      <c r="Q36" s="54"/>
    </row>
    <row r="37" spans="1:17">
      <c r="A37" s="39"/>
      <c r="B37" s="52"/>
      <c r="C37" s="45"/>
      <c r="D37" s="46"/>
      <c r="E37" s="46"/>
      <c r="F37" s="43"/>
      <c r="G37" s="43"/>
      <c r="H37" s="43"/>
      <c r="I37" s="7"/>
      <c r="J37" s="7"/>
      <c r="K37" s="36"/>
      <c r="L37" s="42"/>
      <c r="M37" s="42"/>
      <c r="N37" s="43"/>
      <c r="O37" s="44"/>
      <c r="P37" s="22"/>
      <c r="Q37" s="54"/>
    </row>
    <row r="38" spans="1:17">
      <c r="A38" s="39"/>
      <c r="B38" s="52"/>
      <c r="C38" s="76"/>
      <c r="D38" s="46"/>
      <c r="E38" s="46"/>
      <c r="G38" s="43"/>
      <c r="H38" s="43"/>
      <c r="I38" s="7"/>
      <c r="J38" s="7"/>
      <c r="K38" s="36"/>
      <c r="L38" s="42"/>
      <c r="M38" s="42"/>
      <c r="N38" s="43"/>
      <c r="O38" s="44"/>
      <c r="P38" s="22"/>
      <c r="Q38" s="54"/>
    </row>
    <row r="39" spans="1:17">
      <c r="A39" s="39"/>
      <c r="B39" s="52"/>
      <c r="C39" s="76"/>
      <c r="D39" s="46"/>
      <c r="E39" s="46"/>
      <c r="F39" s="43"/>
      <c r="G39" s="43"/>
      <c r="H39" s="43"/>
      <c r="I39" s="7"/>
      <c r="J39" s="7"/>
      <c r="K39" s="36"/>
      <c r="L39" s="42"/>
      <c r="M39" s="42"/>
      <c r="N39" s="43"/>
      <c r="O39" s="44"/>
      <c r="P39" s="22"/>
      <c r="Q39" s="54"/>
    </row>
    <row r="40" spans="1:17">
      <c r="A40" s="39"/>
      <c r="B40" s="52"/>
      <c r="C40" s="45"/>
      <c r="D40" s="46"/>
      <c r="E40" s="46"/>
      <c r="F40" s="43"/>
      <c r="G40" s="43"/>
      <c r="H40" s="43"/>
      <c r="I40" s="7"/>
      <c r="J40" s="7"/>
      <c r="K40" s="36"/>
      <c r="L40" s="42"/>
      <c r="M40" s="42"/>
      <c r="N40" s="43"/>
      <c r="O40" s="44"/>
      <c r="P40" s="22"/>
      <c r="Q40" s="54"/>
    </row>
    <row r="41" spans="1:17">
      <c r="A41" s="39"/>
      <c r="B41" s="52"/>
      <c r="C41" s="45"/>
      <c r="D41" s="46"/>
      <c r="E41" s="46"/>
      <c r="F41" s="43"/>
      <c r="G41" s="43"/>
      <c r="H41" s="43"/>
      <c r="I41" s="44"/>
      <c r="J41" s="7"/>
      <c r="K41" s="53"/>
      <c r="L41" s="42"/>
      <c r="M41" s="42"/>
      <c r="N41" s="43"/>
      <c r="O41" s="44"/>
      <c r="P41" s="22"/>
      <c r="Q41" s="54"/>
    </row>
    <row r="42" spans="1:17">
      <c r="A42" s="39"/>
      <c r="B42" s="52"/>
      <c r="C42" s="45"/>
      <c r="D42" s="46"/>
      <c r="E42" s="46"/>
      <c r="F42" s="43"/>
      <c r="G42" s="43"/>
      <c r="H42" s="43"/>
      <c r="I42" s="44"/>
      <c r="J42" s="7"/>
      <c r="K42" s="53"/>
      <c r="L42" s="42"/>
      <c r="M42" s="42"/>
      <c r="N42" s="43"/>
      <c r="O42" s="44"/>
      <c r="P42" s="22"/>
      <c r="Q42" s="54"/>
    </row>
    <row r="43" spans="1:17">
      <c r="A43" s="39"/>
      <c r="B43" s="52"/>
      <c r="C43" s="45"/>
      <c r="D43" s="46"/>
      <c r="E43" s="46"/>
      <c r="F43" s="43"/>
      <c r="G43" s="43"/>
      <c r="H43" s="43"/>
      <c r="I43" s="44"/>
      <c r="J43" s="7"/>
      <c r="K43" s="77"/>
      <c r="L43" s="42"/>
      <c r="M43" s="42"/>
      <c r="N43" s="43"/>
      <c r="O43" s="44"/>
      <c r="P43" s="22"/>
      <c r="Q43" s="54"/>
    </row>
    <row r="44" spans="1:17">
      <c r="A44" s="39"/>
      <c r="B44" s="52"/>
      <c r="C44" s="45"/>
      <c r="D44" s="46"/>
      <c r="E44" s="46"/>
      <c r="F44" s="43"/>
      <c r="G44" s="43"/>
      <c r="H44" s="43"/>
      <c r="I44" s="44"/>
      <c r="J44" s="7"/>
      <c r="K44" s="53"/>
      <c r="L44" s="42"/>
      <c r="M44" s="42"/>
      <c r="N44" s="43"/>
      <c r="O44" s="44"/>
      <c r="P44" s="22"/>
      <c r="Q44" s="54"/>
    </row>
    <row r="45" spans="1:17">
      <c r="A45" s="39"/>
      <c r="B45" s="52"/>
      <c r="C45" s="45"/>
      <c r="D45" s="46"/>
      <c r="E45" s="46"/>
      <c r="F45" s="43"/>
      <c r="G45" s="43"/>
      <c r="H45" s="43"/>
      <c r="I45" s="44"/>
      <c r="J45" s="44"/>
      <c r="K45" s="53"/>
      <c r="L45" s="42"/>
      <c r="M45" s="42"/>
      <c r="N45" s="43"/>
      <c r="O45" s="44"/>
      <c r="P45" s="43"/>
      <c r="Q45" s="54"/>
    </row>
    <row r="46" spans="1:17">
      <c r="A46" s="39"/>
      <c r="B46" s="52"/>
      <c r="C46" s="45"/>
      <c r="D46" s="46"/>
      <c r="E46" s="41"/>
      <c r="F46" s="43"/>
      <c r="G46" s="43"/>
      <c r="H46" s="43"/>
      <c r="I46" s="43"/>
      <c r="J46" s="44"/>
      <c r="K46" s="74"/>
      <c r="L46" s="42"/>
      <c r="M46" s="42"/>
      <c r="N46" s="43"/>
      <c r="O46" s="44"/>
      <c r="P46" s="43"/>
      <c r="Q46" s="54"/>
    </row>
    <row r="47" spans="1:17">
      <c r="A47" s="39"/>
      <c r="B47" s="52"/>
      <c r="C47" s="45"/>
      <c r="D47" s="46"/>
      <c r="E47" s="41"/>
      <c r="F47" s="43"/>
      <c r="G47" s="43"/>
      <c r="H47" s="43"/>
      <c r="I47" s="43"/>
      <c r="J47" s="44"/>
      <c r="K47" s="74"/>
      <c r="L47" s="42"/>
      <c r="M47" s="42"/>
      <c r="N47" s="43"/>
      <c r="O47" s="44"/>
      <c r="P47" s="43"/>
      <c r="Q47" s="54"/>
    </row>
    <row r="48" spans="1:17">
      <c r="A48" s="39"/>
      <c r="B48" s="52"/>
      <c r="C48" s="45"/>
      <c r="D48" s="46"/>
      <c r="E48" s="41"/>
      <c r="F48" s="43"/>
      <c r="G48" s="43"/>
      <c r="H48" s="43"/>
      <c r="I48" s="43"/>
      <c r="J48" s="44"/>
      <c r="K48" s="74"/>
      <c r="L48" s="42"/>
      <c r="M48" s="42"/>
      <c r="N48" s="43"/>
      <c r="O48" s="44"/>
      <c r="P48" s="43"/>
      <c r="Q48" s="54"/>
    </row>
    <row r="49" spans="1:21">
      <c r="A49" s="39"/>
      <c r="B49" s="52"/>
      <c r="C49" s="45"/>
      <c r="D49" s="46"/>
      <c r="E49" s="41"/>
      <c r="F49" s="43"/>
      <c r="G49" s="43"/>
      <c r="H49" s="43"/>
      <c r="I49" s="43"/>
      <c r="J49" s="44"/>
      <c r="K49" s="74"/>
      <c r="L49" s="42"/>
      <c r="M49" s="42"/>
      <c r="N49" s="43"/>
      <c r="O49" s="44"/>
      <c r="P49" s="43"/>
      <c r="Q49" s="54"/>
    </row>
    <row r="50" spans="1:21">
      <c r="A50" s="39"/>
      <c r="B50" s="52"/>
      <c r="C50" s="45"/>
      <c r="D50" s="46"/>
      <c r="E50" s="41"/>
      <c r="F50" s="43"/>
      <c r="G50" s="43"/>
      <c r="H50" s="43"/>
      <c r="I50" s="43"/>
      <c r="J50" s="44"/>
      <c r="K50" s="74"/>
      <c r="L50" s="42"/>
      <c r="M50" s="42"/>
      <c r="N50" s="43"/>
      <c r="O50" s="44"/>
      <c r="P50" s="43"/>
      <c r="Q50" s="54"/>
    </row>
    <row r="51" spans="1:21">
      <c r="A51" s="39">
        <v>40</v>
      </c>
      <c r="B51" s="52"/>
      <c r="C51" s="45"/>
      <c r="D51" s="46"/>
      <c r="E51" s="41"/>
      <c r="F51" s="43"/>
      <c r="G51" s="43"/>
      <c r="H51" s="43"/>
      <c r="I51" s="43"/>
      <c r="J51" s="44"/>
      <c r="K51" s="74"/>
      <c r="L51" s="42"/>
      <c r="M51" s="42"/>
      <c r="N51" s="43"/>
      <c r="O51" s="44"/>
      <c r="P51" s="43"/>
      <c r="Q51" s="54"/>
    </row>
    <row r="52" spans="1:21">
      <c r="A52" s="39">
        <v>41</v>
      </c>
      <c r="B52" s="13"/>
      <c r="C52" s="4"/>
      <c r="D52" s="56"/>
      <c r="E52" s="4"/>
      <c r="F52" s="51"/>
      <c r="G52" s="51"/>
      <c r="H52" s="51"/>
      <c r="I52" s="51"/>
      <c r="J52" s="51"/>
      <c r="K52" s="4"/>
      <c r="L52" s="4"/>
      <c r="M52" s="4"/>
      <c r="N52" s="4"/>
      <c r="O52" s="4"/>
      <c r="P52" s="4"/>
      <c r="Q52" s="5"/>
    </row>
    <row r="53" spans="1:21">
      <c r="A53" s="39">
        <v>42</v>
      </c>
      <c r="U53" s="47">
        <f>SUM(U2:U52)</f>
        <v>100</v>
      </c>
    </row>
    <row r="54" spans="1:21">
      <c r="A54" s="39">
        <v>43</v>
      </c>
    </row>
    <row r="55" spans="1:21">
      <c r="A55" s="39">
        <v>44</v>
      </c>
    </row>
    <row r="56" spans="1:21">
      <c r="A56" s="39">
        <v>45</v>
      </c>
    </row>
    <row r="57" spans="1:21">
      <c r="A57" s="39">
        <v>46</v>
      </c>
    </row>
    <row r="58" spans="1:21">
      <c r="A58" s="39">
        <v>47</v>
      </c>
      <c r="N58" s="14"/>
    </row>
    <row r="59" spans="1:21">
      <c r="A59" s="39">
        <v>48</v>
      </c>
    </row>
    <row r="60" spans="1:21">
      <c r="A60" s="39">
        <v>49</v>
      </c>
    </row>
    <row r="62" spans="1:21"/>
  </sheetData>
  <dataValidations count="2">
    <dataValidation type="list" allowBlank="1" showInputMessage="1" showErrorMessage="1" sqref="O9:O51 O4:O7 O1:O2" xr:uid="{5D686BE8-E1E6-484E-9CE0-90467807669E}">
      <formula1>$W$2:$W$10</formula1>
    </dataValidation>
    <dataValidation type="list" allowBlank="1" showInputMessage="1" showErrorMessage="1" sqref="O3" xr:uid="{F7CFBCD5-5D5E-49D7-8805-9F2A69DC9038}">
      <formula1>$X$2:$X$17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8652-C421-497D-899B-348875689A2C}">
  <dimension ref="A1:AV62"/>
  <sheetViews>
    <sheetView workbookViewId="0">
      <selection activeCell="D6" sqref="D6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21" customWidth="1"/>
    <col min="4" max="4" width="22.140625" style="57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2.5703125" customWidth="1"/>
    <col min="14" max="14" width="10.28515625" customWidth="1"/>
    <col min="15" max="16" width="16.42578125" customWidth="1"/>
    <col min="17" max="17" width="25.85546875" customWidth="1"/>
    <col min="23" max="23" width="23.7109375" bestFit="1" customWidth="1"/>
  </cols>
  <sheetData>
    <row r="1" spans="1:48" ht="45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8" t="s">
        <v>162</v>
      </c>
      <c r="P1" s="382"/>
      <c r="Q1" s="202" t="s">
        <v>164</v>
      </c>
      <c r="R1" s="18" t="s">
        <v>5691</v>
      </c>
      <c r="S1" s="18" t="s">
        <v>3886</v>
      </c>
    </row>
    <row r="2" spans="1:48" ht="38.450000000000003" customHeight="1">
      <c r="A2" s="7">
        <v>1</v>
      </c>
      <c r="B2" s="7" t="s">
        <v>227</v>
      </c>
      <c r="C2" s="85" t="s">
        <v>6245</v>
      </c>
      <c r="D2" s="55" t="s">
        <v>6246</v>
      </c>
      <c r="E2" s="80" t="s">
        <v>6247</v>
      </c>
      <c r="F2" s="21">
        <v>938449666</v>
      </c>
      <c r="G2" s="21" t="s">
        <v>6248</v>
      </c>
      <c r="H2" s="7" t="s">
        <v>6249</v>
      </c>
      <c r="I2" s="7" t="s">
        <v>6250</v>
      </c>
      <c r="J2" s="7" t="s">
        <v>6251</v>
      </c>
      <c r="K2" s="81">
        <v>8384080580</v>
      </c>
      <c r="L2" s="8">
        <v>45989</v>
      </c>
      <c r="M2" s="8">
        <v>46323</v>
      </c>
      <c r="N2" s="7">
        <v>11</v>
      </c>
      <c r="O2" s="44" t="s">
        <v>195</v>
      </c>
      <c r="P2" s="85"/>
      <c r="Q2" s="201"/>
      <c r="S2" t="s">
        <v>5699</v>
      </c>
      <c r="U2">
        <v>100</v>
      </c>
    </row>
    <row r="3" spans="1:48" ht="45.75">
      <c r="A3" s="7">
        <v>2</v>
      </c>
      <c r="B3" s="7" t="s">
        <v>227</v>
      </c>
      <c r="C3" s="7" t="s">
        <v>6252</v>
      </c>
      <c r="D3" s="7" t="s">
        <v>6253</v>
      </c>
      <c r="E3" s="20" t="s">
        <v>6254</v>
      </c>
      <c r="F3" s="21">
        <v>9419330583</v>
      </c>
      <c r="G3" s="21"/>
      <c r="H3" s="7" t="s">
        <v>6255</v>
      </c>
      <c r="I3" s="7" t="s">
        <v>6250</v>
      </c>
      <c r="J3" s="7" t="s">
        <v>6251</v>
      </c>
      <c r="K3" s="81">
        <v>8384080580</v>
      </c>
      <c r="L3" s="8">
        <v>45999</v>
      </c>
      <c r="M3" s="8">
        <v>46334</v>
      </c>
      <c r="N3" s="7">
        <v>11</v>
      </c>
      <c r="O3" s="103" t="s">
        <v>203</v>
      </c>
      <c r="P3" s="103"/>
      <c r="Q3" s="103"/>
      <c r="S3" t="s">
        <v>5699</v>
      </c>
      <c r="W3" s="7" t="s">
        <v>176</v>
      </c>
    </row>
    <row r="4" spans="1:48" ht="30.75">
      <c r="A4" s="23">
        <v>3</v>
      </c>
      <c r="B4" s="7" t="s">
        <v>227</v>
      </c>
      <c r="C4" s="7" t="s">
        <v>6256</v>
      </c>
      <c r="D4" s="7" t="s">
        <v>6257</v>
      </c>
      <c r="E4" s="25" t="s">
        <v>6258</v>
      </c>
      <c r="F4" s="22">
        <v>8118079730</v>
      </c>
      <c r="G4" s="48"/>
      <c r="H4" s="7"/>
      <c r="I4" s="7"/>
      <c r="J4" s="7"/>
      <c r="K4" s="26"/>
      <c r="L4" s="27" t="s">
        <v>2388</v>
      </c>
      <c r="M4" s="27" t="s">
        <v>2389</v>
      </c>
      <c r="N4" s="22">
        <v>11</v>
      </c>
      <c r="O4" s="7" t="s">
        <v>176</v>
      </c>
      <c r="P4" s="97"/>
      <c r="Q4" s="9"/>
    </row>
    <row r="5" spans="1:48" ht="33">
      <c r="A5" s="23">
        <v>4</v>
      </c>
      <c r="B5" s="7" t="s">
        <v>227</v>
      </c>
      <c r="C5" s="22" t="s">
        <v>6259</v>
      </c>
      <c r="D5" s="7" t="s">
        <v>6260</v>
      </c>
      <c r="E5" s="25" t="s">
        <v>6261</v>
      </c>
      <c r="F5" s="22">
        <v>9999369991</v>
      </c>
      <c r="G5" s="22" t="s">
        <v>6262</v>
      </c>
      <c r="H5" s="22"/>
      <c r="I5" s="7"/>
      <c r="J5" s="7"/>
      <c r="K5" s="17"/>
      <c r="L5" s="27" t="s">
        <v>2425</v>
      </c>
      <c r="M5" s="27" t="s">
        <v>2426</v>
      </c>
      <c r="N5" s="22">
        <v>11</v>
      </c>
      <c r="O5" s="7" t="s">
        <v>176</v>
      </c>
      <c r="P5" s="97"/>
      <c r="Q5" s="360" t="s">
        <v>6263</v>
      </c>
      <c r="R5" t="s">
        <v>6264</v>
      </c>
    </row>
    <row r="6" spans="1:48" s="29" customFormat="1">
      <c r="A6" s="23"/>
      <c r="B6" s="24"/>
      <c r="C6" s="22"/>
      <c r="D6" s="7"/>
      <c r="E6" s="25"/>
      <c r="F6" s="22"/>
      <c r="G6" s="22"/>
      <c r="H6" s="22"/>
      <c r="I6" s="22"/>
      <c r="J6" s="7"/>
      <c r="K6" s="36"/>
      <c r="L6" s="27"/>
      <c r="M6" s="27"/>
      <c r="N6" s="22"/>
      <c r="O6" s="7"/>
      <c r="P6" s="97"/>
      <c r="Q6" s="9"/>
    </row>
    <row r="7" spans="1:48">
      <c r="A7" s="23"/>
      <c r="B7" s="24"/>
      <c r="C7" s="22"/>
      <c r="D7" s="7"/>
      <c r="E7" s="25"/>
      <c r="F7" s="10"/>
      <c r="G7" s="10"/>
      <c r="H7" s="10"/>
      <c r="I7" s="22"/>
      <c r="J7" s="7"/>
      <c r="K7" s="26"/>
      <c r="L7" s="27"/>
      <c r="M7" s="27"/>
      <c r="N7" s="22"/>
      <c r="O7" s="7"/>
      <c r="P7" s="97"/>
      <c r="Q7" s="9"/>
      <c r="W7" s="16"/>
    </row>
    <row r="8" spans="1:48">
      <c r="A8" s="22"/>
      <c r="B8" s="22"/>
      <c r="C8" s="22"/>
      <c r="D8" s="7"/>
      <c r="E8" s="31"/>
      <c r="F8" s="22"/>
      <c r="G8" s="22"/>
      <c r="H8" s="22"/>
      <c r="I8" s="22"/>
      <c r="J8" s="7"/>
      <c r="K8" s="22"/>
      <c r="L8" s="27"/>
      <c r="M8" s="27"/>
      <c r="N8" s="22"/>
      <c r="O8" s="22"/>
      <c r="P8" s="98"/>
      <c r="Q8" s="30"/>
    </row>
    <row r="9" spans="1:48">
      <c r="A9" s="22"/>
      <c r="B9" s="22"/>
      <c r="C9" s="7"/>
      <c r="D9" s="7"/>
      <c r="E9" s="33"/>
      <c r="F9" s="22"/>
      <c r="G9" s="22"/>
      <c r="H9" s="22"/>
      <c r="I9" s="22"/>
      <c r="J9" s="7"/>
      <c r="K9" s="36"/>
      <c r="L9" s="27"/>
      <c r="M9" s="27"/>
      <c r="N9" s="22"/>
      <c r="O9" s="7"/>
      <c r="P9" s="97"/>
      <c r="Q9" s="9"/>
    </row>
    <row r="10" spans="1:48" ht="15.75">
      <c r="A10" s="22"/>
      <c r="B10" s="22"/>
      <c r="C10" s="7"/>
      <c r="D10" s="7"/>
      <c r="E10" s="32"/>
      <c r="F10" s="49"/>
      <c r="G10" s="7"/>
      <c r="H10" s="7"/>
      <c r="I10" s="7"/>
      <c r="J10" s="7"/>
      <c r="K10" s="36"/>
      <c r="L10" s="27"/>
      <c r="M10" s="27"/>
      <c r="N10" s="22"/>
      <c r="O10" s="7"/>
      <c r="P10" s="97"/>
      <c r="Q10" s="35"/>
    </row>
    <row r="11" spans="1:48">
      <c r="A11" s="22"/>
      <c r="B11" s="22"/>
      <c r="C11" s="22"/>
      <c r="D11" s="7"/>
      <c r="E11" s="33"/>
      <c r="F11" s="7"/>
      <c r="G11" s="7"/>
      <c r="H11" s="7"/>
      <c r="I11" s="7"/>
      <c r="J11" s="7"/>
      <c r="K11" s="36"/>
      <c r="L11" s="27"/>
      <c r="M11" s="27"/>
      <c r="N11" s="22"/>
      <c r="O11" s="7"/>
      <c r="P11" s="97"/>
      <c r="Q11" s="35"/>
    </row>
    <row r="12" spans="1:48" s="29" customFormat="1">
      <c r="A12" s="23"/>
      <c r="B12" s="24"/>
      <c r="C12" s="22"/>
      <c r="D12" s="7"/>
      <c r="E12" s="31"/>
      <c r="F12" s="22"/>
      <c r="G12" s="22"/>
      <c r="H12" s="22"/>
      <c r="I12" s="22"/>
      <c r="J12" s="7"/>
      <c r="K12" s="17"/>
      <c r="L12" s="27"/>
      <c r="M12" s="27"/>
      <c r="N12" s="22"/>
      <c r="O12" s="7"/>
      <c r="P12" s="97"/>
      <c r="Q12" s="9"/>
    </row>
    <row r="13" spans="1:48" s="29" customFormat="1">
      <c r="A13" s="23"/>
      <c r="B13" s="24"/>
      <c r="C13" s="22"/>
      <c r="D13" s="7"/>
      <c r="E13" s="31"/>
      <c r="F13" s="22"/>
      <c r="G13" s="22"/>
      <c r="H13" s="22"/>
      <c r="I13" s="7"/>
      <c r="J13" s="7"/>
      <c r="K13" s="36"/>
      <c r="L13" s="27"/>
      <c r="M13" s="27"/>
      <c r="N13" s="22"/>
      <c r="O13" s="7"/>
      <c r="P13" s="97"/>
      <c r="Q13" s="9"/>
    </row>
    <row r="14" spans="1:48" s="29" customFormat="1">
      <c r="A14" s="23"/>
      <c r="B14" s="24"/>
      <c r="C14" s="22"/>
      <c r="D14" s="7"/>
      <c r="E14" s="31"/>
      <c r="F14" s="22"/>
      <c r="G14" s="22"/>
      <c r="H14" s="22"/>
      <c r="I14" s="22"/>
      <c r="J14" s="7"/>
      <c r="K14" s="17"/>
      <c r="L14" s="27"/>
      <c r="M14" s="27"/>
      <c r="N14" s="22"/>
      <c r="O14" s="7"/>
      <c r="P14" s="97"/>
      <c r="Q14" s="9"/>
    </row>
    <row r="15" spans="1:48" s="29" customFormat="1">
      <c r="A15" s="23"/>
      <c r="B15" s="24"/>
      <c r="C15" s="22"/>
      <c r="D15" s="7"/>
      <c r="E15" s="31"/>
      <c r="F15" s="22"/>
      <c r="G15" s="22"/>
      <c r="H15" s="22"/>
      <c r="I15" s="7"/>
      <c r="J15" s="7"/>
      <c r="K15" s="36"/>
      <c r="L15" s="27"/>
      <c r="M15" s="27"/>
      <c r="N15" s="22"/>
      <c r="O15" s="7"/>
      <c r="P15" s="97"/>
      <c r="Q15" s="9"/>
    </row>
    <row r="16" spans="1:48" s="29" customFormat="1">
      <c r="A16" s="23"/>
      <c r="B16" s="24"/>
      <c r="C16" s="38"/>
      <c r="D16" s="15"/>
      <c r="E16" s="15"/>
      <c r="F16" s="22"/>
      <c r="G16" s="22"/>
      <c r="H16" s="22"/>
      <c r="I16" s="22"/>
      <c r="J16" s="22"/>
      <c r="K16" s="38"/>
      <c r="L16" s="37"/>
      <c r="M16" s="37"/>
      <c r="N16" s="22"/>
      <c r="O16" s="7"/>
      <c r="P16" s="97"/>
      <c r="Q16" s="30"/>
      <c r="AV16" s="129" t="e">
        <f>SUM(Virtual_Juststart!#REF!)</f>
        <v>#REF!</v>
      </c>
    </row>
    <row r="17" spans="1:18">
      <c r="A17" s="39"/>
      <c r="B17" s="24"/>
      <c r="C17" s="45"/>
      <c r="D17" s="46"/>
      <c r="E17" s="46"/>
      <c r="F17" s="43"/>
      <c r="G17" s="43"/>
      <c r="H17" s="44"/>
      <c r="I17" s="7"/>
      <c r="J17" s="7"/>
      <c r="K17" s="36"/>
      <c r="L17" s="42"/>
      <c r="M17" s="42"/>
      <c r="N17" s="43"/>
      <c r="O17" s="7"/>
      <c r="P17" s="97"/>
      <c r="Q17" s="9"/>
    </row>
    <row r="18" spans="1:18">
      <c r="A18" s="39"/>
      <c r="B18" s="52"/>
      <c r="C18" s="45"/>
      <c r="D18" s="46"/>
      <c r="E18" s="46"/>
      <c r="F18" s="43"/>
      <c r="G18" s="43"/>
      <c r="H18" s="44"/>
      <c r="I18" s="22"/>
      <c r="J18" s="7"/>
      <c r="K18" s="17"/>
      <c r="L18" s="42"/>
      <c r="M18" s="42"/>
      <c r="N18" s="43"/>
      <c r="O18" s="7"/>
      <c r="P18" s="97"/>
      <c r="Q18" s="9"/>
    </row>
    <row r="19" spans="1:18">
      <c r="A19" s="39"/>
      <c r="B19" s="52"/>
      <c r="C19" s="45"/>
      <c r="D19" s="46"/>
      <c r="E19" s="46"/>
      <c r="F19" s="43"/>
      <c r="G19" s="43"/>
      <c r="H19" s="44"/>
      <c r="I19" s="22"/>
      <c r="J19" s="7"/>
      <c r="K19" s="17"/>
      <c r="L19" s="42"/>
      <c r="M19" s="42"/>
      <c r="N19" s="43"/>
      <c r="O19" s="7"/>
      <c r="P19" s="97"/>
      <c r="Q19" s="9"/>
    </row>
    <row r="20" spans="1:18">
      <c r="A20" s="39"/>
      <c r="B20" s="52"/>
      <c r="C20" s="46"/>
      <c r="D20" s="44"/>
      <c r="E20" s="46"/>
      <c r="F20" s="43"/>
      <c r="G20" s="43"/>
      <c r="H20" s="44"/>
      <c r="I20" s="44"/>
      <c r="J20" s="44"/>
      <c r="K20" s="53"/>
      <c r="L20" s="42"/>
      <c r="M20" s="42"/>
      <c r="N20" s="43"/>
      <c r="O20" s="7"/>
      <c r="P20" s="97"/>
      <c r="Q20" s="30"/>
    </row>
    <row r="21" spans="1:18">
      <c r="A21" s="39"/>
      <c r="B21" s="52"/>
      <c r="C21" s="45"/>
      <c r="D21" s="46"/>
      <c r="E21" s="41"/>
      <c r="F21" s="45"/>
      <c r="G21" s="45"/>
      <c r="H21" s="43"/>
      <c r="I21" s="22"/>
      <c r="J21" s="7"/>
      <c r="K21" s="17"/>
      <c r="L21" s="42"/>
      <c r="M21" s="42"/>
      <c r="N21" s="43"/>
      <c r="O21" s="7"/>
      <c r="P21" s="186"/>
      <c r="Q21" s="54"/>
    </row>
    <row r="22" spans="1:18">
      <c r="A22" s="39"/>
      <c r="B22" s="52"/>
      <c r="C22" s="40"/>
      <c r="D22" s="41"/>
      <c r="E22" s="41"/>
      <c r="F22" s="50"/>
      <c r="G22" s="50"/>
      <c r="H22" s="43"/>
      <c r="I22" s="22"/>
      <c r="J22" s="7"/>
      <c r="K22" s="17"/>
      <c r="L22" s="42"/>
      <c r="M22" s="42"/>
      <c r="N22" s="43"/>
      <c r="O22" s="7"/>
      <c r="P22" s="186"/>
      <c r="Q22" s="54"/>
    </row>
    <row r="23" spans="1:18">
      <c r="A23" s="61"/>
      <c r="B23" s="62"/>
      <c r="C23" s="63"/>
      <c r="D23" s="64"/>
      <c r="E23" s="65"/>
      <c r="F23" s="66"/>
      <c r="G23" s="66"/>
      <c r="H23" s="66"/>
      <c r="I23" s="68"/>
      <c r="J23" s="67"/>
      <c r="K23" s="69"/>
      <c r="L23" s="70"/>
      <c r="M23" s="70"/>
      <c r="N23" s="66"/>
      <c r="O23" s="71"/>
      <c r="P23" s="293"/>
      <c r="Q23" s="72"/>
      <c r="R23" s="73"/>
    </row>
    <row r="24" spans="1:18">
      <c r="A24" s="39"/>
      <c r="B24" s="52"/>
      <c r="C24" s="59"/>
      <c r="D24" s="58"/>
      <c r="E24" s="41"/>
      <c r="F24" s="50"/>
      <c r="G24" s="50"/>
      <c r="H24" s="43"/>
      <c r="I24" s="22"/>
      <c r="J24" s="7"/>
      <c r="K24" s="17"/>
      <c r="L24" s="42"/>
      <c r="M24" s="42"/>
      <c r="N24" s="43"/>
      <c r="O24" s="44"/>
      <c r="P24" s="186"/>
      <c r="Q24" s="54"/>
    </row>
    <row r="25" spans="1:18">
      <c r="A25" s="39"/>
      <c r="B25" s="52"/>
      <c r="C25" s="45"/>
      <c r="D25" s="58"/>
      <c r="E25" s="41"/>
      <c r="F25" s="50"/>
      <c r="G25" s="50"/>
      <c r="H25" s="43"/>
      <c r="I25" s="7"/>
      <c r="J25" s="7"/>
      <c r="K25" s="36"/>
      <c r="L25" s="42"/>
      <c r="M25" s="42"/>
      <c r="N25" s="43"/>
      <c r="O25" s="44"/>
      <c r="P25" s="186"/>
      <c r="Q25" s="54"/>
    </row>
    <row r="26" spans="1:18">
      <c r="A26" s="39"/>
      <c r="B26" s="52"/>
      <c r="C26" s="45"/>
      <c r="D26" s="46"/>
      <c r="E26" s="41"/>
      <c r="F26" s="50"/>
      <c r="G26" s="50"/>
      <c r="H26" s="43"/>
      <c r="I26" s="7"/>
      <c r="J26" s="7"/>
      <c r="K26" s="36"/>
      <c r="L26" s="42"/>
      <c r="M26" s="42"/>
      <c r="N26" s="43"/>
      <c r="O26" s="44"/>
      <c r="P26" s="186"/>
      <c r="Q26" s="54"/>
    </row>
    <row r="27" spans="1:18">
      <c r="A27" s="39"/>
      <c r="B27" s="52"/>
      <c r="C27" s="45"/>
      <c r="D27" s="46"/>
      <c r="E27" s="41"/>
      <c r="F27" s="43"/>
      <c r="G27" s="43"/>
      <c r="H27" s="43"/>
      <c r="I27" s="22"/>
      <c r="J27" s="7"/>
      <c r="K27" s="17"/>
      <c r="L27" s="42"/>
      <c r="M27" s="42"/>
      <c r="N27" s="43"/>
      <c r="O27" s="44"/>
      <c r="P27" s="186"/>
      <c r="Q27" s="54"/>
    </row>
    <row r="28" spans="1:18">
      <c r="A28" s="39"/>
      <c r="B28" s="52"/>
      <c r="C28" s="45"/>
      <c r="D28" s="46"/>
      <c r="E28" s="41"/>
      <c r="F28" s="43"/>
      <c r="G28" s="43"/>
      <c r="H28" s="43"/>
      <c r="I28" s="7"/>
      <c r="J28" s="7"/>
      <c r="K28" s="36"/>
      <c r="L28" s="42"/>
      <c r="M28" s="42"/>
      <c r="N28" s="43"/>
      <c r="O28" s="44"/>
      <c r="P28" s="186"/>
      <c r="Q28" s="54"/>
    </row>
    <row r="29" spans="1:18">
      <c r="A29" s="39"/>
      <c r="B29" s="52"/>
      <c r="C29" s="45"/>
      <c r="D29" s="46"/>
      <c r="E29" s="41"/>
      <c r="F29" s="43"/>
      <c r="G29" s="43"/>
      <c r="H29" s="43"/>
      <c r="I29" s="7"/>
      <c r="J29" s="7"/>
      <c r="K29" s="36"/>
      <c r="L29" s="42"/>
      <c r="M29" s="42"/>
      <c r="N29" s="43"/>
      <c r="O29" s="44"/>
      <c r="P29" s="186"/>
      <c r="Q29" s="54"/>
    </row>
    <row r="30" spans="1:18">
      <c r="A30" s="39"/>
      <c r="B30" s="52"/>
      <c r="C30" s="46"/>
      <c r="D30" s="46"/>
      <c r="E30" s="41"/>
      <c r="F30" s="43"/>
      <c r="G30" s="43"/>
      <c r="H30" s="43"/>
      <c r="I30" s="7"/>
      <c r="J30" s="7"/>
      <c r="K30" s="36"/>
      <c r="L30" s="42"/>
      <c r="M30" s="42"/>
      <c r="N30" s="43"/>
      <c r="O30" s="44"/>
      <c r="P30" s="186"/>
      <c r="Q30" s="54"/>
      <c r="R30" s="75"/>
    </row>
    <row r="31" spans="1:18">
      <c r="A31" s="39"/>
      <c r="B31" s="52"/>
      <c r="C31" s="45"/>
      <c r="D31" s="46"/>
      <c r="E31" s="41"/>
      <c r="F31" s="43"/>
      <c r="G31" s="43"/>
      <c r="H31" s="43"/>
      <c r="I31" s="7"/>
      <c r="J31" s="7"/>
      <c r="K31" s="36"/>
      <c r="L31" s="42"/>
      <c r="M31" s="42"/>
      <c r="N31" s="43"/>
      <c r="O31" s="44"/>
      <c r="P31" s="186"/>
      <c r="Q31" s="54"/>
    </row>
    <row r="32" spans="1:18">
      <c r="A32" s="39"/>
      <c r="B32" s="52"/>
      <c r="C32" s="46"/>
      <c r="D32" s="46"/>
      <c r="E32" s="41"/>
      <c r="F32" s="43"/>
      <c r="G32" s="43"/>
      <c r="H32" s="43"/>
      <c r="I32" s="7"/>
      <c r="J32" s="7"/>
      <c r="K32" s="36"/>
      <c r="L32" s="42"/>
      <c r="M32" s="42"/>
      <c r="N32" s="43"/>
      <c r="O32" s="44"/>
      <c r="P32" s="186"/>
      <c r="Q32" s="54"/>
    </row>
    <row r="33" spans="1:17">
      <c r="A33" s="39"/>
      <c r="B33" s="52"/>
      <c r="C33" s="46"/>
      <c r="D33" s="45"/>
      <c r="E33" s="46"/>
      <c r="F33" s="43"/>
      <c r="G33" s="43"/>
      <c r="H33" s="43"/>
      <c r="I33" s="7"/>
      <c r="J33" s="7"/>
      <c r="K33" s="36"/>
      <c r="L33" s="42"/>
      <c r="M33" s="42"/>
      <c r="N33" s="43"/>
      <c r="O33" s="44"/>
      <c r="P33" s="186"/>
      <c r="Q33" s="54"/>
    </row>
    <row r="34" spans="1:17">
      <c r="A34" s="39"/>
      <c r="B34" s="52"/>
      <c r="C34" s="45"/>
      <c r="D34" s="46"/>
      <c r="E34" s="41"/>
      <c r="F34" s="43"/>
      <c r="G34" s="43"/>
      <c r="H34" s="43"/>
      <c r="I34" s="7"/>
      <c r="J34" s="7"/>
      <c r="K34" s="36"/>
      <c r="L34" s="42"/>
      <c r="M34" s="42"/>
      <c r="N34" s="43"/>
      <c r="O34" s="44"/>
      <c r="P34" s="186"/>
      <c r="Q34" s="54"/>
    </row>
    <row r="35" spans="1:17">
      <c r="A35" s="39"/>
      <c r="B35" s="52"/>
      <c r="C35" s="45"/>
      <c r="D35" s="46"/>
      <c r="E35" s="41"/>
      <c r="F35" s="43"/>
      <c r="G35" s="43"/>
      <c r="H35" s="43"/>
      <c r="I35" s="7"/>
      <c r="J35" s="7"/>
      <c r="K35" s="36"/>
      <c r="L35" s="42"/>
      <c r="M35" s="42"/>
      <c r="N35" s="43"/>
      <c r="O35" s="44"/>
      <c r="P35" s="186"/>
      <c r="Q35" s="54"/>
    </row>
    <row r="36" spans="1:17">
      <c r="A36" s="39"/>
      <c r="B36" s="52"/>
      <c r="C36" s="45"/>
      <c r="D36" s="46"/>
      <c r="E36" s="41"/>
      <c r="F36" s="43"/>
      <c r="G36" s="43"/>
      <c r="H36" s="43"/>
      <c r="I36" s="7"/>
      <c r="J36" s="7"/>
      <c r="K36" s="36"/>
      <c r="L36" s="42"/>
      <c r="M36" s="42"/>
      <c r="N36" s="43"/>
      <c r="O36" s="44"/>
      <c r="P36" s="186"/>
      <c r="Q36" s="54"/>
    </row>
    <row r="37" spans="1:17">
      <c r="A37" s="39"/>
      <c r="B37" s="52"/>
      <c r="C37" s="45"/>
      <c r="D37" s="46"/>
      <c r="E37" s="46"/>
      <c r="F37" s="43"/>
      <c r="G37" s="43"/>
      <c r="H37" s="43"/>
      <c r="I37" s="7"/>
      <c r="J37" s="7"/>
      <c r="K37" s="36"/>
      <c r="L37" s="42"/>
      <c r="M37" s="42"/>
      <c r="N37" s="43"/>
      <c r="O37" s="44"/>
      <c r="P37" s="186"/>
      <c r="Q37" s="54"/>
    </row>
    <row r="38" spans="1:17">
      <c r="A38" s="39"/>
      <c r="B38" s="52"/>
      <c r="C38" s="76"/>
      <c r="D38" s="46"/>
      <c r="E38" s="46"/>
      <c r="G38" s="43"/>
      <c r="H38" s="43"/>
      <c r="I38" s="7"/>
      <c r="J38" s="7"/>
      <c r="K38" s="36"/>
      <c r="L38" s="42"/>
      <c r="M38" s="42"/>
      <c r="N38" s="43"/>
      <c r="O38" s="44"/>
      <c r="P38" s="186"/>
      <c r="Q38" s="54"/>
    </row>
    <row r="39" spans="1:17">
      <c r="A39" s="39"/>
      <c r="B39" s="52"/>
      <c r="C39" s="76"/>
      <c r="D39" s="46"/>
      <c r="E39" s="46"/>
      <c r="F39" s="43"/>
      <c r="G39" s="43"/>
      <c r="H39" s="43"/>
      <c r="I39" s="7"/>
      <c r="J39" s="7"/>
      <c r="K39" s="36"/>
      <c r="L39" s="42"/>
      <c r="M39" s="42"/>
      <c r="N39" s="43"/>
      <c r="O39" s="44"/>
      <c r="P39" s="186"/>
      <c r="Q39" s="54"/>
    </row>
    <row r="40" spans="1:17">
      <c r="A40" s="39"/>
      <c r="B40" s="52"/>
      <c r="C40" s="45"/>
      <c r="D40" s="46"/>
      <c r="E40" s="46"/>
      <c r="F40" s="43"/>
      <c r="G40" s="43"/>
      <c r="H40" s="43"/>
      <c r="I40" s="7"/>
      <c r="J40" s="7"/>
      <c r="K40" s="36"/>
      <c r="L40" s="42"/>
      <c r="M40" s="42"/>
      <c r="N40" s="43"/>
      <c r="O40" s="44"/>
      <c r="P40" s="186"/>
      <c r="Q40" s="54"/>
    </row>
    <row r="41" spans="1:17">
      <c r="A41" s="39"/>
      <c r="B41" s="52"/>
      <c r="C41" s="45"/>
      <c r="D41" s="46"/>
      <c r="E41" s="46"/>
      <c r="F41" s="43"/>
      <c r="G41" s="43"/>
      <c r="H41" s="43"/>
      <c r="I41" s="44"/>
      <c r="J41" s="7"/>
      <c r="K41" s="53"/>
      <c r="L41" s="42"/>
      <c r="M41" s="42"/>
      <c r="N41" s="43"/>
      <c r="O41" s="44"/>
      <c r="P41" s="186"/>
      <c r="Q41" s="54"/>
    </row>
    <row r="42" spans="1:17">
      <c r="A42" s="39"/>
      <c r="B42" s="52"/>
      <c r="C42" s="45"/>
      <c r="D42" s="46"/>
      <c r="E42" s="46"/>
      <c r="F42" s="43"/>
      <c r="G42" s="43"/>
      <c r="H42" s="43"/>
      <c r="I42" s="44"/>
      <c r="J42" s="7"/>
      <c r="K42" s="53"/>
      <c r="L42" s="42"/>
      <c r="M42" s="42"/>
      <c r="N42" s="43"/>
      <c r="O42" s="44"/>
      <c r="P42" s="186"/>
      <c r="Q42" s="54"/>
    </row>
    <row r="43" spans="1:17">
      <c r="A43" s="39"/>
      <c r="B43" s="52"/>
      <c r="C43" s="45"/>
      <c r="D43" s="46"/>
      <c r="E43" s="46"/>
      <c r="F43" s="43"/>
      <c r="G43" s="43"/>
      <c r="H43" s="43"/>
      <c r="I43" s="44"/>
      <c r="J43" s="7"/>
      <c r="K43" s="77"/>
      <c r="L43" s="42"/>
      <c r="M43" s="42"/>
      <c r="N43" s="43"/>
      <c r="O43" s="44"/>
      <c r="P43" s="186"/>
      <c r="Q43" s="54"/>
    </row>
    <row r="44" spans="1:17">
      <c r="A44" s="39"/>
      <c r="B44" s="52"/>
      <c r="C44" s="45"/>
      <c r="D44" s="46"/>
      <c r="E44" s="46"/>
      <c r="F44" s="43"/>
      <c r="G44" s="43"/>
      <c r="H44" s="43"/>
      <c r="I44" s="44"/>
      <c r="J44" s="7"/>
      <c r="K44" s="53"/>
      <c r="L44" s="42"/>
      <c r="M44" s="42"/>
      <c r="N44" s="43"/>
      <c r="O44" s="44"/>
      <c r="P44" s="186"/>
      <c r="Q44" s="54"/>
    </row>
    <row r="45" spans="1:17">
      <c r="A45" s="39"/>
      <c r="B45" s="52"/>
      <c r="C45" s="45"/>
      <c r="D45" s="46"/>
      <c r="E45" s="46"/>
      <c r="F45" s="43"/>
      <c r="G45" s="43"/>
      <c r="H45" s="43"/>
      <c r="I45" s="44"/>
      <c r="J45" s="44"/>
      <c r="K45" s="53"/>
      <c r="L45" s="42"/>
      <c r="M45" s="42"/>
      <c r="N45" s="43"/>
      <c r="O45" s="44"/>
      <c r="P45" s="186"/>
      <c r="Q45" s="54"/>
    </row>
    <row r="46" spans="1:17">
      <c r="A46" s="39"/>
      <c r="B46" s="52"/>
      <c r="C46" s="45"/>
      <c r="D46" s="46"/>
      <c r="E46" s="41"/>
      <c r="F46" s="43"/>
      <c r="G46" s="43"/>
      <c r="H46" s="43"/>
      <c r="I46" s="43"/>
      <c r="J46" s="44"/>
      <c r="K46" s="74"/>
      <c r="L46" s="42"/>
      <c r="M46" s="42"/>
      <c r="N46" s="43"/>
      <c r="O46" s="44"/>
      <c r="P46" s="186"/>
      <c r="Q46" s="54"/>
    </row>
    <row r="47" spans="1:17">
      <c r="A47" s="39"/>
      <c r="B47" s="52"/>
      <c r="C47" s="45"/>
      <c r="D47" s="46"/>
      <c r="E47" s="41"/>
      <c r="F47" s="43"/>
      <c r="G47" s="43"/>
      <c r="H47" s="43"/>
      <c r="I47" s="43"/>
      <c r="J47" s="44"/>
      <c r="K47" s="74"/>
      <c r="L47" s="42"/>
      <c r="M47" s="42"/>
      <c r="N47" s="43"/>
      <c r="O47" s="44"/>
      <c r="P47" s="186"/>
      <c r="Q47" s="54"/>
    </row>
    <row r="48" spans="1:17">
      <c r="A48" s="39"/>
      <c r="B48" s="52"/>
      <c r="C48" s="45"/>
      <c r="D48" s="46"/>
      <c r="E48" s="41"/>
      <c r="F48" s="43"/>
      <c r="G48" s="43"/>
      <c r="H48" s="43"/>
      <c r="I48" s="43"/>
      <c r="J48" s="44"/>
      <c r="K48" s="74"/>
      <c r="L48" s="42"/>
      <c r="M48" s="42"/>
      <c r="N48" s="43"/>
      <c r="O48" s="44"/>
      <c r="P48" s="186"/>
      <c r="Q48" s="54"/>
    </row>
    <row r="49" spans="1:21">
      <c r="A49" s="39"/>
      <c r="B49" s="52"/>
      <c r="C49" s="45"/>
      <c r="D49" s="46"/>
      <c r="E49" s="41"/>
      <c r="F49" s="43"/>
      <c r="G49" s="43"/>
      <c r="H49" s="43"/>
      <c r="I49" s="43"/>
      <c r="J49" s="44"/>
      <c r="K49" s="74"/>
      <c r="L49" s="42"/>
      <c r="M49" s="42"/>
      <c r="N49" s="43"/>
      <c r="O49" s="44"/>
      <c r="P49" s="186"/>
      <c r="Q49" s="54"/>
    </row>
    <row r="50" spans="1:21">
      <c r="A50" s="39"/>
      <c r="B50" s="52"/>
      <c r="C50" s="45"/>
      <c r="D50" s="46"/>
      <c r="E50" s="41"/>
      <c r="F50" s="43"/>
      <c r="G50" s="43"/>
      <c r="H50" s="43"/>
      <c r="I50" s="43"/>
      <c r="J50" s="44"/>
      <c r="K50" s="74"/>
      <c r="L50" s="42"/>
      <c r="M50" s="42"/>
      <c r="N50" s="43"/>
      <c r="O50" s="44"/>
      <c r="P50" s="186"/>
      <c r="Q50" s="54"/>
    </row>
    <row r="51" spans="1:21">
      <c r="A51" s="39">
        <v>40</v>
      </c>
      <c r="B51" s="52"/>
      <c r="C51" s="45"/>
      <c r="D51" s="46"/>
      <c r="E51" s="41"/>
      <c r="F51" s="43"/>
      <c r="G51" s="43"/>
      <c r="H51" s="43"/>
      <c r="I51" s="43"/>
      <c r="J51" s="44"/>
      <c r="K51" s="74"/>
      <c r="L51" s="42"/>
      <c r="M51" s="42"/>
      <c r="N51" s="43"/>
      <c r="O51" s="44"/>
      <c r="P51" s="186"/>
      <c r="Q51" s="54"/>
    </row>
    <row r="52" spans="1:21">
      <c r="A52" s="39">
        <v>41</v>
      </c>
      <c r="B52" s="13"/>
      <c r="C52" s="4"/>
      <c r="D52" s="56"/>
      <c r="E52" s="4"/>
      <c r="F52" s="51"/>
      <c r="G52" s="51"/>
      <c r="H52" s="51"/>
      <c r="I52" s="51"/>
      <c r="J52" s="51"/>
      <c r="K52" s="4"/>
      <c r="L52" s="4"/>
      <c r="M52" s="4"/>
      <c r="N52" s="4"/>
      <c r="O52" s="4"/>
      <c r="P52" s="100"/>
      <c r="Q52" s="5"/>
    </row>
    <row r="53" spans="1:21">
      <c r="A53" s="39">
        <v>42</v>
      </c>
      <c r="U53" s="47">
        <f>SUM(U2:U52)</f>
        <v>100</v>
      </c>
    </row>
    <row r="54" spans="1:21">
      <c r="A54" s="39">
        <v>43</v>
      </c>
    </row>
    <row r="55" spans="1:21">
      <c r="A55" s="39">
        <v>44</v>
      </c>
    </row>
    <row r="56" spans="1:21">
      <c r="A56" s="39">
        <v>45</v>
      </c>
    </row>
    <row r="57" spans="1:21">
      <c r="A57" s="39">
        <v>46</v>
      </c>
    </row>
    <row r="58" spans="1:21">
      <c r="A58" s="39">
        <v>47</v>
      </c>
      <c r="N58" s="14"/>
    </row>
    <row r="59" spans="1:21">
      <c r="A59" s="39">
        <v>48</v>
      </c>
    </row>
    <row r="60" spans="1:21">
      <c r="A60" s="39">
        <v>49</v>
      </c>
    </row>
    <row r="62" spans="1:21"/>
  </sheetData>
  <dataValidations count="2">
    <dataValidation type="list" allowBlank="1" showInputMessage="1" showErrorMessage="1" sqref="W3" xr:uid="{D3619A7F-4DB2-4A83-AC9D-CE382F5C4C65}">
      <formula1>$X$2:$X$17</formula1>
    </dataValidation>
    <dataValidation type="list" allowBlank="1" showInputMessage="1" showErrorMessage="1" sqref="O9:P51 O4:P7 O1:P2" xr:uid="{459B2BF9-4DA7-4576-B5E0-BC1082C427D6}">
      <formula1>$W$2:$W$10</formula1>
    </dataValidation>
  </dataValidations>
  <hyperlinks>
    <hyperlink ref="Q5" r:id="rId1" xr:uid="{B8B6A027-4D62-46CC-A5F5-D5535212B1FF}"/>
  </hyperlinks>
  <pageMargins left="0.7" right="0.7" top="0.75" bottom="0.75" header="0.3" footer="0.3"/>
  <pageSetup paperSize="11" orientation="portrait" horizontalDpi="429496729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1410-B1BB-4646-9D33-6FB4017A4393}">
  <dimension ref="A1:AD100"/>
  <sheetViews>
    <sheetView tabSelected="1" topLeftCell="G81" workbookViewId="0">
      <selection activeCell="O87" sqref="O87"/>
    </sheetView>
  </sheetViews>
  <sheetFormatPr defaultRowHeight="15" customHeight="1"/>
  <cols>
    <col min="1" max="1" width="5.85546875" style="34" customWidth="1"/>
    <col min="2" max="2" width="6.85546875" style="6" customWidth="1"/>
    <col min="3" max="3" width="40.85546875" bestFit="1" customWidth="1"/>
    <col min="4" max="4" width="22.140625" style="79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2" width="14.28515625" customWidth="1"/>
    <col min="13" max="13" width="12" customWidth="1"/>
    <col min="14" max="14" width="10.28515625" customWidth="1"/>
    <col min="15" max="16" width="10.28515625" style="34" customWidth="1"/>
    <col min="17" max="17" width="14.28515625" customWidth="1"/>
    <col min="18" max="18" width="17.42578125" customWidth="1"/>
    <col min="19" max="19" width="25.85546875" customWidth="1"/>
    <col min="20" max="20" width="26" bestFit="1" customWidth="1"/>
    <col min="25" max="25" width="23.7109375" bestFit="1" customWidth="1"/>
  </cols>
  <sheetData>
    <row r="1" spans="1:25" ht="30.75">
      <c r="A1" s="18" t="s">
        <v>147</v>
      </c>
      <c r="B1" s="18" t="s">
        <v>148</v>
      </c>
      <c r="C1" s="18" t="s">
        <v>149</v>
      </c>
      <c r="D1" s="18" t="s">
        <v>150</v>
      </c>
      <c r="E1" s="18" t="s">
        <v>151</v>
      </c>
      <c r="F1" s="18" t="s">
        <v>152</v>
      </c>
      <c r="G1" s="18" t="s">
        <v>153</v>
      </c>
      <c r="H1" s="18" t="s">
        <v>154</v>
      </c>
      <c r="I1" s="2" t="s">
        <v>6265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" t="s">
        <v>6266</v>
      </c>
      <c r="P1" s="28"/>
      <c r="Q1" s="28" t="s">
        <v>162</v>
      </c>
      <c r="R1" s="2" t="s">
        <v>6267</v>
      </c>
      <c r="S1" s="3" t="s">
        <v>6268</v>
      </c>
    </row>
    <row r="2" spans="1:25" ht="60.75">
      <c r="A2" s="22">
        <v>1</v>
      </c>
      <c r="B2" s="22" t="s">
        <v>211</v>
      </c>
      <c r="C2" s="22" t="s">
        <v>6269</v>
      </c>
      <c r="D2" s="7" t="s">
        <v>6270</v>
      </c>
      <c r="E2" s="31" t="s">
        <v>6271</v>
      </c>
      <c r="F2" s="22" t="s">
        <v>6272</v>
      </c>
      <c r="G2" s="22" t="s">
        <v>6273</v>
      </c>
      <c r="H2" s="22" t="s">
        <v>172</v>
      </c>
      <c r="I2" s="22" t="s">
        <v>277</v>
      </c>
      <c r="J2" s="7" t="s">
        <v>276</v>
      </c>
      <c r="K2" s="22">
        <v>9741006431</v>
      </c>
      <c r="L2" s="27">
        <v>45602</v>
      </c>
      <c r="M2" s="27">
        <v>45966</v>
      </c>
      <c r="N2" s="22">
        <v>11</v>
      </c>
      <c r="O2" s="22">
        <v>13000</v>
      </c>
      <c r="P2" s="22"/>
      <c r="Q2" s="22" t="s">
        <v>6274</v>
      </c>
      <c r="R2" s="22" t="s">
        <v>177</v>
      </c>
      <c r="S2" s="30"/>
      <c r="T2">
        <v>100</v>
      </c>
      <c r="Y2" t="s">
        <v>195</v>
      </c>
    </row>
    <row r="3" spans="1:25" s="29" customFormat="1" ht="45.75">
      <c r="A3" s="23">
        <v>2</v>
      </c>
      <c r="B3" s="24" t="s">
        <v>227</v>
      </c>
      <c r="C3" s="38" t="s">
        <v>271</v>
      </c>
      <c r="D3" s="7" t="s">
        <v>272</v>
      </c>
      <c r="E3" s="15" t="s">
        <v>273</v>
      </c>
      <c r="F3" s="22" t="s">
        <v>274</v>
      </c>
      <c r="G3" s="22"/>
      <c r="H3" s="22" t="s">
        <v>275</v>
      </c>
      <c r="I3" s="22" t="s">
        <v>277</v>
      </c>
      <c r="J3" s="22"/>
      <c r="K3" s="38"/>
      <c r="L3" s="37">
        <v>45633</v>
      </c>
      <c r="M3" s="37">
        <v>45997</v>
      </c>
      <c r="N3" s="22">
        <v>12</v>
      </c>
      <c r="O3" s="22">
        <v>8500</v>
      </c>
      <c r="P3" s="22"/>
      <c r="Q3" s="7" t="s">
        <v>195</v>
      </c>
      <c r="R3" s="22" t="s">
        <v>6275</v>
      </c>
      <c r="S3" s="30"/>
      <c r="T3" s="29">
        <v>100</v>
      </c>
    </row>
    <row r="4" spans="1:25" ht="45.75">
      <c r="A4" s="39">
        <v>3</v>
      </c>
      <c r="B4" s="52" t="s">
        <v>227</v>
      </c>
      <c r="C4" s="46" t="s">
        <v>2688</v>
      </c>
      <c r="D4" s="44" t="s">
        <v>6276</v>
      </c>
      <c r="E4" s="46" t="s">
        <v>2689</v>
      </c>
      <c r="F4" s="43" t="s">
        <v>2690</v>
      </c>
      <c r="G4" s="43"/>
      <c r="H4" s="44" t="s">
        <v>268</v>
      </c>
      <c r="I4" s="44" t="s">
        <v>277</v>
      </c>
      <c r="J4" s="44"/>
      <c r="K4" s="53"/>
      <c r="L4" s="42">
        <v>45637</v>
      </c>
      <c r="M4" s="42">
        <v>45971</v>
      </c>
      <c r="N4" s="43">
        <v>11</v>
      </c>
      <c r="O4" s="43">
        <v>8000</v>
      </c>
      <c r="P4" s="43"/>
      <c r="Q4" s="7" t="s">
        <v>176</v>
      </c>
      <c r="R4" s="22" t="s">
        <v>6275</v>
      </c>
      <c r="S4" s="30"/>
      <c r="T4">
        <v>100</v>
      </c>
    </row>
    <row r="5" spans="1:25">
      <c r="A5" s="39">
        <v>4</v>
      </c>
      <c r="B5" s="52"/>
      <c r="C5" s="46"/>
      <c r="D5" s="44"/>
      <c r="E5" s="46"/>
      <c r="F5" s="43"/>
      <c r="G5" s="43"/>
      <c r="H5" s="44"/>
      <c r="I5" s="44"/>
      <c r="J5" s="44"/>
      <c r="K5" s="53"/>
      <c r="L5" s="42"/>
      <c r="M5" s="42"/>
      <c r="N5" s="43"/>
      <c r="O5" s="43"/>
      <c r="P5" s="43"/>
      <c r="Q5" s="7"/>
      <c r="R5" s="22"/>
      <c r="S5" s="30"/>
    </row>
    <row r="6" spans="1:25">
      <c r="A6" s="39">
        <v>5</v>
      </c>
      <c r="B6" s="52"/>
      <c r="C6" s="46"/>
      <c r="D6" s="44"/>
      <c r="E6" s="46"/>
      <c r="F6" s="43"/>
      <c r="G6" s="43"/>
      <c r="H6" s="44"/>
      <c r="I6" s="44"/>
      <c r="J6" s="44"/>
      <c r="K6" s="53"/>
      <c r="L6" s="42"/>
      <c r="M6" s="42"/>
      <c r="N6" s="43"/>
      <c r="O6" s="43"/>
      <c r="P6" s="43"/>
      <c r="Q6" s="7"/>
      <c r="R6" s="22"/>
      <c r="S6" s="30"/>
    </row>
    <row r="7" spans="1:25">
      <c r="A7" s="23">
        <v>6</v>
      </c>
      <c r="B7" s="24"/>
      <c r="C7" s="22"/>
      <c r="D7" s="7"/>
      <c r="E7" s="25"/>
      <c r="F7" s="22"/>
      <c r="G7" s="22"/>
      <c r="H7" s="22"/>
      <c r="I7" s="7"/>
      <c r="J7" s="7"/>
      <c r="K7" s="17"/>
      <c r="L7" s="27"/>
      <c r="M7" s="27"/>
      <c r="N7" s="22"/>
      <c r="O7" s="22"/>
      <c r="P7" s="22"/>
      <c r="Q7" s="7"/>
      <c r="R7" s="22"/>
      <c r="S7" s="9"/>
    </row>
    <row r="8" spans="1:25">
      <c r="A8" s="39">
        <v>7</v>
      </c>
      <c r="B8" s="52"/>
      <c r="C8" s="43"/>
      <c r="D8" s="44"/>
      <c r="E8" s="211"/>
      <c r="F8" s="43"/>
      <c r="G8" s="43"/>
      <c r="H8" s="43"/>
      <c r="I8" s="44"/>
      <c r="J8" s="44"/>
      <c r="K8" s="74"/>
      <c r="L8" s="197"/>
      <c r="M8" s="197"/>
      <c r="N8" s="43"/>
      <c r="O8" s="43"/>
      <c r="P8" s="43"/>
      <c r="Q8" s="44"/>
      <c r="R8" s="43"/>
      <c r="S8" s="54"/>
    </row>
    <row r="9" spans="1:25" s="29" customFormat="1" ht="32.450000000000003" customHeight="1">
      <c r="A9" s="39">
        <v>8</v>
      </c>
      <c r="B9" s="52"/>
      <c r="C9" s="43"/>
      <c r="D9" s="44" t="s">
        <v>6277</v>
      </c>
      <c r="E9" s="211"/>
      <c r="F9" s="43"/>
      <c r="G9" s="43"/>
      <c r="H9" s="44" t="s">
        <v>268</v>
      </c>
      <c r="I9" s="44" t="s">
        <v>277</v>
      </c>
      <c r="J9" s="44"/>
      <c r="K9" s="53"/>
      <c r="L9" s="197">
        <v>45930</v>
      </c>
      <c r="M9" s="197">
        <v>46264</v>
      </c>
      <c r="N9" s="43">
        <v>11</v>
      </c>
      <c r="O9" s="43"/>
      <c r="P9" s="43"/>
      <c r="Q9" s="44" t="s">
        <v>176</v>
      </c>
      <c r="R9" s="43"/>
      <c r="S9" s="54"/>
    </row>
    <row r="10" spans="1:25" ht="45.75">
      <c r="A10" s="23">
        <v>9</v>
      </c>
      <c r="B10" s="139"/>
      <c r="C10" s="139"/>
      <c r="D10" s="133" t="s">
        <v>6278</v>
      </c>
      <c r="E10" s="140"/>
      <c r="F10" s="143"/>
      <c r="G10" s="143"/>
      <c r="H10" s="44" t="s">
        <v>268</v>
      </c>
      <c r="I10" s="44" t="s">
        <v>277</v>
      </c>
      <c r="J10" s="133"/>
      <c r="K10" s="185"/>
      <c r="L10" s="142">
        <v>45961</v>
      </c>
      <c r="M10" s="142">
        <v>46295</v>
      </c>
      <c r="N10" s="43">
        <v>11</v>
      </c>
      <c r="O10" s="139"/>
      <c r="Q10" s="44" t="s">
        <v>176</v>
      </c>
      <c r="R10" s="139"/>
      <c r="S10" s="133"/>
      <c r="Y10" s="16"/>
    </row>
    <row r="11" spans="1:25" s="34" customFormat="1" ht="45.75">
      <c r="A11" s="39">
        <v>10</v>
      </c>
      <c r="B11" s="139" t="s">
        <v>227</v>
      </c>
      <c r="C11" s="139" t="s">
        <v>6279</v>
      </c>
      <c r="D11" s="133" t="s">
        <v>6280</v>
      </c>
      <c r="E11" s="133" t="s">
        <v>6281</v>
      </c>
      <c r="F11" s="139">
        <v>9538065734</v>
      </c>
      <c r="G11" s="139" t="s">
        <v>6282</v>
      </c>
      <c r="H11" s="44" t="s">
        <v>268</v>
      </c>
      <c r="I11" s="44" t="s">
        <v>277</v>
      </c>
      <c r="J11" s="139"/>
      <c r="K11" s="139"/>
      <c r="L11" s="142">
        <v>45965</v>
      </c>
      <c r="M11" s="142">
        <v>46299</v>
      </c>
      <c r="N11" s="43">
        <v>11</v>
      </c>
      <c r="O11" s="139">
        <v>14000</v>
      </c>
      <c r="Q11" s="7" t="s">
        <v>195</v>
      </c>
      <c r="R11" s="139"/>
      <c r="S11" s="139" t="s">
        <v>6283</v>
      </c>
    </row>
    <row r="12" spans="1:25" ht="45.75">
      <c r="A12" s="23">
        <v>11</v>
      </c>
      <c r="B12" s="139" t="s">
        <v>227</v>
      </c>
      <c r="C12" s="133" t="s">
        <v>6284</v>
      </c>
      <c r="D12" s="133" t="s">
        <v>6285</v>
      </c>
      <c r="E12" s="206" t="s">
        <v>6286</v>
      </c>
      <c r="F12" s="139">
        <v>9945419396</v>
      </c>
      <c r="G12" s="139" t="s">
        <v>6287</v>
      </c>
      <c r="H12" s="44" t="s">
        <v>268</v>
      </c>
      <c r="I12" s="44" t="s">
        <v>277</v>
      </c>
      <c r="J12" s="133"/>
      <c r="K12" s="185"/>
      <c r="L12" s="142">
        <v>45967</v>
      </c>
      <c r="M12" s="142">
        <v>46301</v>
      </c>
      <c r="N12" s="43">
        <v>11</v>
      </c>
      <c r="O12" s="139">
        <v>13000</v>
      </c>
      <c r="Q12" s="44" t="s">
        <v>176</v>
      </c>
      <c r="R12" s="139"/>
      <c r="S12" s="133"/>
    </row>
    <row r="13" spans="1:25" ht="76.5">
      <c r="A13" s="39">
        <v>12</v>
      </c>
      <c r="B13" s="139" t="s">
        <v>227</v>
      </c>
      <c r="C13" s="133" t="s">
        <v>6288</v>
      </c>
      <c r="D13" s="133" t="s">
        <v>6289</v>
      </c>
      <c r="E13" s="207" t="s">
        <v>6290</v>
      </c>
      <c r="F13" s="208" t="s">
        <v>6291</v>
      </c>
      <c r="G13" s="133" t="s">
        <v>6292</v>
      </c>
      <c r="H13" s="44" t="s">
        <v>268</v>
      </c>
      <c r="I13" s="44" t="s">
        <v>277</v>
      </c>
      <c r="J13" s="133"/>
      <c r="K13" s="185"/>
      <c r="L13" s="142">
        <v>45979</v>
      </c>
      <c r="M13" s="142">
        <v>46313</v>
      </c>
      <c r="N13" s="43">
        <v>11</v>
      </c>
      <c r="O13" s="139">
        <v>9255</v>
      </c>
      <c r="Q13" s="7" t="s">
        <v>195</v>
      </c>
      <c r="R13" s="139"/>
      <c r="S13" s="207"/>
      <c r="T13">
        <f>9255+2000+4000</f>
        <v>15255</v>
      </c>
      <c r="U13">
        <f>T13*18%</f>
        <v>2745.9</v>
      </c>
      <c r="V13">
        <f>T13+U13</f>
        <v>18000.900000000001</v>
      </c>
    </row>
    <row r="14" spans="1:25" ht="45.75">
      <c r="A14" s="23">
        <v>13</v>
      </c>
      <c r="B14" s="139" t="s">
        <v>227</v>
      </c>
      <c r="C14" s="139" t="s">
        <v>6293</v>
      </c>
      <c r="D14" s="133" t="s">
        <v>6294</v>
      </c>
      <c r="E14" s="206" t="s">
        <v>6295</v>
      </c>
      <c r="F14" s="133">
        <v>8861975510</v>
      </c>
      <c r="G14" s="133" t="s">
        <v>6296</v>
      </c>
      <c r="H14" s="44" t="s">
        <v>268</v>
      </c>
      <c r="I14" s="44" t="s">
        <v>277</v>
      </c>
      <c r="J14" s="133"/>
      <c r="K14" s="185"/>
      <c r="L14" s="142">
        <v>45980</v>
      </c>
      <c r="M14" s="142">
        <v>46314</v>
      </c>
      <c r="N14" s="139">
        <v>11</v>
      </c>
      <c r="O14" s="139">
        <v>13000</v>
      </c>
      <c r="Q14" s="44" t="s">
        <v>176</v>
      </c>
      <c r="R14" s="139"/>
      <c r="S14" s="207"/>
      <c r="T14" s="77" t="s">
        <v>6297</v>
      </c>
    </row>
    <row r="15" spans="1:25" s="29" customFormat="1" ht="45.75">
      <c r="A15" s="39">
        <v>14</v>
      </c>
      <c r="B15" s="52" t="s">
        <v>227</v>
      </c>
      <c r="C15" s="44" t="s">
        <v>2688</v>
      </c>
      <c r="D15" s="44" t="s">
        <v>6276</v>
      </c>
      <c r="E15" s="46" t="s">
        <v>2689</v>
      </c>
      <c r="F15" s="43" t="s">
        <v>2690</v>
      </c>
      <c r="G15" s="43"/>
      <c r="H15" s="44" t="s">
        <v>268</v>
      </c>
      <c r="I15" s="44" t="s">
        <v>277</v>
      </c>
      <c r="J15" s="44"/>
      <c r="K15" s="53"/>
      <c r="L15" s="42"/>
      <c r="M15" s="42"/>
      <c r="N15" s="43">
        <v>11</v>
      </c>
      <c r="O15" s="43">
        <v>8000</v>
      </c>
      <c r="P15" s="43"/>
      <c r="Q15" s="7" t="s">
        <v>176</v>
      </c>
      <c r="R15" s="22" t="s">
        <v>1990</v>
      </c>
      <c r="S15" s="30"/>
      <c r="T15">
        <v>100</v>
      </c>
      <c r="U15"/>
      <c r="V15"/>
      <c r="W15"/>
      <c r="X15"/>
      <c r="Y15"/>
    </row>
    <row r="16" spans="1:25" s="29" customFormat="1" ht="45.75">
      <c r="A16" s="23">
        <v>15</v>
      </c>
      <c r="B16" s="24" t="s">
        <v>227</v>
      </c>
      <c r="C16" s="22" t="s">
        <v>271</v>
      </c>
      <c r="D16" s="7" t="s">
        <v>272</v>
      </c>
      <c r="E16" s="15" t="s">
        <v>273</v>
      </c>
      <c r="F16" s="22" t="s">
        <v>274</v>
      </c>
      <c r="G16" s="22"/>
      <c r="H16" s="22" t="s">
        <v>275</v>
      </c>
      <c r="I16" s="22" t="s">
        <v>277</v>
      </c>
      <c r="J16" s="22"/>
      <c r="K16" s="38"/>
      <c r="L16" s="37">
        <v>45987</v>
      </c>
      <c r="M16" s="37">
        <v>46321</v>
      </c>
      <c r="N16" s="22">
        <v>12</v>
      </c>
      <c r="O16" s="22">
        <v>8500</v>
      </c>
      <c r="P16" s="22"/>
      <c r="Q16" s="7" t="s">
        <v>195</v>
      </c>
      <c r="R16" s="22" t="s">
        <v>1990</v>
      </c>
      <c r="S16" s="30" t="s">
        <v>6298</v>
      </c>
      <c r="T16" s="29">
        <v>100</v>
      </c>
    </row>
    <row r="17" spans="1:25" s="29" customFormat="1" ht="60.75">
      <c r="A17" s="39">
        <v>16</v>
      </c>
      <c r="B17" s="43" t="s">
        <v>211</v>
      </c>
      <c r="C17" s="43" t="s">
        <v>6269</v>
      </c>
      <c r="D17" s="44" t="s">
        <v>6270</v>
      </c>
      <c r="E17" s="58" t="s">
        <v>6271</v>
      </c>
      <c r="F17" s="43" t="s">
        <v>6272</v>
      </c>
      <c r="G17" s="43" t="s">
        <v>6273</v>
      </c>
      <c r="H17" s="43" t="s">
        <v>172</v>
      </c>
      <c r="I17" s="43" t="s">
        <v>277</v>
      </c>
      <c r="J17" s="44" t="s">
        <v>276</v>
      </c>
      <c r="K17" s="43">
        <v>9741006431</v>
      </c>
      <c r="L17" s="197">
        <v>45993</v>
      </c>
      <c r="M17" s="197">
        <v>46328</v>
      </c>
      <c r="N17" s="43">
        <v>11</v>
      </c>
      <c r="O17" s="43">
        <v>13000</v>
      </c>
      <c r="P17" s="43"/>
      <c r="Q17" s="43" t="s">
        <v>6274</v>
      </c>
      <c r="R17" s="43" t="s">
        <v>1990</v>
      </c>
      <c r="S17" s="243"/>
      <c r="T17">
        <v>100</v>
      </c>
      <c r="U17"/>
      <c r="V17"/>
      <c r="W17"/>
      <c r="X17"/>
      <c r="Y17" t="s">
        <v>195</v>
      </c>
    </row>
    <row r="18" spans="1:25" s="141" customFormat="1" ht="45.75">
      <c r="A18" s="23">
        <v>17</v>
      </c>
      <c r="B18" s="139"/>
      <c r="C18" s="139"/>
      <c r="D18" s="133" t="s">
        <v>6299</v>
      </c>
      <c r="E18" s="137"/>
      <c r="F18" s="139"/>
      <c r="G18" s="139"/>
      <c r="H18" s="139"/>
      <c r="I18" s="139"/>
      <c r="J18" s="133"/>
      <c r="K18" s="139"/>
      <c r="L18" s="142" t="s">
        <v>2196</v>
      </c>
      <c r="M18" s="142" t="s">
        <v>2197</v>
      </c>
      <c r="N18" s="139">
        <v>11</v>
      </c>
      <c r="O18" s="139"/>
      <c r="P18" s="34"/>
      <c r="Q18" s="7" t="s">
        <v>195</v>
      </c>
      <c r="R18" s="139"/>
      <c r="S18" s="139"/>
      <c r="T18" s="161"/>
      <c r="U18" s="161"/>
      <c r="V18" s="161"/>
      <c r="W18" s="161"/>
      <c r="X18" s="161"/>
      <c r="Y18" s="161"/>
    </row>
    <row r="19" spans="1:25" s="141" customFormat="1" ht="45.75">
      <c r="A19" s="39">
        <v>18</v>
      </c>
      <c r="B19" s="139"/>
      <c r="C19" s="139"/>
      <c r="D19" s="133" t="s">
        <v>6300</v>
      </c>
      <c r="E19" s="137"/>
      <c r="F19" s="139"/>
      <c r="G19" s="139"/>
      <c r="H19" s="139"/>
      <c r="I19" s="139"/>
      <c r="J19" s="133"/>
      <c r="K19" s="139"/>
      <c r="L19" s="142" t="s">
        <v>2196</v>
      </c>
      <c r="M19" s="142" t="s">
        <v>2197</v>
      </c>
      <c r="N19" s="139">
        <v>11</v>
      </c>
      <c r="O19" s="139"/>
      <c r="P19" s="34"/>
      <c r="Q19" s="92" t="s">
        <v>176</v>
      </c>
      <c r="R19" s="139"/>
      <c r="S19" s="139"/>
      <c r="T19" s="161"/>
      <c r="U19" s="161"/>
      <c r="V19" s="161"/>
      <c r="W19" s="161"/>
      <c r="X19" s="161"/>
      <c r="Y19" s="161"/>
    </row>
    <row r="20" spans="1:25" s="141" customFormat="1" ht="45.75">
      <c r="A20" s="23">
        <v>19</v>
      </c>
      <c r="B20" s="139"/>
      <c r="C20" s="139"/>
      <c r="D20" s="133" t="s">
        <v>6301</v>
      </c>
      <c r="E20" s="137"/>
      <c r="F20" s="139"/>
      <c r="G20" s="139"/>
      <c r="H20" s="139"/>
      <c r="I20" s="139"/>
      <c r="J20" s="133"/>
      <c r="K20" s="139"/>
      <c r="L20" s="142" t="s">
        <v>2199</v>
      </c>
      <c r="M20" s="142" t="s">
        <v>2200</v>
      </c>
      <c r="N20" s="139">
        <v>11</v>
      </c>
      <c r="O20" s="139"/>
      <c r="P20" s="34"/>
      <c r="Q20" s="7" t="s">
        <v>195</v>
      </c>
      <c r="R20" s="139"/>
      <c r="S20" s="139"/>
      <c r="T20" s="161"/>
      <c r="U20" s="161"/>
      <c r="V20" s="161"/>
      <c r="W20" s="161"/>
      <c r="X20" s="161"/>
      <c r="Y20" s="161"/>
    </row>
    <row r="21" spans="1:25" s="141" customFormat="1" ht="45.75">
      <c r="A21" s="39">
        <v>20</v>
      </c>
      <c r="B21" s="139"/>
      <c r="C21" s="139"/>
      <c r="D21" s="133" t="s">
        <v>6302</v>
      </c>
      <c r="E21" s="137"/>
      <c r="F21" s="139"/>
      <c r="G21" s="139"/>
      <c r="H21" s="139"/>
      <c r="I21" s="139"/>
      <c r="J21" s="133"/>
      <c r="K21" s="139"/>
      <c r="L21" s="142" t="s">
        <v>6303</v>
      </c>
      <c r="M21" s="142" t="s">
        <v>2317</v>
      </c>
      <c r="N21" s="139">
        <v>11</v>
      </c>
      <c r="O21" s="139"/>
      <c r="P21" s="34"/>
      <c r="Q21" s="92" t="s">
        <v>176</v>
      </c>
      <c r="R21" s="139"/>
      <c r="S21" s="139"/>
      <c r="T21" s="161"/>
      <c r="U21" s="161"/>
      <c r="V21" s="161"/>
      <c r="W21" s="161"/>
      <c r="X21" s="161"/>
      <c r="Y21" s="161"/>
    </row>
    <row r="22" spans="1:25" s="141" customFormat="1" ht="45.75">
      <c r="A22" s="23">
        <v>21</v>
      </c>
      <c r="B22" s="139"/>
      <c r="C22" s="139"/>
      <c r="D22" s="133" t="s">
        <v>6304</v>
      </c>
      <c r="E22" s="137"/>
      <c r="F22" s="139"/>
      <c r="G22" s="139"/>
      <c r="H22" s="139"/>
      <c r="I22" s="139"/>
      <c r="J22" s="133"/>
      <c r="K22" s="139"/>
      <c r="L22" s="142">
        <v>46023</v>
      </c>
      <c r="M22" s="142" t="s">
        <v>3553</v>
      </c>
      <c r="N22" s="139">
        <v>11</v>
      </c>
      <c r="O22" s="139"/>
      <c r="P22" s="34"/>
      <c r="Q22" s="92" t="s">
        <v>176</v>
      </c>
      <c r="R22" s="139"/>
      <c r="S22" s="139"/>
      <c r="T22" s="161"/>
      <c r="U22" s="161"/>
      <c r="V22" s="161"/>
      <c r="W22" s="161"/>
      <c r="X22" s="161"/>
      <c r="Y22" s="161"/>
    </row>
    <row r="23" spans="1:25" s="141" customFormat="1" ht="45.75">
      <c r="A23" s="39">
        <v>22</v>
      </c>
      <c r="B23" s="139"/>
      <c r="C23" s="139"/>
      <c r="D23" s="133" t="s">
        <v>6305</v>
      </c>
      <c r="E23" s="137"/>
      <c r="F23" s="139"/>
      <c r="G23" s="139"/>
      <c r="H23" s="139"/>
      <c r="I23" s="139"/>
      <c r="J23" s="133"/>
      <c r="K23" s="139"/>
      <c r="L23" s="142" t="s">
        <v>3950</v>
      </c>
      <c r="M23" s="142" t="s">
        <v>5864</v>
      </c>
      <c r="N23" s="139">
        <v>11</v>
      </c>
      <c r="O23" s="139"/>
      <c r="P23" s="34"/>
      <c r="Q23" s="92" t="s">
        <v>176</v>
      </c>
      <c r="R23" s="139"/>
      <c r="S23" s="139"/>
      <c r="T23" s="161"/>
      <c r="U23" s="161"/>
      <c r="V23" s="161"/>
      <c r="W23" s="161"/>
      <c r="X23" s="161"/>
      <c r="Y23" s="161"/>
    </row>
    <row r="24" spans="1:25" s="141" customFormat="1" ht="45.75">
      <c r="A24" s="23">
        <v>23</v>
      </c>
      <c r="B24" s="139"/>
      <c r="C24" s="139"/>
      <c r="D24" s="133" t="s">
        <v>6306</v>
      </c>
      <c r="E24" s="137"/>
      <c r="F24" s="139"/>
      <c r="G24" s="139"/>
      <c r="H24" s="139"/>
      <c r="I24" s="139"/>
      <c r="J24" s="133"/>
      <c r="K24" s="139"/>
      <c r="L24" s="142" t="s">
        <v>2266</v>
      </c>
      <c r="M24" s="142" t="s">
        <v>3579</v>
      </c>
      <c r="N24" s="139">
        <v>11</v>
      </c>
      <c r="O24" s="139"/>
      <c r="P24" s="34"/>
      <c r="Q24" s="7" t="s">
        <v>195</v>
      </c>
      <c r="R24" s="139"/>
      <c r="S24" s="139"/>
      <c r="T24" s="161"/>
      <c r="U24" s="161"/>
      <c r="V24" s="161"/>
      <c r="W24" s="161"/>
      <c r="X24" s="161"/>
      <c r="Y24" s="161"/>
    </row>
    <row r="25" spans="1:25" s="141" customFormat="1" ht="45.75">
      <c r="A25" s="39">
        <v>24</v>
      </c>
      <c r="B25" s="139"/>
      <c r="C25" s="139"/>
      <c r="D25" s="142" t="s">
        <v>6307</v>
      </c>
      <c r="E25" s="137"/>
      <c r="F25" s="139"/>
      <c r="G25" s="139"/>
      <c r="H25" s="139"/>
      <c r="I25" s="139"/>
      <c r="J25" s="133"/>
      <c r="K25" s="139"/>
      <c r="L25" s="141" t="s">
        <v>3585</v>
      </c>
      <c r="M25" s="142" t="s">
        <v>3586</v>
      </c>
      <c r="N25" s="139">
        <v>11</v>
      </c>
      <c r="O25" s="139"/>
      <c r="P25" s="34"/>
      <c r="Q25" s="7" t="s">
        <v>195</v>
      </c>
      <c r="R25" s="139"/>
      <c r="S25" s="139"/>
      <c r="T25" s="161"/>
      <c r="U25" s="161"/>
      <c r="V25" s="161"/>
      <c r="W25" s="161"/>
      <c r="X25" s="161"/>
      <c r="Y25" s="161"/>
    </row>
    <row r="26" spans="1:25" s="29" customFormat="1" ht="45.75">
      <c r="A26" s="23">
        <v>25</v>
      </c>
      <c r="B26" s="34"/>
      <c r="C26" s="244"/>
      <c r="D26" s="248" t="s">
        <v>6308</v>
      </c>
      <c r="E26" s="246"/>
      <c r="F26" s="244"/>
      <c r="G26" s="244"/>
      <c r="H26" s="244"/>
      <c r="I26" s="244"/>
      <c r="J26" s="245"/>
      <c r="K26" s="244"/>
      <c r="L26" s="249" t="s">
        <v>98</v>
      </c>
      <c r="M26" s="248" t="s">
        <v>2285</v>
      </c>
      <c r="N26" s="139">
        <v>11</v>
      </c>
      <c r="O26" s="244"/>
      <c r="P26" s="34"/>
      <c r="Q26" s="7" t="s">
        <v>195</v>
      </c>
      <c r="R26" s="244"/>
      <c r="S26" s="244"/>
      <c r="T26"/>
      <c r="U26"/>
      <c r="V26"/>
      <c r="W26"/>
      <c r="X26"/>
      <c r="Y26"/>
    </row>
    <row r="27" spans="1:25" s="29" customFormat="1" ht="45.75">
      <c r="A27" s="39">
        <v>26</v>
      </c>
      <c r="B27" s="105" t="s">
        <v>211</v>
      </c>
      <c r="C27" s="245" t="s">
        <v>6309</v>
      </c>
      <c r="D27" s="245" t="s">
        <v>6310</v>
      </c>
      <c r="E27" s="246" t="s">
        <v>6311</v>
      </c>
      <c r="F27" s="244"/>
      <c r="G27" s="244"/>
      <c r="H27" s="244"/>
      <c r="I27" s="245"/>
      <c r="J27" s="245"/>
      <c r="K27" s="247"/>
      <c r="L27" s="248" t="s">
        <v>101</v>
      </c>
      <c r="M27" s="248" t="s">
        <v>2293</v>
      </c>
      <c r="N27" s="139">
        <v>11</v>
      </c>
      <c r="O27" s="244">
        <v>15000</v>
      </c>
      <c r="P27" s="34"/>
      <c r="Q27" s="92" t="s">
        <v>176</v>
      </c>
      <c r="R27" s="244"/>
      <c r="S27" s="245"/>
    </row>
    <row r="28" spans="1:25" ht="45.75">
      <c r="A28" s="23">
        <v>27</v>
      </c>
      <c r="B28" s="105" t="s">
        <v>211</v>
      </c>
      <c r="C28" s="161"/>
      <c r="D28" s="207" t="s">
        <v>6312</v>
      </c>
      <c r="E28" s="161"/>
      <c r="F28" s="143">
        <v>9445883007</v>
      </c>
      <c r="G28" s="143"/>
      <c r="H28" s="143"/>
      <c r="I28" s="143"/>
      <c r="J28" s="143"/>
      <c r="K28" s="161"/>
      <c r="L28" s="250">
        <v>46055</v>
      </c>
      <c r="M28" s="250">
        <v>46388</v>
      </c>
      <c r="N28" s="161">
        <v>11</v>
      </c>
      <c r="O28" s="139">
        <v>10000</v>
      </c>
      <c r="Q28" s="92" t="s">
        <v>176</v>
      </c>
      <c r="R28" s="161"/>
      <c r="S28" s="161"/>
    </row>
    <row r="29" spans="1:25" ht="45.75">
      <c r="A29" s="139">
        <v>28</v>
      </c>
      <c r="B29" s="105" t="s">
        <v>227</v>
      </c>
      <c r="C29" s="141" t="s">
        <v>6313</v>
      </c>
      <c r="D29" s="133" t="s">
        <v>6314</v>
      </c>
      <c r="E29" s="145"/>
      <c r="F29" s="139">
        <v>7397366432</v>
      </c>
      <c r="G29" s="139"/>
      <c r="H29" s="133"/>
      <c r="I29" s="133"/>
      <c r="J29" s="133"/>
      <c r="K29" s="185"/>
      <c r="L29" s="146" t="s">
        <v>104</v>
      </c>
      <c r="M29" s="146" t="s">
        <v>2321</v>
      </c>
      <c r="N29" s="139">
        <v>11</v>
      </c>
      <c r="O29" s="139"/>
      <c r="Q29" s="7" t="s">
        <v>195</v>
      </c>
      <c r="R29" s="139"/>
      <c r="S29" s="133" t="s">
        <v>6315</v>
      </c>
    </row>
    <row r="30" spans="1:25" ht="45.75">
      <c r="A30" s="139">
        <v>29</v>
      </c>
      <c r="B30" s="105" t="s">
        <v>227</v>
      </c>
      <c r="C30" s="141" t="s">
        <v>3969</v>
      </c>
      <c r="D30" s="133" t="s">
        <v>6316</v>
      </c>
      <c r="E30" s="145"/>
      <c r="F30" s="139">
        <v>9740387775</v>
      </c>
      <c r="G30" s="139"/>
      <c r="H30" s="133"/>
      <c r="I30" s="139"/>
      <c r="J30" s="133"/>
      <c r="K30" s="138"/>
      <c r="L30" s="146" t="s">
        <v>2546</v>
      </c>
      <c r="M30" s="146" t="s">
        <v>2547</v>
      </c>
      <c r="N30" s="139">
        <v>11</v>
      </c>
      <c r="O30" s="139"/>
      <c r="Q30" s="92" t="s">
        <v>176</v>
      </c>
      <c r="R30" s="139"/>
      <c r="S30" s="228" t="s">
        <v>6317</v>
      </c>
    </row>
    <row r="31" spans="1:25" ht="45.75">
      <c r="A31" s="139">
        <v>30</v>
      </c>
      <c r="B31" s="105" t="s">
        <v>227</v>
      </c>
      <c r="C31" s="141"/>
      <c r="D31" s="133" t="s">
        <v>6318</v>
      </c>
      <c r="E31" s="145"/>
      <c r="F31" s="139"/>
      <c r="G31" s="139"/>
      <c r="H31" s="133"/>
      <c r="I31" s="139"/>
      <c r="J31" s="133"/>
      <c r="K31" s="138"/>
      <c r="L31" s="146" t="s">
        <v>6319</v>
      </c>
      <c r="M31" s="146" t="s">
        <v>6320</v>
      </c>
      <c r="N31" s="139">
        <v>11</v>
      </c>
      <c r="O31" s="139"/>
      <c r="Q31" s="92" t="s">
        <v>176</v>
      </c>
      <c r="R31" s="139"/>
      <c r="S31" s="133"/>
    </row>
    <row r="32" spans="1:25" ht="45.75">
      <c r="A32" s="139">
        <v>31</v>
      </c>
      <c r="B32" s="105" t="s">
        <v>227</v>
      </c>
      <c r="C32" s="161"/>
      <c r="D32" s="207" t="s">
        <v>6321</v>
      </c>
      <c r="E32" s="161"/>
      <c r="F32" s="143"/>
      <c r="G32" s="143"/>
      <c r="H32" s="143"/>
      <c r="I32" s="143"/>
      <c r="J32" s="143"/>
      <c r="K32" s="161"/>
      <c r="L32" s="161" t="s">
        <v>2341</v>
      </c>
      <c r="M32" s="161" t="s">
        <v>2342</v>
      </c>
      <c r="N32" s="161">
        <v>11</v>
      </c>
      <c r="O32" s="139"/>
      <c r="Q32" s="7" t="s">
        <v>195</v>
      </c>
      <c r="R32" s="161"/>
      <c r="S32" s="161"/>
    </row>
    <row r="33" spans="1:25" ht="45.75">
      <c r="A33" s="139">
        <v>32</v>
      </c>
      <c r="B33" s="105" t="s">
        <v>227</v>
      </c>
      <c r="C33" s="141" t="s">
        <v>6322</v>
      </c>
      <c r="D33" s="133" t="s">
        <v>6323</v>
      </c>
      <c r="E33" s="147"/>
      <c r="F33" s="141">
        <v>9447439775</v>
      </c>
      <c r="G33" s="141"/>
      <c r="H33" s="139"/>
      <c r="I33" s="139"/>
      <c r="J33" s="133"/>
      <c r="K33" s="138"/>
      <c r="L33" s="161" t="s">
        <v>2341</v>
      </c>
      <c r="M33" s="161" t="s">
        <v>2342</v>
      </c>
      <c r="N33" s="139">
        <v>11</v>
      </c>
      <c r="O33" s="139"/>
      <c r="Q33" s="92" t="s">
        <v>176</v>
      </c>
      <c r="R33" s="139"/>
      <c r="S33" s="228" t="s">
        <v>6324</v>
      </c>
    </row>
    <row r="34" spans="1:25" ht="30.75">
      <c r="A34" s="139">
        <v>33</v>
      </c>
      <c r="B34" s="105" t="s">
        <v>227</v>
      </c>
      <c r="C34" s="161"/>
      <c r="D34" s="207" t="s">
        <v>6325</v>
      </c>
      <c r="E34" s="147"/>
      <c r="F34" s="143"/>
      <c r="G34" s="143"/>
      <c r="H34" s="139"/>
      <c r="I34" s="139"/>
      <c r="J34" s="133"/>
      <c r="K34" s="138"/>
      <c r="L34" s="146"/>
      <c r="M34" s="146"/>
      <c r="N34" s="139"/>
      <c r="O34" s="139"/>
      <c r="P34" s="139"/>
      <c r="Q34" s="133"/>
      <c r="R34" s="139"/>
      <c r="S34" s="133"/>
    </row>
    <row r="35" spans="1:25" ht="76.5">
      <c r="A35" s="148">
        <v>34</v>
      </c>
      <c r="B35" s="105" t="s">
        <v>227</v>
      </c>
      <c r="C35" s="149" t="s">
        <v>6326</v>
      </c>
      <c r="D35" s="150" t="s">
        <v>6327</v>
      </c>
      <c r="E35" s="209" t="s">
        <v>6328</v>
      </c>
      <c r="F35" s="150" t="s">
        <v>6329</v>
      </c>
      <c r="G35" s="148"/>
      <c r="H35" s="148"/>
      <c r="I35" s="148"/>
      <c r="J35" s="150"/>
      <c r="K35" s="151"/>
      <c r="L35" s="152" t="s">
        <v>2238</v>
      </c>
      <c r="M35" s="152" t="s">
        <v>2239</v>
      </c>
      <c r="N35" s="148">
        <v>11</v>
      </c>
      <c r="O35" s="148"/>
      <c r="P35" s="210"/>
      <c r="Q35" s="92" t="s">
        <v>176</v>
      </c>
      <c r="R35" s="148"/>
      <c r="S35" s="150" t="s">
        <v>6330</v>
      </c>
      <c r="T35" s="210"/>
    </row>
    <row r="36" spans="1:25" ht="121.5">
      <c r="A36" s="139">
        <v>35</v>
      </c>
      <c r="B36" s="105" t="s">
        <v>227</v>
      </c>
      <c r="C36" s="139" t="s">
        <v>990</v>
      </c>
      <c r="D36" s="133" t="s">
        <v>991</v>
      </c>
      <c r="E36" s="145" t="s">
        <v>992</v>
      </c>
      <c r="F36" s="154">
        <v>9903309412</v>
      </c>
      <c r="G36" s="154" t="s">
        <v>993</v>
      </c>
      <c r="H36" s="139" t="s">
        <v>290</v>
      </c>
      <c r="I36" s="133" t="s">
        <v>417</v>
      </c>
      <c r="J36" s="133"/>
      <c r="K36" s="180"/>
      <c r="L36" s="146" t="s">
        <v>2238</v>
      </c>
      <c r="M36" s="146" t="s">
        <v>2239</v>
      </c>
      <c r="N36" s="139">
        <v>11</v>
      </c>
      <c r="O36" s="139"/>
      <c r="P36" s="139"/>
      <c r="Q36" s="133" t="s">
        <v>195</v>
      </c>
      <c r="R36" s="139"/>
      <c r="S36" s="139"/>
      <c r="T36" s="139"/>
      <c r="U36" s="162"/>
      <c r="V36" s="133"/>
      <c r="W36" s="162"/>
      <c r="X36" s="133"/>
      <c r="Y36" s="85"/>
    </row>
    <row r="37" spans="1:25" ht="106.5">
      <c r="A37" s="212">
        <v>36</v>
      </c>
      <c r="B37" s="105" t="s">
        <v>227</v>
      </c>
      <c r="C37" s="76" t="s">
        <v>6331</v>
      </c>
      <c r="D37" s="172" t="s">
        <v>6332</v>
      </c>
      <c r="E37" s="213" t="s">
        <v>6333</v>
      </c>
      <c r="F37" s="279" t="s">
        <v>6334</v>
      </c>
      <c r="G37" s="214"/>
      <c r="H37" s="78"/>
      <c r="I37" s="92"/>
      <c r="J37" s="92"/>
      <c r="K37" s="215"/>
      <c r="L37" s="173">
        <v>46056</v>
      </c>
      <c r="M37" s="173">
        <v>46389</v>
      </c>
      <c r="N37" s="78">
        <v>11</v>
      </c>
      <c r="O37" s="78"/>
      <c r="Q37" s="133" t="s">
        <v>195</v>
      </c>
      <c r="R37" s="105"/>
      <c r="S37" s="280" t="s">
        <v>6335</v>
      </c>
    </row>
    <row r="38" spans="1:25" ht="60.75">
      <c r="A38" s="39">
        <v>37</v>
      </c>
      <c r="B38" s="105" t="s">
        <v>227</v>
      </c>
      <c r="C38" s="44" t="s">
        <v>6336</v>
      </c>
      <c r="D38" s="79" t="s">
        <v>6337</v>
      </c>
      <c r="E38" s="41" t="s">
        <v>6338</v>
      </c>
      <c r="F38" s="50">
        <v>9503971867</v>
      </c>
      <c r="G38" s="50" t="s">
        <v>6339</v>
      </c>
      <c r="H38" s="43"/>
      <c r="I38" s="7"/>
      <c r="J38" s="7"/>
      <c r="K38" s="36"/>
      <c r="L38" s="42">
        <v>46084</v>
      </c>
      <c r="M38" s="42">
        <v>46420</v>
      </c>
      <c r="N38" s="43">
        <v>11</v>
      </c>
      <c r="O38" s="43"/>
      <c r="P38" s="78"/>
      <c r="Q38" s="92" t="s">
        <v>176</v>
      </c>
      <c r="R38" s="22"/>
      <c r="S38" s="54" t="s">
        <v>6340</v>
      </c>
    </row>
    <row r="39" spans="1:25" ht="45.75">
      <c r="A39" s="39">
        <v>38</v>
      </c>
      <c r="B39" s="105" t="s">
        <v>227</v>
      </c>
      <c r="C39" s="45" t="s">
        <v>6341</v>
      </c>
      <c r="D39" s="44" t="s">
        <v>6342</v>
      </c>
      <c r="E39" s="41"/>
      <c r="F39" s="43">
        <v>9900995585</v>
      </c>
      <c r="G39" s="43"/>
      <c r="H39" s="43"/>
      <c r="I39" s="22"/>
      <c r="J39" s="7"/>
      <c r="K39" s="17"/>
      <c r="L39" s="42">
        <v>46176</v>
      </c>
      <c r="M39" s="42">
        <v>46509</v>
      </c>
      <c r="N39" s="43">
        <v>11</v>
      </c>
      <c r="O39" s="43"/>
      <c r="Q39" s="133" t="s">
        <v>195</v>
      </c>
      <c r="R39" s="22"/>
      <c r="S39" s="282" t="s">
        <v>6343</v>
      </c>
    </row>
    <row r="40" spans="1:25" ht="45.75">
      <c r="A40" s="39">
        <v>39</v>
      </c>
      <c r="B40" s="105" t="s">
        <v>227</v>
      </c>
      <c r="C40" s="45" t="s">
        <v>6344</v>
      </c>
      <c r="D40" s="44" t="s">
        <v>6345</v>
      </c>
      <c r="E40" s="41" t="s">
        <v>6346</v>
      </c>
      <c r="F40" s="43">
        <v>9814399909</v>
      </c>
      <c r="G40" s="43" t="s">
        <v>6347</v>
      </c>
      <c r="H40" s="43"/>
      <c r="I40" s="7"/>
      <c r="J40" s="7"/>
      <c r="K40" s="36"/>
      <c r="L40" s="42">
        <v>46298</v>
      </c>
      <c r="M40" s="42">
        <v>46632</v>
      </c>
      <c r="N40" s="43">
        <v>11</v>
      </c>
      <c r="O40" s="43"/>
      <c r="P40" s="78"/>
      <c r="Q40" s="92" t="s">
        <v>176</v>
      </c>
      <c r="R40" s="22"/>
      <c r="S40" s="54" t="s">
        <v>6348</v>
      </c>
    </row>
    <row r="41" spans="1:25" ht="45.75">
      <c r="A41" s="39">
        <v>40</v>
      </c>
      <c r="B41" s="105" t="s">
        <v>227</v>
      </c>
      <c r="C41" s="45"/>
      <c r="D41" s="44" t="s">
        <v>6349</v>
      </c>
      <c r="E41" s="41"/>
      <c r="F41" s="43"/>
      <c r="G41" s="43"/>
      <c r="H41" s="43"/>
      <c r="I41" s="7"/>
      <c r="J41" s="7"/>
      <c r="K41" s="36"/>
      <c r="L41" s="42" t="s">
        <v>2518</v>
      </c>
      <c r="M41" s="42" t="s">
        <v>2511</v>
      </c>
      <c r="N41" s="43">
        <v>11</v>
      </c>
      <c r="O41" s="43"/>
      <c r="P41" s="78"/>
      <c r="Q41" s="92" t="s">
        <v>176</v>
      </c>
      <c r="R41" s="22"/>
      <c r="S41" s="282" t="s">
        <v>6350</v>
      </c>
      <c r="T41" t="s">
        <v>6264</v>
      </c>
    </row>
    <row r="42" spans="1:25" ht="60.75">
      <c r="A42" s="39">
        <v>41</v>
      </c>
      <c r="B42" s="105" t="s">
        <v>227</v>
      </c>
      <c r="C42" s="46" t="s">
        <v>6351</v>
      </c>
      <c r="D42" s="44" t="s">
        <v>6352</v>
      </c>
      <c r="E42" s="41"/>
      <c r="F42" s="44" t="s">
        <v>6353</v>
      </c>
      <c r="G42" s="43"/>
      <c r="H42" s="43"/>
      <c r="I42" s="7"/>
      <c r="J42" s="7"/>
      <c r="K42" s="36"/>
      <c r="L42" s="42" t="s">
        <v>2388</v>
      </c>
      <c r="M42" s="42" t="s">
        <v>2389</v>
      </c>
      <c r="N42" s="43">
        <v>11</v>
      </c>
      <c r="O42" s="43"/>
      <c r="P42" s="78"/>
      <c r="Q42" s="92" t="s">
        <v>176</v>
      </c>
      <c r="R42" s="22"/>
      <c r="S42" s="54" t="s">
        <v>6354</v>
      </c>
      <c r="T42" s="75" t="s">
        <v>6264</v>
      </c>
    </row>
    <row r="43" spans="1:25" ht="45.75">
      <c r="A43" s="39">
        <v>42</v>
      </c>
      <c r="B43" s="105" t="s">
        <v>227</v>
      </c>
      <c r="C43" s="45" t="s">
        <v>6355</v>
      </c>
      <c r="D43" s="44" t="s">
        <v>6356</v>
      </c>
      <c r="E43" s="41"/>
      <c r="F43" s="43" t="s">
        <v>6357</v>
      </c>
      <c r="G43" s="43"/>
      <c r="H43" s="43"/>
      <c r="I43" s="7"/>
      <c r="J43" s="7"/>
      <c r="K43" s="36"/>
      <c r="L43" s="42" t="s">
        <v>2408</v>
      </c>
      <c r="M43" s="42" t="s">
        <v>2409</v>
      </c>
      <c r="N43" s="43">
        <v>11</v>
      </c>
      <c r="O43" s="43"/>
      <c r="Q43" s="133" t="s">
        <v>195</v>
      </c>
      <c r="R43" s="22"/>
      <c r="S43" s="54"/>
      <c r="T43" t="s">
        <v>6264</v>
      </c>
    </row>
    <row r="44" spans="1:25" ht="45.75">
      <c r="A44" s="39">
        <v>43</v>
      </c>
      <c r="B44" s="105" t="s">
        <v>227</v>
      </c>
      <c r="C44" s="46" t="s">
        <v>6358</v>
      </c>
      <c r="D44" s="44" t="s">
        <v>6359</v>
      </c>
      <c r="E44" s="359" t="s">
        <v>6360</v>
      </c>
      <c r="F44" s="43">
        <v>9111110933</v>
      </c>
      <c r="G44" s="43"/>
      <c r="H44" s="43"/>
      <c r="I44" s="7"/>
      <c r="J44" s="7"/>
      <c r="K44" s="36"/>
      <c r="L44" s="42">
        <v>46026</v>
      </c>
      <c r="M44" s="42" t="s">
        <v>3750</v>
      </c>
      <c r="N44" s="43">
        <v>11</v>
      </c>
      <c r="O44" s="43"/>
      <c r="P44" s="78"/>
      <c r="Q44" s="92" t="s">
        <v>176</v>
      </c>
      <c r="S44" s="282" t="s">
        <v>6361</v>
      </c>
      <c r="T44" t="s">
        <v>6264</v>
      </c>
    </row>
    <row r="45" spans="1:25" ht="30.75">
      <c r="A45" s="39">
        <v>44</v>
      </c>
      <c r="B45" s="52"/>
      <c r="C45" s="46"/>
      <c r="D45" s="44" t="s">
        <v>6362</v>
      </c>
      <c r="E45" s="46"/>
      <c r="F45" s="43"/>
      <c r="G45" s="43"/>
      <c r="H45" s="43"/>
      <c r="I45" s="7"/>
      <c r="J45" s="7"/>
      <c r="K45" s="36"/>
      <c r="L45" s="42">
        <v>46330</v>
      </c>
      <c r="M45" s="42">
        <v>46664</v>
      </c>
      <c r="N45" s="43">
        <v>12</v>
      </c>
      <c r="O45" s="43"/>
      <c r="P45" s="43"/>
      <c r="Q45" s="22" t="s">
        <v>6363</v>
      </c>
      <c r="R45" s="22"/>
      <c r="S45" s="54"/>
    </row>
    <row r="46" spans="1:25" ht="45.75">
      <c r="A46" s="39">
        <v>45</v>
      </c>
      <c r="B46" s="105" t="s">
        <v>227</v>
      </c>
      <c r="C46" s="43" t="s">
        <v>6364</v>
      </c>
      <c r="D46" s="44" t="s">
        <v>6365</v>
      </c>
      <c r="E46" s="41" t="s">
        <v>6366</v>
      </c>
      <c r="F46" s="43">
        <v>9423554969</v>
      </c>
      <c r="G46" s="43" t="s">
        <v>6367</v>
      </c>
      <c r="H46" s="43"/>
      <c r="I46" s="7"/>
      <c r="J46" s="7"/>
      <c r="K46" s="36"/>
      <c r="L46" s="42" t="s">
        <v>2469</v>
      </c>
      <c r="M46" s="42" t="s">
        <v>2470</v>
      </c>
      <c r="N46" s="43">
        <v>11</v>
      </c>
      <c r="O46" s="43"/>
      <c r="P46" s="78"/>
      <c r="Q46" s="92" t="s">
        <v>176</v>
      </c>
      <c r="R46" s="22"/>
      <c r="S46" s="282" t="s">
        <v>6368</v>
      </c>
    </row>
    <row r="47" spans="1:25" ht="60.75">
      <c r="A47" s="39">
        <v>46</v>
      </c>
      <c r="B47" s="105" t="s">
        <v>227</v>
      </c>
      <c r="C47" s="43" t="s">
        <v>6369</v>
      </c>
      <c r="D47" s="44" t="s">
        <v>6370</v>
      </c>
      <c r="E47" s="41" t="s">
        <v>6371</v>
      </c>
      <c r="F47" s="43">
        <v>7259134646</v>
      </c>
      <c r="G47" s="43" t="s">
        <v>6372</v>
      </c>
      <c r="H47" s="43"/>
      <c r="I47" s="7"/>
      <c r="J47" s="7"/>
      <c r="K47" s="36"/>
      <c r="L47" s="42" t="s">
        <v>2469</v>
      </c>
      <c r="M47" s="42" t="s">
        <v>2470</v>
      </c>
      <c r="N47" s="43">
        <v>11</v>
      </c>
      <c r="O47" s="43"/>
      <c r="P47" s="78"/>
      <c r="Q47" s="92" t="s">
        <v>176</v>
      </c>
      <c r="R47" s="22"/>
      <c r="S47" s="282" t="s">
        <v>6373</v>
      </c>
    </row>
    <row r="48" spans="1:25" ht="121.5">
      <c r="A48" s="39">
        <v>47</v>
      </c>
      <c r="B48" s="105" t="s">
        <v>227</v>
      </c>
      <c r="C48" s="43" t="s">
        <v>6374</v>
      </c>
      <c r="D48" s="44" t="s">
        <v>6375</v>
      </c>
      <c r="E48" s="41" t="s">
        <v>6376</v>
      </c>
      <c r="F48" s="43">
        <v>9113286220</v>
      </c>
      <c r="G48" s="43" t="s">
        <v>6377</v>
      </c>
      <c r="H48" s="43"/>
      <c r="I48" s="7"/>
      <c r="J48" s="7"/>
      <c r="K48" s="36"/>
      <c r="L48" s="42" t="s">
        <v>2446</v>
      </c>
      <c r="M48" s="42" t="s">
        <v>2447</v>
      </c>
      <c r="N48" s="43">
        <v>11</v>
      </c>
      <c r="O48" s="43"/>
      <c r="P48" s="78"/>
      <c r="Q48" s="92" t="s">
        <v>176</v>
      </c>
      <c r="R48" s="22"/>
      <c r="S48" s="282" t="s">
        <v>6378</v>
      </c>
    </row>
    <row r="49" spans="1:24" ht="76.5">
      <c r="A49" s="39">
        <v>48</v>
      </c>
      <c r="B49" s="105" t="s">
        <v>227</v>
      </c>
      <c r="C49" s="43" t="s">
        <v>6379</v>
      </c>
      <c r="D49" s="44" t="s">
        <v>6380</v>
      </c>
      <c r="E49" s="46" t="s">
        <v>6381</v>
      </c>
      <c r="F49" s="43">
        <v>9035689688</v>
      </c>
      <c r="G49" s="43" t="s">
        <v>6382</v>
      </c>
      <c r="H49" s="43"/>
      <c r="I49" s="7"/>
      <c r="J49" s="7"/>
      <c r="K49" s="36"/>
      <c r="L49" s="42" t="s">
        <v>2446</v>
      </c>
      <c r="M49" s="42" t="s">
        <v>2447</v>
      </c>
      <c r="N49" s="43">
        <v>11</v>
      </c>
      <c r="O49" s="43"/>
      <c r="Q49" s="133" t="s">
        <v>195</v>
      </c>
      <c r="R49" s="22"/>
      <c r="S49" s="282" t="s">
        <v>6383</v>
      </c>
      <c r="T49" t="s">
        <v>6264</v>
      </c>
    </row>
    <row r="50" spans="1:24" ht="76.5">
      <c r="A50" s="39">
        <v>49</v>
      </c>
      <c r="B50" s="105" t="s">
        <v>227</v>
      </c>
      <c r="C50" s="78" t="s">
        <v>4324</v>
      </c>
      <c r="D50" s="44" t="s">
        <v>6384</v>
      </c>
      <c r="E50" s="46" t="s">
        <v>6385</v>
      </c>
      <c r="F50" s="6">
        <v>9740799592</v>
      </c>
      <c r="G50" s="43" t="s">
        <v>4327</v>
      </c>
      <c r="H50" s="43"/>
      <c r="I50" s="7"/>
      <c r="J50" s="7"/>
      <c r="K50" s="36"/>
      <c r="L50" s="42" t="s">
        <v>2553</v>
      </c>
      <c r="M50" s="42" t="s">
        <v>2554</v>
      </c>
      <c r="N50" s="43">
        <v>11</v>
      </c>
      <c r="O50" s="43"/>
      <c r="P50" s="78"/>
      <c r="Q50" s="92" t="s">
        <v>176</v>
      </c>
      <c r="R50" s="22"/>
      <c r="S50" s="282" t="s">
        <v>6386</v>
      </c>
      <c r="T50" t="s">
        <v>15</v>
      </c>
    </row>
    <row r="51" spans="1:24" ht="60.75">
      <c r="A51" s="39">
        <v>50</v>
      </c>
      <c r="B51" s="105" t="s">
        <v>227</v>
      </c>
      <c r="C51" s="78" t="s">
        <v>1060</v>
      </c>
      <c r="D51" s="44" t="s">
        <v>6387</v>
      </c>
      <c r="E51" s="46" t="s">
        <v>6388</v>
      </c>
      <c r="F51" s="43">
        <v>9999789576</v>
      </c>
      <c r="G51" s="43" t="s">
        <v>1063</v>
      </c>
      <c r="H51" s="43"/>
      <c r="I51" s="7"/>
      <c r="J51" s="7"/>
      <c r="K51" s="36"/>
      <c r="L51" s="42" t="s">
        <v>118</v>
      </c>
      <c r="M51" s="42" t="s">
        <v>2501</v>
      </c>
      <c r="N51" s="43">
        <v>11</v>
      </c>
      <c r="O51" s="43"/>
      <c r="P51" s="78"/>
      <c r="Q51" s="92" t="s">
        <v>176</v>
      </c>
      <c r="R51" s="22"/>
      <c r="S51" s="282" t="s">
        <v>6389</v>
      </c>
      <c r="T51" t="s">
        <v>15</v>
      </c>
    </row>
    <row r="52" spans="1:24" ht="91.5">
      <c r="A52" s="39">
        <v>51</v>
      </c>
      <c r="B52" s="105" t="s">
        <v>227</v>
      </c>
      <c r="C52" s="43" t="s">
        <v>6390</v>
      </c>
      <c r="D52" s="44" t="s">
        <v>6391</v>
      </c>
      <c r="E52" s="46" t="s">
        <v>6392</v>
      </c>
      <c r="F52" s="43">
        <v>8826932422</v>
      </c>
      <c r="G52" s="43" t="s">
        <v>6393</v>
      </c>
      <c r="H52" s="43"/>
      <c r="I52" s="7"/>
      <c r="J52" s="7"/>
      <c r="K52" s="36"/>
      <c r="L52" s="42">
        <v>46178</v>
      </c>
      <c r="M52" s="42">
        <v>46511</v>
      </c>
      <c r="N52" s="43">
        <v>11</v>
      </c>
      <c r="O52" s="43"/>
      <c r="P52" s="78"/>
      <c r="Q52" s="92" t="s">
        <v>176</v>
      </c>
      <c r="R52" s="22"/>
      <c r="S52" s="282" t="s">
        <v>6394</v>
      </c>
      <c r="T52" t="s">
        <v>15</v>
      </c>
    </row>
    <row r="53" spans="1:24" ht="106.5">
      <c r="A53" s="133">
        <v>52</v>
      </c>
      <c r="B53" s="105" t="s">
        <v>227</v>
      </c>
      <c r="C53" s="139" t="s">
        <v>1260</v>
      </c>
      <c r="D53" s="133" t="s">
        <v>1261</v>
      </c>
      <c r="E53" s="145" t="s">
        <v>1262</v>
      </c>
      <c r="F53" s="154">
        <v>8700846662</v>
      </c>
      <c r="G53" s="154" t="s">
        <v>1263</v>
      </c>
      <c r="H53" s="139" t="s">
        <v>248</v>
      </c>
      <c r="I53" s="133"/>
      <c r="J53" s="133" t="s">
        <v>445</v>
      </c>
      <c r="K53" s="133"/>
      <c r="L53" s="390">
        <v>46086</v>
      </c>
      <c r="M53" s="146">
        <v>46422</v>
      </c>
      <c r="N53" s="43">
        <v>11</v>
      </c>
      <c r="O53" s="139"/>
      <c r="P53" s="139"/>
      <c r="Q53" s="133" t="s">
        <v>176</v>
      </c>
      <c r="R53" s="139"/>
      <c r="S53" s="162"/>
      <c r="T53" t="s">
        <v>15</v>
      </c>
      <c r="U53" s="133"/>
      <c r="V53" s="162"/>
      <c r="W53" s="133" t="s">
        <v>1265</v>
      </c>
      <c r="X53" s="85"/>
    </row>
    <row r="54" spans="1:24" ht="45.75">
      <c r="A54" s="39">
        <v>54</v>
      </c>
      <c r="B54" s="105" t="s">
        <v>227</v>
      </c>
      <c r="C54" s="43"/>
      <c r="D54" s="44" t="s">
        <v>6395</v>
      </c>
      <c r="E54" s="46"/>
      <c r="F54" s="43">
        <v>9590344441</v>
      </c>
      <c r="G54" s="43"/>
      <c r="H54" s="43"/>
      <c r="I54" s="44"/>
      <c r="J54" s="7"/>
      <c r="K54" s="53"/>
      <c r="L54" s="42">
        <v>46332</v>
      </c>
      <c r="M54" s="42">
        <v>46665</v>
      </c>
      <c r="N54" s="43">
        <v>11</v>
      </c>
      <c r="O54" s="43"/>
      <c r="Q54" s="133" t="s">
        <v>176</v>
      </c>
      <c r="R54" s="22"/>
      <c r="S54" s="282" t="s">
        <v>6396</v>
      </c>
    </row>
    <row r="55" spans="1:24">
      <c r="A55" s="39">
        <v>55</v>
      </c>
      <c r="B55" s="52"/>
      <c r="C55" s="43"/>
      <c r="D55" s="44" t="s">
        <v>6397</v>
      </c>
      <c r="E55" s="46"/>
      <c r="F55" s="43"/>
      <c r="G55" s="43"/>
      <c r="H55" s="43"/>
      <c r="I55" s="44"/>
      <c r="J55" s="7"/>
      <c r="K55" s="77"/>
      <c r="L55" s="42"/>
      <c r="M55" s="42"/>
      <c r="N55" s="43"/>
      <c r="O55" s="43"/>
      <c r="P55" s="43"/>
      <c r="Q55" s="44"/>
      <c r="R55" s="22"/>
      <c r="S55" s="54"/>
    </row>
    <row r="56" spans="1:24" ht="45.75">
      <c r="A56" s="39">
        <v>56</v>
      </c>
      <c r="B56" s="52" t="s">
        <v>227</v>
      </c>
      <c r="C56" s="43" t="s">
        <v>6398</v>
      </c>
      <c r="D56" s="44" t="s">
        <v>6399</v>
      </c>
      <c r="E56" s="46" t="s">
        <v>6400</v>
      </c>
      <c r="F56" s="43">
        <v>9633912280</v>
      </c>
      <c r="G56" s="43" t="s">
        <v>6401</v>
      </c>
      <c r="H56" s="43"/>
      <c r="I56" s="44"/>
      <c r="J56" s="7"/>
      <c r="K56" s="53"/>
      <c r="L56" s="42" t="s">
        <v>3822</v>
      </c>
      <c r="M56" s="42" t="s">
        <v>3823</v>
      </c>
      <c r="N56" s="43">
        <v>11</v>
      </c>
      <c r="O56" s="43"/>
      <c r="Q56" s="133" t="s">
        <v>176</v>
      </c>
      <c r="R56" s="22"/>
      <c r="S56" s="54" t="s">
        <v>513</v>
      </c>
    </row>
    <row r="57" spans="1:24" ht="91.5">
      <c r="A57" s="39">
        <v>58</v>
      </c>
      <c r="B57" s="52" t="s">
        <v>227</v>
      </c>
      <c r="C57" s="44" t="s">
        <v>6402</v>
      </c>
      <c r="D57" s="44" t="s">
        <v>6403</v>
      </c>
      <c r="E57" s="41" t="s">
        <v>6404</v>
      </c>
      <c r="F57" s="43">
        <v>9840613292</v>
      </c>
      <c r="G57" s="43" t="s">
        <v>6405</v>
      </c>
      <c r="H57" s="43"/>
      <c r="I57" s="7"/>
      <c r="J57" s="7"/>
      <c r="K57" s="36"/>
      <c r="L57" s="42" t="s">
        <v>6406</v>
      </c>
      <c r="M57" s="42" t="s">
        <v>6407</v>
      </c>
      <c r="N57" s="43">
        <v>11</v>
      </c>
      <c r="O57" s="43"/>
      <c r="Q57" s="133" t="s">
        <v>176</v>
      </c>
      <c r="R57" s="43"/>
      <c r="S57" s="54" t="s">
        <v>513</v>
      </c>
    </row>
    <row r="58" spans="1:24" ht="121.5">
      <c r="A58" s="39">
        <v>59</v>
      </c>
      <c r="B58" s="52" t="s">
        <v>227</v>
      </c>
      <c r="C58" s="44" t="s">
        <v>6408</v>
      </c>
      <c r="D58" s="44" t="s">
        <v>6409</v>
      </c>
      <c r="E58" s="41" t="s">
        <v>6410</v>
      </c>
      <c r="F58" s="43">
        <v>9731961660</v>
      </c>
      <c r="G58" s="43" t="s">
        <v>6411</v>
      </c>
      <c r="H58" s="43"/>
      <c r="I58" s="44"/>
      <c r="J58" s="7"/>
      <c r="K58" s="53"/>
      <c r="L58" s="42">
        <v>46059</v>
      </c>
      <c r="M58" s="42">
        <v>46392</v>
      </c>
      <c r="N58" s="43">
        <v>11</v>
      </c>
      <c r="O58" s="43"/>
      <c r="Q58" s="168" t="s">
        <v>176</v>
      </c>
      <c r="R58" s="43">
        <v>9</v>
      </c>
      <c r="S58" s="54" t="s">
        <v>513</v>
      </c>
    </row>
    <row r="59" spans="1:24" ht="91.5">
      <c r="A59" s="133">
        <v>60</v>
      </c>
      <c r="B59" s="52" t="s">
        <v>227</v>
      </c>
      <c r="C59" s="139" t="s">
        <v>1220</v>
      </c>
      <c r="D59" s="133" t="s">
        <v>1221</v>
      </c>
      <c r="E59" s="145" t="s">
        <v>1222</v>
      </c>
      <c r="F59" s="154">
        <v>9656972604</v>
      </c>
      <c r="G59" s="154" t="s">
        <v>1223</v>
      </c>
      <c r="H59" s="139" t="s">
        <v>202</v>
      </c>
      <c r="I59" s="133"/>
      <c r="J59" s="133" t="s">
        <v>1108</v>
      </c>
      <c r="K59" s="133"/>
      <c r="L59" s="146">
        <v>46027</v>
      </c>
      <c r="M59" s="406" t="s">
        <v>4893</v>
      </c>
      <c r="N59" s="139">
        <v>11</v>
      </c>
      <c r="O59" s="161"/>
      <c r="P59" s="161"/>
      <c r="Q59" s="133" t="s">
        <v>176</v>
      </c>
      <c r="R59" s="407"/>
      <c r="S59" s="54" t="s">
        <v>513</v>
      </c>
      <c r="T59" s="162"/>
      <c r="U59" s="133"/>
      <c r="V59" s="162"/>
      <c r="W59" s="131" t="s">
        <v>1131</v>
      </c>
      <c r="X59" s="85"/>
    </row>
    <row r="60" spans="1:24" ht="45.75">
      <c r="A60" s="39">
        <v>61</v>
      </c>
      <c r="B60" s="52" t="s">
        <v>227</v>
      </c>
      <c r="C60" s="45" t="s">
        <v>6412</v>
      </c>
      <c r="D60" s="44" t="s">
        <v>6413</v>
      </c>
      <c r="E60" s="41" t="s">
        <v>6414</v>
      </c>
      <c r="F60" s="43">
        <v>9731121915</v>
      </c>
      <c r="G60" s="43" t="s">
        <v>6415</v>
      </c>
      <c r="H60" s="43"/>
      <c r="I60" s="43"/>
      <c r="J60" s="44"/>
      <c r="K60" s="74"/>
      <c r="L60" s="42">
        <v>46240</v>
      </c>
      <c r="M60" s="42">
        <v>46573</v>
      </c>
      <c r="N60" s="78">
        <v>11</v>
      </c>
      <c r="O60" s="78"/>
      <c r="Q60" s="133" t="s">
        <v>176</v>
      </c>
      <c r="R60" s="43">
        <v>8.99</v>
      </c>
      <c r="S60" s="54" t="s">
        <v>513</v>
      </c>
    </row>
    <row r="61" spans="1:24" ht="45.75">
      <c r="A61" s="133">
        <v>62</v>
      </c>
      <c r="B61" s="52" t="s">
        <v>227</v>
      </c>
      <c r="C61" s="45" t="s">
        <v>6416</v>
      </c>
      <c r="D61" s="44" t="s">
        <v>6417</v>
      </c>
      <c r="E61" s="41" t="s">
        <v>6418</v>
      </c>
      <c r="F61" s="43">
        <v>8402008893</v>
      </c>
      <c r="G61" s="43" t="s">
        <v>6419</v>
      </c>
      <c r="H61" s="43"/>
      <c r="I61" s="43"/>
      <c r="J61" s="44"/>
      <c r="K61" s="74"/>
      <c r="L61" s="42" t="s">
        <v>122</v>
      </c>
      <c r="M61" s="42" t="s">
        <v>6420</v>
      </c>
      <c r="N61" s="43">
        <v>11</v>
      </c>
      <c r="O61" s="43"/>
      <c r="Q61" s="133" t="s">
        <v>176</v>
      </c>
      <c r="R61" s="43">
        <v>7</v>
      </c>
      <c r="S61" s="54" t="s">
        <v>513</v>
      </c>
    </row>
    <row r="62" spans="1:24" ht="91.5">
      <c r="A62" s="39">
        <v>63</v>
      </c>
      <c r="B62" s="52" t="s">
        <v>227</v>
      </c>
      <c r="C62" s="45" t="s">
        <v>6421</v>
      </c>
      <c r="D62" s="44" t="s">
        <v>6422</v>
      </c>
      <c r="E62" s="41" t="s">
        <v>6423</v>
      </c>
      <c r="F62" s="43"/>
      <c r="G62" s="43" t="s">
        <v>6424</v>
      </c>
      <c r="H62" s="43"/>
      <c r="I62" s="43"/>
      <c r="J62" s="44"/>
      <c r="K62" s="74"/>
      <c r="L62" s="42" t="s">
        <v>4907</v>
      </c>
      <c r="M62" s="42" t="s">
        <v>4908</v>
      </c>
      <c r="N62" s="43">
        <v>11</v>
      </c>
      <c r="O62" s="43"/>
      <c r="Q62" s="133" t="s">
        <v>176</v>
      </c>
      <c r="R62" s="43">
        <v>8.99</v>
      </c>
      <c r="S62" s="54" t="s">
        <v>6425</v>
      </c>
    </row>
    <row r="63" spans="1:24" ht="91.5">
      <c r="A63" s="168">
        <v>64</v>
      </c>
      <c r="B63" s="163" t="s">
        <v>227</v>
      </c>
      <c r="C63" s="163" t="s">
        <v>1000</v>
      </c>
      <c r="D63" s="168" t="s">
        <v>1001</v>
      </c>
      <c r="E63" s="189" t="s">
        <v>1002</v>
      </c>
      <c r="F63" s="387">
        <v>9916971817</v>
      </c>
      <c r="G63" s="387" t="s">
        <v>1003</v>
      </c>
      <c r="H63" s="163" t="s">
        <v>492</v>
      </c>
      <c r="I63" s="168"/>
      <c r="J63" s="168"/>
      <c r="K63" s="168"/>
      <c r="L63" s="384"/>
      <c r="M63" s="226" t="s">
        <v>5438</v>
      </c>
      <c r="N63" s="226" t="s">
        <v>5439</v>
      </c>
      <c r="O63" s="163">
        <v>11</v>
      </c>
      <c r="P63" s="163"/>
      <c r="Q63" s="168" t="s">
        <v>195</v>
      </c>
      <c r="R63" s="163"/>
      <c r="S63" s="423">
        <v>8.9</v>
      </c>
      <c r="T63" s="54" t="s">
        <v>513</v>
      </c>
      <c r="U63" s="423"/>
      <c r="V63" s="423"/>
      <c r="W63" s="168" t="s">
        <v>279</v>
      </c>
      <c r="X63" s="168"/>
    </row>
    <row r="64" spans="1:24" s="161" customFormat="1" ht="45.75">
      <c r="A64" s="139">
        <v>65</v>
      </c>
      <c r="B64" s="163" t="s">
        <v>227</v>
      </c>
      <c r="C64" s="161" t="s">
        <v>6426</v>
      </c>
      <c r="D64" s="207" t="s">
        <v>6427</v>
      </c>
      <c r="E64" s="147" t="s">
        <v>6428</v>
      </c>
      <c r="F64" s="143">
        <v>7002293832</v>
      </c>
      <c r="G64" s="424" t="s">
        <v>6429</v>
      </c>
      <c r="H64" s="143"/>
      <c r="I64" s="143"/>
      <c r="J64" s="143"/>
      <c r="M64" s="250">
        <v>46358</v>
      </c>
      <c r="N64" s="250">
        <v>46692</v>
      </c>
      <c r="O64" s="178">
        <v>11</v>
      </c>
      <c r="P64" s="178"/>
      <c r="Q64" s="133" t="s">
        <v>176</v>
      </c>
      <c r="S64" s="161">
        <v>6.5</v>
      </c>
      <c r="T64" s="178" t="s">
        <v>513</v>
      </c>
    </row>
    <row r="65" spans="1:30" s="161" customFormat="1" ht="91.5">
      <c r="A65" s="139">
        <v>66</v>
      </c>
      <c r="B65" s="163" t="s">
        <v>227</v>
      </c>
      <c r="C65" s="139" t="s">
        <v>1126</v>
      </c>
      <c r="D65" s="133" t="s">
        <v>1127</v>
      </c>
      <c r="E65" s="145" t="s">
        <v>1128</v>
      </c>
      <c r="F65" s="154">
        <v>8374420467</v>
      </c>
      <c r="G65" s="154" t="s">
        <v>1129</v>
      </c>
      <c r="H65" s="139" t="s">
        <v>618</v>
      </c>
      <c r="I65" s="133"/>
      <c r="J65" s="133" t="s">
        <v>1108</v>
      </c>
      <c r="K65" s="133"/>
      <c r="L65" s="180"/>
      <c r="M65" s="146" t="s">
        <v>6430</v>
      </c>
      <c r="N65" s="146" t="s">
        <v>6431</v>
      </c>
      <c r="O65" s="139">
        <v>11</v>
      </c>
      <c r="P65" s="139"/>
      <c r="Q65" s="133" t="s">
        <v>195</v>
      </c>
      <c r="R65" s="139"/>
      <c r="S65" s="133">
        <v>8.9</v>
      </c>
      <c r="T65" s="133"/>
      <c r="U65" s="133"/>
      <c r="V65" s="133"/>
      <c r="W65" s="133" t="s">
        <v>1131</v>
      </c>
      <c r="X65" s="133"/>
    </row>
    <row r="66" spans="1:30" s="161" customFormat="1" ht="76.5">
      <c r="A66" s="139">
        <v>67</v>
      </c>
      <c r="B66" s="163" t="s">
        <v>227</v>
      </c>
      <c r="C66" s="43" t="s">
        <v>6432</v>
      </c>
      <c r="D66" s="46" t="s">
        <v>3037</v>
      </c>
      <c r="E66" s="46" t="s">
        <v>3038</v>
      </c>
      <c r="F66" s="43">
        <v>9481404261</v>
      </c>
      <c r="G66" s="43"/>
      <c r="H66" s="43" t="s">
        <v>416</v>
      </c>
      <c r="J66" s="42"/>
      <c r="L66" s="43"/>
      <c r="M66" s="42" t="s">
        <v>2557</v>
      </c>
      <c r="N66" s="42" t="s">
        <v>2558</v>
      </c>
      <c r="O66" s="43">
        <v>11</v>
      </c>
      <c r="P66" s="43"/>
      <c r="Q66" s="7" t="s">
        <v>176</v>
      </c>
      <c r="R66" s="139">
        <v>9.4</v>
      </c>
      <c r="S66" s="43" t="s">
        <v>3039</v>
      </c>
      <c r="T66" s="147" t="s">
        <v>3020</v>
      </c>
      <c r="U66"/>
      <c r="V66"/>
      <c r="W66"/>
      <c r="X66"/>
    </row>
    <row r="67" spans="1:30" s="161" customFormat="1" ht="45.75">
      <c r="A67" s="139">
        <v>68</v>
      </c>
      <c r="B67" s="163" t="s">
        <v>227</v>
      </c>
      <c r="C67" s="43" t="s">
        <v>6433</v>
      </c>
      <c r="D67" s="46" t="s">
        <v>3017</v>
      </c>
      <c r="E67" s="46" t="s">
        <v>3018</v>
      </c>
      <c r="F67" s="43">
        <v>9945478888</v>
      </c>
      <c r="G67" s="43" t="s">
        <v>6434</v>
      </c>
      <c r="H67" s="43" t="s">
        <v>416</v>
      </c>
      <c r="M67" s="42" t="s">
        <v>2572</v>
      </c>
      <c r="N67" s="42" t="s">
        <v>2573</v>
      </c>
      <c r="O67" s="43">
        <v>11</v>
      </c>
      <c r="P67" s="43"/>
      <c r="Q67" s="7" t="s">
        <v>176</v>
      </c>
      <c r="S67" s="147"/>
      <c r="T67" s="161" t="s">
        <v>3020</v>
      </c>
      <c r="U67"/>
      <c r="V67"/>
      <c r="W67"/>
      <c r="X67"/>
    </row>
    <row r="68" spans="1:30" s="161" customFormat="1" ht="76.5">
      <c r="A68" s="139">
        <v>69</v>
      </c>
      <c r="B68" s="139" t="s">
        <v>227</v>
      </c>
      <c r="C68" s="133" t="s">
        <v>361</v>
      </c>
      <c r="D68" s="133" t="s">
        <v>362</v>
      </c>
      <c r="E68" s="145" t="s">
        <v>363</v>
      </c>
      <c r="F68" s="141">
        <v>9429022499</v>
      </c>
      <c r="G68" s="141" t="s">
        <v>364</v>
      </c>
      <c r="H68" s="139" t="s">
        <v>365</v>
      </c>
      <c r="I68" s="133"/>
      <c r="J68" s="133"/>
      <c r="K68" s="133"/>
      <c r="L68" s="180"/>
      <c r="M68" s="146" t="s">
        <v>2572</v>
      </c>
      <c r="N68" s="146" t="s">
        <v>6435</v>
      </c>
      <c r="O68" s="139">
        <v>11</v>
      </c>
      <c r="P68" s="139"/>
      <c r="Q68" s="133" t="s">
        <v>195</v>
      </c>
      <c r="R68" s="139" t="s">
        <v>177</v>
      </c>
      <c r="S68" s="133"/>
      <c r="T68" s="133"/>
      <c r="U68" s="133">
        <v>100</v>
      </c>
      <c r="V68" s="133"/>
      <c r="W68" s="133" t="s">
        <v>367</v>
      </c>
      <c r="X68" s="133"/>
    </row>
    <row r="69" spans="1:30" s="161" customFormat="1" ht="76.5">
      <c r="A69" s="139">
        <v>70</v>
      </c>
      <c r="B69" s="139" t="s">
        <v>227</v>
      </c>
      <c r="C69" s="139" t="s">
        <v>1384</v>
      </c>
      <c r="D69" s="133" t="s">
        <v>1385</v>
      </c>
      <c r="E69" s="145" t="s">
        <v>1386</v>
      </c>
      <c r="F69" s="154">
        <v>8094016888</v>
      </c>
      <c r="G69" s="154" t="s">
        <v>1387</v>
      </c>
      <c r="H69" s="139" t="s">
        <v>1388</v>
      </c>
      <c r="I69" s="133"/>
      <c r="J69" s="133"/>
      <c r="K69" s="133"/>
      <c r="L69" s="180"/>
      <c r="M69" s="146" t="s">
        <v>5452</v>
      </c>
      <c r="N69" s="146" t="s">
        <v>5453</v>
      </c>
      <c r="O69" s="139">
        <v>11</v>
      </c>
      <c r="P69" s="139"/>
      <c r="Q69" s="133" t="s">
        <v>195</v>
      </c>
      <c r="R69" s="139"/>
      <c r="S69" s="133"/>
      <c r="T69" s="133"/>
      <c r="U69" s="133"/>
      <c r="V69" s="133"/>
      <c r="W69" s="133" t="s">
        <v>1390</v>
      </c>
      <c r="X69" s="133" t="s">
        <v>6436</v>
      </c>
    </row>
    <row r="70" spans="1:30" s="161" customFormat="1" ht="91.5">
      <c r="A70" s="139">
        <v>71</v>
      </c>
      <c r="B70" s="139" t="s">
        <v>227</v>
      </c>
      <c r="C70" s="139" t="s">
        <v>1159</v>
      </c>
      <c r="D70" s="133" t="s">
        <v>1160</v>
      </c>
      <c r="E70" s="145" t="s">
        <v>1161</v>
      </c>
      <c r="F70" s="154">
        <v>9482850902</v>
      </c>
      <c r="G70" s="154" t="s">
        <v>1162</v>
      </c>
      <c r="H70" s="139" t="s">
        <v>1163</v>
      </c>
      <c r="I70" s="133"/>
      <c r="J70" s="133"/>
      <c r="K70" s="133"/>
      <c r="L70" s="180"/>
      <c r="M70" s="146" t="s">
        <v>5476</v>
      </c>
      <c r="N70" s="146" t="s">
        <v>5477</v>
      </c>
      <c r="O70" s="139">
        <v>11</v>
      </c>
      <c r="P70" s="139"/>
      <c r="Q70" s="133" t="s">
        <v>176</v>
      </c>
      <c r="R70" s="139"/>
      <c r="S70" s="133"/>
      <c r="T70" s="133"/>
      <c r="U70" s="133"/>
      <c r="V70" s="133"/>
      <c r="W70" s="133" t="s">
        <v>1131</v>
      </c>
      <c r="X70" s="133" t="s">
        <v>6436</v>
      </c>
    </row>
    <row r="71" spans="1:30" s="161" customFormat="1" ht="106.5">
      <c r="A71" s="139">
        <v>72</v>
      </c>
      <c r="B71" s="139" t="s">
        <v>227</v>
      </c>
      <c r="C71" s="139" t="s">
        <v>1138</v>
      </c>
      <c r="D71" s="133" t="s">
        <v>1139</v>
      </c>
      <c r="E71" s="145" t="s">
        <v>1140</v>
      </c>
      <c r="F71" s="154">
        <v>9845074831</v>
      </c>
      <c r="G71" s="154" t="s">
        <v>1141</v>
      </c>
      <c r="H71" s="139" t="s">
        <v>416</v>
      </c>
      <c r="I71" s="133"/>
      <c r="J71" s="133"/>
      <c r="K71" s="133"/>
      <c r="L71" s="180"/>
      <c r="M71" s="146" t="s">
        <v>2484</v>
      </c>
      <c r="N71" s="146" t="s">
        <v>6437</v>
      </c>
      <c r="O71" s="139">
        <v>11</v>
      </c>
      <c r="P71" s="139"/>
      <c r="Q71" s="133" t="s">
        <v>195</v>
      </c>
      <c r="R71" s="139"/>
      <c r="S71" s="133"/>
      <c r="T71" s="133"/>
      <c r="U71" s="133"/>
      <c r="V71" s="133"/>
      <c r="W71" s="133" t="s">
        <v>1131</v>
      </c>
      <c r="X71" s="133" t="s">
        <v>6436</v>
      </c>
    </row>
    <row r="72" spans="1:30" s="161" customFormat="1" ht="91.5">
      <c r="A72" s="139">
        <v>73</v>
      </c>
      <c r="B72" s="139" t="s">
        <v>227</v>
      </c>
      <c r="C72" s="139" t="s">
        <v>271</v>
      </c>
      <c r="D72" s="133" t="s">
        <v>272</v>
      </c>
      <c r="E72" s="145" t="s">
        <v>273</v>
      </c>
      <c r="F72" s="141" t="s">
        <v>274</v>
      </c>
      <c r="G72" s="141"/>
      <c r="H72" s="139" t="s">
        <v>275</v>
      </c>
      <c r="I72" s="139" t="s">
        <v>276</v>
      </c>
      <c r="J72" s="133" t="s">
        <v>277</v>
      </c>
      <c r="K72" s="133"/>
      <c r="L72" s="139"/>
      <c r="M72" s="146">
        <v>45633</v>
      </c>
      <c r="N72" s="146">
        <v>45997</v>
      </c>
      <c r="O72" s="139">
        <v>12</v>
      </c>
      <c r="P72" s="139"/>
      <c r="Q72" s="133" t="s">
        <v>195</v>
      </c>
      <c r="R72" s="139" t="s">
        <v>177</v>
      </c>
      <c r="S72" s="133" t="s">
        <v>278</v>
      </c>
      <c r="T72" s="133"/>
      <c r="U72" s="133"/>
      <c r="V72" s="139"/>
      <c r="W72" s="133" t="s">
        <v>279</v>
      </c>
      <c r="X72" s="139"/>
      <c r="Y72" s="141"/>
      <c r="Z72" s="141"/>
      <c r="AA72" s="141"/>
      <c r="AB72" s="141"/>
      <c r="AC72" s="141"/>
      <c r="AD72" s="141"/>
    </row>
    <row r="73" spans="1:30" s="161" customFormat="1" ht="60.75">
      <c r="A73" s="139">
        <v>74</v>
      </c>
      <c r="B73" s="139" t="s">
        <v>227</v>
      </c>
      <c r="C73" s="45" t="s">
        <v>6438</v>
      </c>
      <c r="D73" s="46" t="s">
        <v>4516</v>
      </c>
      <c r="E73" s="41" t="s">
        <v>4517</v>
      </c>
      <c r="F73" s="43" t="s">
        <v>4518</v>
      </c>
      <c r="G73" s="43" t="s">
        <v>4519</v>
      </c>
      <c r="H73" s="43"/>
      <c r="I73" s="44"/>
      <c r="J73" s="74"/>
      <c r="K73" s="42"/>
      <c r="L73" s="42"/>
      <c r="M73" s="43" t="s">
        <v>6439</v>
      </c>
      <c r="N73" s="43" t="s">
        <v>2686</v>
      </c>
      <c r="O73" s="161">
        <v>12</v>
      </c>
      <c r="P73" s="43"/>
      <c r="Q73" s="7" t="s">
        <v>176</v>
      </c>
      <c r="R73" s="139" t="s">
        <v>177</v>
      </c>
      <c r="T73" s="147" t="s">
        <v>3304</v>
      </c>
      <c r="U73"/>
      <c r="V73"/>
      <c r="W73"/>
      <c r="X73"/>
      <c r="Y73"/>
      <c r="Z73"/>
      <c r="AA73"/>
      <c r="AB73"/>
      <c r="AC73"/>
      <c r="AD73"/>
    </row>
    <row r="74" spans="1:30" s="161" customFormat="1" ht="45.75">
      <c r="A74" s="139">
        <v>75</v>
      </c>
      <c r="B74" s="139" t="s">
        <v>227</v>
      </c>
      <c r="D74" s="207" t="s">
        <v>3248</v>
      </c>
      <c r="F74" s="143"/>
      <c r="G74" s="143"/>
      <c r="H74" s="143"/>
      <c r="I74" s="143"/>
      <c r="J74" s="143"/>
      <c r="M74" s="161" t="s">
        <v>6440</v>
      </c>
      <c r="N74" s="161" t="s">
        <v>6441</v>
      </c>
      <c r="O74" s="139">
        <v>11</v>
      </c>
      <c r="P74" s="139">
        <v>8.99</v>
      </c>
      <c r="Q74" s="7" t="s">
        <v>176</v>
      </c>
      <c r="R74" s="139" t="s">
        <v>177</v>
      </c>
      <c r="T74" s="147" t="s">
        <v>3304</v>
      </c>
    </row>
    <row r="75" spans="1:30" s="161" customFormat="1" ht="45.75">
      <c r="A75" s="139">
        <v>76</v>
      </c>
      <c r="B75" s="139" t="s">
        <v>227</v>
      </c>
      <c r="D75" s="207" t="s">
        <v>1918</v>
      </c>
      <c r="F75" s="143"/>
      <c r="G75" s="143"/>
      <c r="H75" s="143"/>
      <c r="I75" s="143"/>
      <c r="J75" s="143"/>
      <c r="O75" s="139"/>
      <c r="P75" s="139">
        <v>8.99</v>
      </c>
      <c r="Q75" s="7" t="s">
        <v>176</v>
      </c>
      <c r="R75" s="139" t="s">
        <v>177</v>
      </c>
      <c r="T75" s="147" t="s">
        <v>3304</v>
      </c>
    </row>
    <row r="76" spans="1:30" s="161" customFormat="1" ht="45.75">
      <c r="A76" s="139">
        <v>77</v>
      </c>
      <c r="B76" s="139" t="s">
        <v>227</v>
      </c>
      <c r="D76" s="207" t="s">
        <v>6442</v>
      </c>
      <c r="F76" s="143"/>
      <c r="G76" s="143"/>
      <c r="H76" s="143"/>
      <c r="I76" s="143"/>
      <c r="J76" s="143"/>
      <c r="O76" s="139"/>
      <c r="P76" s="139">
        <v>9.99</v>
      </c>
      <c r="Q76" s="7" t="s">
        <v>176</v>
      </c>
      <c r="R76" s="139" t="s">
        <v>177</v>
      </c>
      <c r="T76" s="147" t="s">
        <v>3304</v>
      </c>
    </row>
    <row r="77" spans="1:30" s="161" customFormat="1" ht="45.75">
      <c r="A77" s="139">
        <v>78</v>
      </c>
      <c r="B77" s="139" t="s">
        <v>227</v>
      </c>
      <c r="D77" s="207" t="s">
        <v>6443</v>
      </c>
      <c r="F77" s="143"/>
      <c r="G77" s="143"/>
      <c r="H77" s="143"/>
      <c r="I77" s="143"/>
      <c r="J77" s="143"/>
      <c r="M77" s="250">
        <v>46334</v>
      </c>
      <c r="N77" s="250">
        <v>46667</v>
      </c>
      <c r="O77" s="139">
        <v>11</v>
      </c>
      <c r="P77" s="139" t="s">
        <v>6444</v>
      </c>
      <c r="Q77" s="7" t="s">
        <v>176</v>
      </c>
      <c r="R77" s="139" t="s">
        <v>177</v>
      </c>
    </row>
    <row r="78" spans="1:30" s="161" customFormat="1" ht="30.75">
      <c r="A78" s="139">
        <v>79</v>
      </c>
      <c r="B78" s="143"/>
      <c r="D78" s="207" t="s">
        <v>6445</v>
      </c>
      <c r="F78" s="143"/>
      <c r="G78" s="143"/>
      <c r="H78" s="143"/>
      <c r="I78" s="143"/>
      <c r="J78" s="143"/>
      <c r="O78" s="139"/>
      <c r="P78" s="139"/>
    </row>
    <row r="79" spans="1:30" s="161" customFormat="1" ht="60.75">
      <c r="A79" s="139">
        <v>80</v>
      </c>
      <c r="B79" s="139" t="s">
        <v>227</v>
      </c>
      <c r="C79" s="145" t="s">
        <v>5270</v>
      </c>
      <c r="D79" s="137" t="s">
        <v>5271</v>
      </c>
      <c r="E79" s="147" t="s">
        <v>5272</v>
      </c>
      <c r="F79" s="139"/>
      <c r="G79" s="139" t="s">
        <v>5273</v>
      </c>
      <c r="H79" s="139" t="s">
        <v>194</v>
      </c>
      <c r="I79" s="139" t="s">
        <v>3700</v>
      </c>
      <c r="J79" s="133" t="s">
        <v>4977</v>
      </c>
      <c r="K79" s="138">
        <v>7703887096</v>
      </c>
      <c r="L79" s="146"/>
      <c r="M79" s="146">
        <v>46090</v>
      </c>
      <c r="N79" s="142">
        <v>46426</v>
      </c>
      <c r="O79" s="139">
        <v>11</v>
      </c>
      <c r="Q79" s="133" t="s">
        <v>176</v>
      </c>
      <c r="R79" s="133"/>
      <c r="S79" s="133">
        <v>9.9</v>
      </c>
      <c r="T79" s="133" t="s">
        <v>279</v>
      </c>
      <c r="U79" s="139"/>
    </row>
    <row r="80" spans="1:30" s="164" customFormat="1" ht="45.75">
      <c r="A80" s="139">
        <v>81</v>
      </c>
      <c r="B80" s="43" t="s">
        <v>227</v>
      </c>
      <c r="C80" s="44" t="s">
        <v>4008</v>
      </c>
      <c r="D80" s="44" t="s">
        <v>4009</v>
      </c>
      <c r="E80" s="58" t="s">
        <v>4010</v>
      </c>
      <c r="F80" s="43">
        <v>7056131675</v>
      </c>
      <c r="G80" s="43" t="s">
        <v>4011</v>
      </c>
      <c r="H80" s="43" t="s">
        <v>261</v>
      </c>
      <c r="I80" s="44" t="s">
        <v>4005</v>
      </c>
      <c r="J80" s="44" t="s">
        <v>3967</v>
      </c>
      <c r="K80" s="81">
        <v>9266826157</v>
      </c>
      <c r="M80" s="197">
        <v>46274</v>
      </c>
      <c r="N80" s="197">
        <v>46607</v>
      </c>
      <c r="O80" s="43">
        <v>11</v>
      </c>
      <c r="Q80" s="44" t="s">
        <v>176</v>
      </c>
      <c r="R80" s="16" t="s">
        <v>4013</v>
      </c>
      <c r="S80" s="54" t="s">
        <v>4014</v>
      </c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20" s="161" customFormat="1" ht="198">
      <c r="A81" s="139">
        <v>82</v>
      </c>
      <c r="B81" s="52" t="s">
        <v>227</v>
      </c>
      <c r="C81" s="43" t="s">
        <v>3298</v>
      </c>
      <c r="D81" s="46" t="s">
        <v>3299</v>
      </c>
      <c r="E81" s="46" t="s">
        <v>3300</v>
      </c>
      <c r="F81" s="43">
        <v>8147687033</v>
      </c>
      <c r="G81" s="43" t="s">
        <v>3301</v>
      </c>
      <c r="H81" s="43" t="s">
        <v>1864</v>
      </c>
      <c r="M81" s="42">
        <v>45937</v>
      </c>
      <c r="N81" s="42">
        <v>46272</v>
      </c>
      <c r="O81" s="43">
        <v>11</v>
      </c>
      <c r="P81" s="43"/>
      <c r="Q81" s="7" t="s">
        <v>195</v>
      </c>
      <c r="R81" s="278" t="s">
        <v>3303</v>
      </c>
      <c r="S81" s="147" t="s">
        <v>3304</v>
      </c>
    </row>
    <row r="82" spans="1:20" s="161" customFormat="1" ht="45.75">
      <c r="A82" s="139">
        <v>83</v>
      </c>
      <c r="B82" s="143" t="s">
        <v>227</v>
      </c>
      <c r="C82" s="139" t="s">
        <v>2887</v>
      </c>
      <c r="D82" s="145" t="s">
        <v>2888</v>
      </c>
      <c r="E82" s="145" t="s">
        <v>2889</v>
      </c>
      <c r="F82" s="139">
        <v>8088453972</v>
      </c>
      <c r="G82" s="139"/>
      <c r="H82" s="139"/>
      <c r="M82" s="146">
        <v>46058</v>
      </c>
      <c r="N82" s="146">
        <v>46391</v>
      </c>
      <c r="O82" s="139">
        <v>11</v>
      </c>
      <c r="P82" s="139"/>
      <c r="Q82" s="133" t="s">
        <v>195</v>
      </c>
      <c r="R82" s="147"/>
      <c r="S82" s="161" t="s">
        <v>513</v>
      </c>
    </row>
    <row r="83" spans="1:20" s="161" customFormat="1" ht="45.75">
      <c r="A83" s="139">
        <v>84</v>
      </c>
      <c r="B83" s="143" t="s">
        <v>227</v>
      </c>
      <c r="C83" s="161" t="s">
        <v>6446</v>
      </c>
      <c r="D83" s="207" t="s">
        <v>6447</v>
      </c>
      <c r="E83" s="147" t="s">
        <v>6448</v>
      </c>
      <c r="F83" s="143">
        <v>7462045795</v>
      </c>
      <c r="G83" s="143" t="s">
        <v>6449</v>
      </c>
      <c r="H83" s="143"/>
      <c r="M83" s="143" t="s">
        <v>2682</v>
      </c>
      <c r="N83" s="143" t="s">
        <v>2683</v>
      </c>
      <c r="O83" s="161">
        <v>11</v>
      </c>
      <c r="Q83" s="44" t="s">
        <v>176</v>
      </c>
      <c r="S83" s="161" t="s">
        <v>513</v>
      </c>
    </row>
    <row r="84" spans="1:20" s="161" customFormat="1" ht="60.75">
      <c r="A84" s="139">
        <v>85</v>
      </c>
      <c r="B84" s="52" t="s">
        <v>227</v>
      </c>
      <c r="C84" s="45" t="s">
        <v>5778</v>
      </c>
      <c r="D84" s="58" t="s">
        <v>5779</v>
      </c>
      <c r="E84" s="46" t="s">
        <v>5780</v>
      </c>
      <c r="F84" s="50"/>
      <c r="G84" s="43" t="s">
        <v>5781</v>
      </c>
      <c r="H84" s="43" t="s">
        <v>644</v>
      </c>
      <c r="I84" s="7" t="s">
        <v>5697</v>
      </c>
      <c r="J84" s="97"/>
      <c r="K84" s="183" t="s">
        <v>5698</v>
      </c>
      <c r="M84" s="187" t="s">
        <v>2664</v>
      </c>
      <c r="N84" s="42" t="s">
        <v>2665</v>
      </c>
      <c r="O84" s="43">
        <v>11</v>
      </c>
      <c r="Q84" s="44" t="s">
        <v>195</v>
      </c>
      <c r="S84" s="54" t="s">
        <v>1390</v>
      </c>
    </row>
    <row r="85" spans="1:20" s="161" customFormat="1" ht="30.75">
      <c r="A85" s="139">
        <v>86</v>
      </c>
      <c r="B85" s="52" t="s">
        <v>227</v>
      </c>
      <c r="D85" s="207" t="s">
        <v>6450</v>
      </c>
      <c r="F85" s="143"/>
      <c r="G85" s="143"/>
      <c r="H85" s="143"/>
      <c r="I85" s="143"/>
      <c r="J85" s="143"/>
      <c r="M85" s="161" t="s">
        <v>6451</v>
      </c>
      <c r="N85" s="161" t="s">
        <v>6452</v>
      </c>
      <c r="O85" s="139">
        <v>11</v>
      </c>
      <c r="P85" s="139"/>
      <c r="Q85" s="161" t="s">
        <v>176</v>
      </c>
      <c r="S85" s="161" t="s">
        <v>513</v>
      </c>
    </row>
    <row r="86" spans="1:20" s="161" customFormat="1" ht="15" customHeight="1">
      <c r="A86" s="139">
        <v>87</v>
      </c>
      <c r="B86" s="52" t="s">
        <v>227</v>
      </c>
      <c r="D86" s="207" t="s">
        <v>6453</v>
      </c>
      <c r="F86" s="143">
        <v>8404914945</v>
      </c>
      <c r="G86" s="143"/>
      <c r="H86" s="143"/>
      <c r="I86" s="143"/>
      <c r="J86" s="143"/>
      <c r="M86" s="161" t="s">
        <v>2668</v>
      </c>
      <c r="N86" s="161" t="s">
        <v>2669</v>
      </c>
      <c r="O86" s="139">
        <v>11</v>
      </c>
      <c r="P86" s="139"/>
      <c r="Q86" s="161" t="s">
        <v>176</v>
      </c>
      <c r="S86" s="161" t="s">
        <v>513</v>
      </c>
      <c r="T86" s="194" t="s">
        <v>6454</v>
      </c>
    </row>
    <row r="87" spans="1:20" s="522" customFormat="1" ht="48.75" customHeight="1">
      <c r="A87" s="512">
        <v>35</v>
      </c>
      <c r="B87" s="513" t="s">
        <v>227</v>
      </c>
      <c r="C87" s="514" t="s">
        <v>5821</v>
      </c>
      <c r="D87" s="515" t="s">
        <v>5822</v>
      </c>
      <c r="E87" s="516" t="s">
        <v>5823</v>
      </c>
      <c r="F87" s="517"/>
      <c r="G87" s="517" t="s">
        <v>5824</v>
      </c>
      <c r="H87" s="517" t="s">
        <v>1737</v>
      </c>
      <c r="I87" s="518" t="s">
        <v>5697</v>
      </c>
      <c r="J87" s="518"/>
      <c r="K87" s="183" t="s">
        <v>5698</v>
      </c>
      <c r="M87" s="519" t="s">
        <v>2653</v>
      </c>
      <c r="N87" s="519">
        <v>46729</v>
      </c>
      <c r="O87" s="517">
        <v>11</v>
      </c>
      <c r="P87" s="518"/>
      <c r="Q87" s="518" t="s">
        <v>176</v>
      </c>
      <c r="S87" s="520" t="s">
        <v>5825</v>
      </c>
      <c r="T87" s="521"/>
    </row>
    <row r="88" spans="1:20" s="161" customFormat="1" ht="15" customHeight="1">
      <c r="A88" s="139">
        <v>89</v>
      </c>
      <c r="B88" s="52" t="s">
        <v>227</v>
      </c>
      <c r="D88" s="207"/>
      <c r="F88" s="143"/>
      <c r="G88" s="143"/>
      <c r="H88" s="143"/>
      <c r="I88" s="143"/>
      <c r="J88" s="143"/>
      <c r="O88" s="139"/>
      <c r="P88" s="139"/>
    </row>
    <row r="89" spans="1:20" s="161" customFormat="1" ht="15" customHeight="1">
      <c r="A89" s="139"/>
      <c r="B89" s="143"/>
      <c r="D89" s="207"/>
      <c r="F89" s="143"/>
      <c r="G89" s="143"/>
      <c r="H89" s="143"/>
      <c r="I89" s="143"/>
      <c r="J89" s="143"/>
      <c r="O89" s="139"/>
      <c r="P89" s="139"/>
    </row>
    <row r="90" spans="1:20" s="161" customFormat="1" ht="15" customHeight="1">
      <c r="A90" s="139"/>
      <c r="B90" s="143"/>
      <c r="D90" s="207"/>
      <c r="F90" s="143"/>
      <c r="G90" s="143"/>
      <c r="H90" s="143"/>
      <c r="I90" s="143"/>
      <c r="J90" s="143"/>
      <c r="O90" s="139"/>
      <c r="P90" s="139"/>
    </row>
    <row r="91" spans="1:20" s="161" customFormat="1" ht="15" customHeight="1">
      <c r="A91" s="139"/>
      <c r="B91" s="143"/>
      <c r="D91" s="207"/>
      <c r="F91" s="143"/>
      <c r="G91" s="143"/>
      <c r="H91" s="143"/>
      <c r="I91" s="143"/>
      <c r="J91" s="143"/>
      <c r="O91" s="139"/>
      <c r="P91" s="139"/>
    </row>
    <row r="92" spans="1:20" s="161" customFormat="1" ht="15" customHeight="1">
      <c r="A92" s="139"/>
      <c r="B92" s="143"/>
      <c r="D92" s="207"/>
      <c r="F92" s="143"/>
      <c r="G92" s="143"/>
      <c r="H92" s="143"/>
      <c r="I92" s="143"/>
      <c r="J92" s="143"/>
      <c r="O92" s="139"/>
      <c r="P92" s="139"/>
    </row>
    <row r="93" spans="1:20" s="161" customFormat="1" ht="15" customHeight="1">
      <c r="A93" s="139"/>
      <c r="B93" s="143"/>
      <c r="D93" s="207"/>
      <c r="F93" s="143"/>
      <c r="G93" s="143"/>
      <c r="H93" s="143"/>
      <c r="I93" s="143"/>
      <c r="J93" s="143"/>
      <c r="O93" s="139"/>
      <c r="P93" s="139"/>
    </row>
    <row r="94" spans="1:20" s="161" customFormat="1" ht="15" customHeight="1">
      <c r="A94" s="139"/>
      <c r="B94" s="143"/>
      <c r="D94" s="207"/>
      <c r="F94" s="143"/>
      <c r="G94" s="143"/>
      <c r="H94" s="143"/>
      <c r="I94" s="143"/>
      <c r="J94" s="143"/>
      <c r="O94" s="139"/>
      <c r="P94" s="139"/>
    </row>
    <row r="95" spans="1:20" s="161" customFormat="1" ht="15" customHeight="1">
      <c r="A95" s="139"/>
      <c r="B95" s="143"/>
      <c r="D95" s="207"/>
      <c r="F95" s="143"/>
      <c r="G95" s="143"/>
      <c r="H95" s="143"/>
      <c r="I95" s="143"/>
      <c r="J95" s="143"/>
      <c r="O95" s="139"/>
      <c r="P95" s="139"/>
    </row>
    <row r="96" spans="1:20" s="161" customFormat="1" ht="15" customHeight="1">
      <c r="A96" s="139"/>
      <c r="B96" s="143"/>
      <c r="D96" s="207"/>
      <c r="F96" s="143"/>
      <c r="G96" s="143"/>
      <c r="H96" s="143"/>
      <c r="I96" s="143"/>
      <c r="J96" s="143"/>
      <c r="O96" s="139"/>
      <c r="P96" s="139"/>
    </row>
    <row r="97" spans="1:16" s="161" customFormat="1" ht="15" customHeight="1">
      <c r="A97" s="139"/>
      <c r="B97" s="143"/>
      <c r="D97" s="207"/>
      <c r="F97" s="143"/>
      <c r="G97" s="143"/>
      <c r="H97" s="143"/>
      <c r="I97" s="143"/>
      <c r="J97" s="143"/>
      <c r="O97" s="139"/>
      <c r="P97" s="139"/>
    </row>
    <row r="98" spans="1:16" s="161" customFormat="1" ht="15" customHeight="1">
      <c r="A98" s="139"/>
      <c r="B98" s="143"/>
      <c r="D98" s="207"/>
      <c r="F98" s="143"/>
      <c r="G98" s="143"/>
      <c r="H98" s="143"/>
      <c r="I98" s="143"/>
      <c r="J98" s="143"/>
      <c r="O98" s="139"/>
      <c r="P98" s="139"/>
    </row>
    <row r="99" spans="1:16" s="161" customFormat="1" ht="15" customHeight="1">
      <c r="A99" s="139"/>
      <c r="B99" s="143"/>
      <c r="D99" s="207"/>
      <c r="F99" s="143"/>
      <c r="G99" s="143"/>
      <c r="H99" s="143"/>
      <c r="I99" s="143"/>
      <c r="J99" s="143"/>
      <c r="O99" s="139"/>
      <c r="P99" s="139"/>
    </row>
    <row r="100" spans="1:16" s="161" customFormat="1" ht="15" customHeight="1">
      <c r="A100" s="139"/>
      <c r="B100" s="143"/>
      <c r="D100" s="207"/>
      <c r="F100" s="143"/>
      <c r="G100" s="143"/>
      <c r="H100" s="143"/>
      <c r="I100" s="143"/>
      <c r="J100" s="143"/>
      <c r="O100" s="139"/>
      <c r="P100" s="139"/>
    </row>
  </sheetData>
  <dataValidations count="9">
    <dataValidation type="list" allowBlank="1" showInputMessage="1" showErrorMessage="1" sqref="Q1 Q55 Q50:Q52 Q18:Q35 Q38 Q40:Q42 Q44:Q48 Q3:Q16" xr:uid="{10F65CD3-E612-4CE0-833D-60D9E7B3BD0F}">
      <formula1>$Y$2:$Y$13</formula1>
    </dataValidation>
    <dataValidation type="list" allowBlank="1" showInputMessage="1" showErrorMessage="1" sqref="Q36:Q37 Q39 Q43 Q49" xr:uid="{FC018CBA-01B2-4844-B81F-E858112949FA}">
      <formula1>$AE$2:$AE$9</formula1>
    </dataValidation>
    <dataValidation type="list" allowBlank="1" showInputMessage="1" showErrorMessage="1" sqref="Q53:Q54 Q68:Q72 Q56:Q65" xr:uid="{93BABA25-868F-4F76-8D2C-8A5D0CB8B768}">
      <formula1>$AD$2:$AD$9</formula1>
    </dataValidation>
    <dataValidation type="list" allowBlank="1" showInputMessage="1" showErrorMessage="1" sqref="Q66:Q67" xr:uid="{5959FB17-4038-40D0-A6BE-A1AEDAA77D56}">
      <formula1>$W$2:$W$10</formula1>
    </dataValidation>
    <dataValidation type="list" allowBlank="1" showInputMessage="1" showErrorMessage="1" sqref="Q73:Q77 Q84" xr:uid="{6A1EBF47-51B6-42E3-9B52-7E7B452A2580}">
      <formula1>$X$2:$X$10</formula1>
    </dataValidation>
    <dataValidation type="list" allowBlank="1" showInputMessage="1" showErrorMessage="1" sqref="Q79" xr:uid="{05C30BEB-A4AD-4C8E-A000-C8C5BFB9BA43}">
      <formula1>$Y$2:$Y$10</formula1>
    </dataValidation>
    <dataValidation type="list" allowBlank="1" showInputMessage="1" showErrorMessage="1" sqref="Q83 Q80" xr:uid="{5D393B10-C7F8-4D47-83F7-4913405E77CD}">
      <formula1>$W$2:$W$9</formula1>
    </dataValidation>
    <dataValidation type="list" allowBlank="1" showInputMessage="1" showErrorMessage="1" sqref="Q81:Q82" xr:uid="{142634FC-055B-4AA6-B0F1-61691A27A49E}">
      <formula1>$V$2:$V$10</formula1>
    </dataValidation>
    <dataValidation type="list" allowBlank="1" showInputMessage="1" showErrorMessage="1" sqref="P87:Q87" xr:uid="{65463765-8F71-4B87-9059-2E8C95CB2FE7}">
      <formula1>$X$2:$X$11</formula1>
    </dataValidation>
  </dataValidations>
  <hyperlinks>
    <hyperlink ref="T14" r:id="rId1" xr:uid="{D953AE1D-971A-4A72-9D1B-18E3237F8D8D}"/>
    <hyperlink ref="S30" r:id="rId2" xr:uid="{C087AFF5-5725-49EC-9053-2C55B2FB9146}"/>
    <hyperlink ref="S33" r:id="rId3" xr:uid="{1DE640DE-09E8-488F-BDF3-A4FBE5C4EFF7}"/>
    <hyperlink ref="S37" r:id="rId4" xr:uid="{359709F3-D2A3-4AC9-92A9-4115983D5BD7}"/>
    <hyperlink ref="S39" r:id="rId5" xr:uid="{AD2004FF-A569-4F91-B1FB-7E3BE44EE1AB}"/>
    <hyperlink ref="S41" r:id="rId6" xr:uid="{E7EA6BA9-C4DC-4A3A-9C61-32CFE3E87E77}"/>
    <hyperlink ref="S44" r:id="rId7" xr:uid="{B8B7A074-4C86-427B-9670-EB297A5B27FA}"/>
    <hyperlink ref="S46" r:id="rId8" xr:uid="{E3E10CF5-CC84-4477-BFB4-C30BCDF4349F}"/>
    <hyperlink ref="S47" r:id="rId9" xr:uid="{1F605585-E68C-4463-ACDD-7D9C7C783938}"/>
    <hyperlink ref="S48" r:id="rId10" xr:uid="{826B76BE-8627-4978-96B5-760BD696B3C6}"/>
    <hyperlink ref="S49" r:id="rId11" xr:uid="{899A7477-7919-4726-92F4-0A2190EA2C63}"/>
    <hyperlink ref="S50" r:id="rId12" xr:uid="{1C6DB828-54B2-47F4-BC7B-F2940A36EA55}"/>
    <hyperlink ref="S51" r:id="rId13" xr:uid="{F78FCC45-4D89-4E1B-87A1-75C321B20B13}"/>
    <hyperlink ref="S52" r:id="rId14" xr:uid="{203F7D91-A397-4322-A0A5-71148303F39A}"/>
    <hyperlink ref="S54" r:id="rId15" xr:uid="{E713EE42-E17A-48D6-BB9B-9B3BC1FB9119}"/>
    <hyperlink ref="R81" r:id="rId16" xr:uid="{4C1D857E-B550-411D-B5F7-452AF044289A}"/>
    <hyperlink ref="T86" r:id="rId17" xr:uid="{D6BDB1C2-E05A-467D-9C5F-D4C4A654D3D2}"/>
  </hyperlinks>
  <pageMargins left="0.7" right="0.7" top="0.75" bottom="0.75" header="0.3" footer="0.3"/>
  <pageSetup paperSize="11" orientation="portrait" horizontalDpi="4294967293" r:id="rId1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B16C-5015-4B46-A075-169B87E21A35}">
  <dimension ref="A1:AC27"/>
  <sheetViews>
    <sheetView workbookViewId="0">
      <selection activeCell="D7" sqref="D7"/>
    </sheetView>
  </sheetViews>
  <sheetFormatPr defaultRowHeight="14.45"/>
  <cols>
    <col min="3" max="3" width="14.5703125" customWidth="1"/>
    <col min="4" max="4" width="23.28515625" customWidth="1"/>
    <col min="5" max="5" width="15.85546875" customWidth="1"/>
    <col min="6" max="6" width="12" bestFit="1" customWidth="1"/>
    <col min="12" max="13" width="9.28515625" bestFit="1" customWidth="1"/>
  </cols>
  <sheetData>
    <row r="1" spans="1:29" ht="43.5">
      <c r="A1" s="177" t="s">
        <v>147</v>
      </c>
      <c r="B1" s="177" t="s">
        <v>148</v>
      </c>
      <c r="C1" s="177" t="s">
        <v>149</v>
      </c>
      <c r="D1" s="177" t="s">
        <v>150</v>
      </c>
      <c r="E1" s="177" t="s">
        <v>151</v>
      </c>
      <c r="F1" s="177" t="s">
        <v>152</v>
      </c>
      <c r="G1" s="177" t="s">
        <v>153</v>
      </c>
      <c r="H1" s="177" t="s">
        <v>154</v>
      </c>
      <c r="I1" s="28" t="s">
        <v>156</v>
      </c>
      <c r="J1" s="28" t="s">
        <v>157</v>
      </c>
      <c r="K1" s="28" t="s">
        <v>158</v>
      </c>
      <c r="L1" s="28" t="s">
        <v>159</v>
      </c>
      <c r="M1" s="28" t="s">
        <v>160</v>
      </c>
      <c r="N1" s="28" t="s">
        <v>161</v>
      </c>
      <c r="O1" s="28"/>
      <c r="P1" s="28" t="s">
        <v>162</v>
      </c>
      <c r="Q1" s="28" t="s">
        <v>6455</v>
      </c>
      <c r="R1" s="28" t="s">
        <v>4971</v>
      </c>
      <c r="S1" s="28" t="s">
        <v>163</v>
      </c>
      <c r="T1" s="202" t="s">
        <v>164</v>
      </c>
      <c r="U1" s="177" t="s">
        <v>5691</v>
      </c>
      <c r="V1" s="177" t="s">
        <v>3886</v>
      </c>
    </row>
    <row r="2" spans="1:29" s="161" customFormat="1" ht="43.5">
      <c r="A2" s="161">
        <v>1</v>
      </c>
      <c r="C2" s="147" t="s">
        <v>6456</v>
      </c>
      <c r="D2" s="147" t="s">
        <v>6457</v>
      </c>
      <c r="F2" s="161">
        <v>7406683823</v>
      </c>
      <c r="L2" s="250">
        <v>46055</v>
      </c>
      <c r="M2" s="250">
        <v>46388</v>
      </c>
      <c r="N2" s="161">
        <v>11</v>
      </c>
      <c r="W2" s="161" t="s">
        <v>6458</v>
      </c>
    </row>
    <row r="3" spans="1:29" s="161" customFormat="1" ht="57.95">
      <c r="A3" s="267">
        <v>2</v>
      </c>
      <c r="B3" s="229"/>
      <c r="C3" s="229"/>
      <c r="D3" s="229" t="s">
        <v>6459</v>
      </c>
      <c r="E3" s="268"/>
      <c r="F3" s="269"/>
      <c r="G3" s="269"/>
      <c r="H3" s="269"/>
      <c r="I3" s="229"/>
      <c r="J3" s="229"/>
      <c r="K3" s="229"/>
      <c r="L3" s="270">
        <v>46083</v>
      </c>
      <c r="M3" s="270">
        <v>46419</v>
      </c>
      <c r="N3" s="229">
        <v>11</v>
      </c>
      <c r="O3" s="229"/>
      <c r="P3" s="229" t="s">
        <v>6460</v>
      </c>
      <c r="Q3" s="269"/>
      <c r="R3" s="271"/>
      <c r="S3" s="272"/>
      <c r="T3" s="229"/>
      <c r="U3" s="223"/>
      <c r="V3" s="223"/>
      <c r="W3" s="223"/>
      <c r="X3" s="223"/>
      <c r="Y3" s="223"/>
      <c r="Z3" s="223"/>
      <c r="AA3" s="223"/>
      <c r="AB3" s="223"/>
    </row>
    <row r="4" spans="1:29" s="161" customFormat="1" ht="57.95">
      <c r="A4" s="161">
        <v>3</v>
      </c>
      <c r="C4" s="161" t="s">
        <v>6461</v>
      </c>
      <c r="D4" s="161" t="s">
        <v>6462</v>
      </c>
      <c r="F4" s="161">
        <v>9316297294</v>
      </c>
      <c r="L4" s="161" t="s">
        <v>4773</v>
      </c>
      <c r="M4" s="161" t="s">
        <v>4774</v>
      </c>
      <c r="N4" s="161">
        <v>11</v>
      </c>
      <c r="P4" s="229" t="s">
        <v>6460</v>
      </c>
      <c r="W4" s="194" t="s">
        <v>6463</v>
      </c>
    </row>
    <row r="5" spans="1:29" s="161" customFormat="1" ht="43.5">
      <c r="A5" s="23">
        <v>4</v>
      </c>
      <c r="B5" s="7" t="s">
        <v>227</v>
      </c>
      <c r="C5" s="22" t="s">
        <v>6464</v>
      </c>
      <c r="D5" s="7" t="s">
        <v>6465</v>
      </c>
      <c r="E5" s="31"/>
      <c r="F5" s="22" t="s">
        <v>6466</v>
      </c>
      <c r="G5" s="22"/>
      <c r="H5" s="22"/>
      <c r="I5" s="7"/>
      <c r="J5" s="7"/>
      <c r="K5" s="36"/>
      <c r="L5" s="27" t="s">
        <v>110</v>
      </c>
      <c r="M5" s="27" t="s">
        <v>2414</v>
      </c>
      <c r="N5" s="22">
        <v>11</v>
      </c>
      <c r="O5" s="22"/>
      <c r="P5" s="7" t="s">
        <v>176</v>
      </c>
      <c r="Q5" s="22"/>
      <c r="R5" s="98" t="s">
        <v>6467</v>
      </c>
      <c r="S5" s="9"/>
      <c r="T5" s="9"/>
      <c r="U5" s="29"/>
      <c r="V5" s="29"/>
      <c r="W5" s="29"/>
      <c r="X5" s="29"/>
      <c r="Y5" s="29"/>
      <c r="Z5" s="29"/>
      <c r="AA5" s="29"/>
      <c r="AB5" s="29"/>
      <c r="AC5" s="29"/>
    </row>
    <row r="6" spans="1:29" s="161" customFormat="1">
      <c r="A6" s="161">
        <v>5</v>
      </c>
    </row>
    <row r="7" spans="1:29" s="161" customFormat="1">
      <c r="A7" s="161">
        <v>6</v>
      </c>
    </row>
    <row r="8" spans="1:29" s="161" customFormat="1">
      <c r="A8" s="161">
        <v>7</v>
      </c>
    </row>
    <row r="9" spans="1:29" s="161" customFormat="1">
      <c r="A9" s="161">
        <v>8</v>
      </c>
    </row>
    <row r="10" spans="1:29" s="161" customFormat="1">
      <c r="A10" s="161">
        <v>9</v>
      </c>
    </row>
    <row r="11" spans="1:29" s="161" customFormat="1">
      <c r="A11" s="161">
        <v>10</v>
      </c>
    </row>
    <row r="12" spans="1:29" s="161" customFormat="1">
      <c r="A12" s="161">
        <v>11</v>
      </c>
    </row>
    <row r="13" spans="1:29" s="161" customFormat="1">
      <c r="A13" s="161">
        <v>12</v>
      </c>
    </row>
    <row r="14" spans="1:29" s="161" customFormat="1">
      <c r="A14" s="161">
        <v>13</v>
      </c>
    </row>
    <row r="15" spans="1:29" s="161" customFormat="1">
      <c r="A15" s="161">
        <v>14</v>
      </c>
    </row>
    <row r="16" spans="1:29" s="161" customFormat="1">
      <c r="A16" s="161">
        <v>15</v>
      </c>
    </row>
    <row r="17" spans="1:1" s="161" customFormat="1">
      <c r="A17" s="161">
        <v>16</v>
      </c>
    </row>
    <row r="18" spans="1:1" s="161" customFormat="1"/>
    <row r="19" spans="1:1" s="161" customFormat="1"/>
    <row r="20" spans="1:1" s="161" customFormat="1"/>
    <row r="21" spans="1:1" s="161" customFormat="1"/>
    <row r="22" spans="1:1" s="161" customFormat="1"/>
    <row r="23" spans="1:1" s="161" customFormat="1"/>
    <row r="24" spans="1:1" s="161" customFormat="1"/>
    <row r="25" spans="1:1" s="161" customFormat="1"/>
    <row r="26" spans="1:1" s="161" customFormat="1"/>
    <row r="27" spans="1:1" s="161" customFormat="1"/>
  </sheetData>
  <dataValidations count="2">
    <dataValidation type="list" allowBlank="1" showInputMessage="1" showErrorMessage="1" sqref="P1" xr:uid="{29A31329-2D01-4B7E-84FF-8130F73EBB21}">
      <formula1>$Z$2:$Z$10</formula1>
    </dataValidation>
    <dataValidation type="list" allowBlank="1" showInputMessage="1" showErrorMessage="1" sqref="P5" xr:uid="{D583C213-F4BB-4D80-A338-7FD6CA72AD8A}">
      <formula1>$AE$2:$AE$10</formula1>
    </dataValidation>
  </dataValidations>
  <hyperlinks>
    <hyperlink ref="W4" r:id="rId1" xr:uid="{83E38220-791E-4ABE-A94F-0506627CB264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187B-E064-4F77-A315-F32584326D76}">
  <dimension ref="A1:V33"/>
  <sheetViews>
    <sheetView topLeftCell="C1" workbookViewId="0">
      <selection activeCell="I2" sqref="I2"/>
    </sheetView>
  </sheetViews>
  <sheetFormatPr defaultRowHeight="14.45"/>
  <cols>
    <col min="3" max="3" width="11.42578125" customWidth="1"/>
    <col min="4" max="4" width="33.28515625" customWidth="1"/>
    <col min="5" max="5" width="27.28515625" customWidth="1"/>
    <col min="6" max="7" width="11.7109375" customWidth="1"/>
    <col min="11" max="11" width="12" bestFit="1" customWidth="1"/>
    <col min="12" max="12" width="13.7109375" customWidth="1"/>
    <col min="13" max="13" width="17.140625" customWidth="1"/>
  </cols>
  <sheetData>
    <row r="1" spans="1:22" s="57" customFormat="1" ht="43.5">
      <c r="A1" s="131" t="s">
        <v>147</v>
      </c>
      <c r="B1" s="131" t="s">
        <v>148</v>
      </c>
      <c r="C1" s="131" t="s">
        <v>149</v>
      </c>
      <c r="D1" s="131" t="s">
        <v>150</v>
      </c>
      <c r="E1" s="131" t="s">
        <v>151</v>
      </c>
      <c r="F1" s="131" t="s">
        <v>152</v>
      </c>
      <c r="G1" s="131" t="s">
        <v>153</v>
      </c>
      <c r="H1" s="131" t="s">
        <v>154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/>
      <c r="P1" s="131" t="s">
        <v>162</v>
      </c>
      <c r="Q1" s="131" t="s">
        <v>6455</v>
      </c>
      <c r="R1" s="131" t="s">
        <v>4971</v>
      </c>
      <c r="S1" s="131" t="s">
        <v>163</v>
      </c>
      <c r="T1" s="131" t="s">
        <v>164</v>
      </c>
      <c r="U1" s="131" t="s">
        <v>5691</v>
      </c>
      <c r="V1" s="131" t="s">
        <v>3886</v>
      </c>
    </row>
    <row r="2" spans="1:22" s="34" customFormat="1" ht="63.75" customHeight="1">
      <c r="A2" s="139">
        <v>1</v>
      </c>
      <c r="B2" s="139"/>
      <c r="C2" s="133" t="s">
        <v>6468</v>
      </c>
      <c r="D2" s="139" t="s">
        <v>6469</v>
      </c>
      <c r="E2" s="133" t="s">
        <v>6470</v>
      </c>
      <c r="F2" s="139"/>
      <c r="G2" s="139"/>
      <c r="H2" s="139"/>
      <c r="I2" s="139"/>
      <c r="J2" s="139"/>
      <c r="K2" s="139">
        <v>8149223108</v>
      </c>
      <c r="L2" s="139"/>
      <c r="M2" s="139"/>
      <c r="N2" s="139">
        <v>11</v>
      </c>
      <c r="O2" s="139"/>
      <c r="P2" s="133" t="s">
        <v>5490</v>
      </c>
      <c r="Q2" s="139"/>
      <c r="R2" s="139"/>
      <c r="S2" s="139" t="s">
        <v>6471</v>
      </c>
      <c r="T2" s="139"/>
      <c r="U2" s="139"/>
      <c r="V2" s="139"/>
    </row>
    <row r="3" spans="1:22" ht="43.5">
      <c r="A3" s="161">
        <v>2</v>
      </c>
      <c r="B3" s="161"/>
      <c r="C3" s="147" t="s">
        <v>6472</v>
      </c>
      <c r="D3" s="161" t="s">
        <v>6473</v>
      </c>
      <c r="E3" s="161"/>
      <c r="F3" s="161"/>
      <c r="G3" s="161"/>
      <c r="H3" s="161"/>
      <c r="I3" s="161"/>
      <c r="J3" s="161"/>
      <c r="K3" s="161"/>
      <c r="L3" s="250">
        <v>46057</v>
      </c>
      <c r="M3" s="250">
        <v>46390</v>
      </c>
      <c r="N3" s="161">
        <v>11</v>
      </c>
      <c r="O3" s="161"/>
      <c r="P3" s="133" t="s">
        <v>5490</v>
      </c>
      <c r="Q3" s="161"/>
      <c r="R3" s="161"/>
      <c r="S3" s="161"/>
      <c r="T3" s="194" t="s">
        <v>6474</v>
      </c>
      <c r="U3" s="161"/>
      <c r="V3" s="161"/>
    </row>
    <row r="4" spans="1:22">
      <c r="A4" s="161">
        <v>3</v>
      </c>
      <c r="B4" s="161"/>
      <c r="C4" s="147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</row>
    <row r="5" spans="1:22">
      <c r="A5" s="161">
        <v>4</v>
      </c>
      <c r="B5" s="161"/>
      <c r="C5" s="147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</row>
    <row r="6" spans="1:22">
      <c r="A6" s="161"/>
      <c r="B6" s="161"/>
      <c r="C6" s="147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</row>
    <row r="7" spans="1:22">
      <c r="A7" s="161"/>
      <c r="B7" s="161"/>
      <c r="C7" s="147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</row>
    <row r="8" spans="1:22">
      <c r="A8" s="161"/>
      <c r="B8" s="161"/>
      <c r="C8" s="147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</row>
    <row r="9" spans="1:22">
      <c r="A9" s="161"/>
      <c r="B9" s="161"/>
      <c r="C9" s="147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</row>
    <row r="10" spans="1:22">
      <c r="A10" s="161"/>
      <c r="B10" s="161"/>
      <c r="C10" s="147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</row>
    <row r="11" spans="1:22">
      <c r="A11" s="161"/>
      <c r="B11" s="161"/>
      <c r="C11" s="147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</row>
    <row r="12" spans="1:22">
      <c r="A12" s="161"/>
      <c r="B12" s="161"/>
      <c r="C12" s="147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</row>
    <row r="13" spans="1:22">
      <c r="A13" s="161"/>
      <c r="B13" s="161"/>
      <c r="C13" s="147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</row>
    <row r="14" spans="1:22">
      <c r="A14" s="161"/>
      <c r="B14" s="161"/>
      <c r="C14" s="147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</row>
    <row r="15" spans="1:22">
      <c r="A15" s="161"/>
      <c r="B15" s="161"/>
      <c r="C15" s="147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</row>
    <row r="16" spans="1:22">
      <c r="A16" s="161"/>
      <c r="B16" s="161"/>
      <c r="C16" s="147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</row>
    <row r="17" spans="1:22">
      <c r="A17" s="161"/>
      <c r="B17" s="161"/>
      <c r="C17" s="147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</row>
    <row r="18" spans="1:22">
      <c r="A18" s="161"/>
      <c r="B18" s="161"/>
      <c r="C18" s="147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</row>
    <row r="19" spans="1:22">
      <c r="A19" s="161"/>
      <c r="B19" s="161"/>
      <c r="C19" s="147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</row>
    <row r="20" spans="1:22">
      <c r="A20" s="161"/>
      <c r="B20" s="161"/>
      <c r="C20" s="147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</row>
    <row r="21" spans="1:22">
      <c r="A21" s="161"/>
      <c r="B21" s="161"/>
      <c r="C21" s="147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</row>
    <row r="22" spans="1:22">
      <c r="A22" s="161"/>
      <c r="B22" s="161"/>
      <c r="C22" s="147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</row>
    <row r="23" spans="1:22">
      <c r="A23" s="161"/>
      <c r="B23" s="161"/>
      <c r="C23" s="147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</row>
    <row r="24" spans="1:22">
      <c r="A24" s="161"/>
      <c r="B24" s="161"/>
      <c r="C24" s="147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</row>
    <row r="25" spans="1:22">
      <c r="A25" s="161"/>
      <c r="B25" s="161"/>
      <c r="C25" s="147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</row>
    <row r="26" spans="1:22">
      <c r="A26" s="161"/>
      <c r="B26" s="161"/>
      <c r="C26" s="147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</row>
    <row r="27" spans="1:22">
      <c r="A27" s="161"/>
      <c r="B27" s="161"/>
      <c r="C27" s="147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</row>
    <row r="28" spans="1:22">
      <c r="A28" s="161"/>
      <c r="B28" s="161"/>
      <c r="C28" s="147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</row>
    <row r="29" spans="1:22">
      <c r="A29" s="161"/>
      <c r="B29" s="161"/>
      <c r="C29" s="147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</row>
    <row r="30" spans="1:22">
      <c r="A30" s="161"/>
      <c r="B30" s="161"/>
      <c r="C30" s="147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</row>
    <row r="31" spans="1:22">
      <c r="C31" s="147"/>
    </row>
    <row r="32" spans="1:22">
      <c r="C32" s="147"/>
    </row>
    <row r="33" spans="3:3">
      <c r="C33" s="147"/>
    </row>
  </sheetData>
  <autoFilter ref="A1:V1" xr:uid="{8280187B-E064-4F77-A315-F32584326D76}"/>
  <dataValidations count="1">
    <dataValidation type="list" allowBlank="1" showInputMessage="1" showErrorMessage="1" sqref="P1" xr:uid="{EEA69D31-84BC-417F-85DE-46DBC81B5AA9}">
      <formula1>$Z$2:$Z$10</formula1>
    </dataValidation>
  </dataValidations>
  <hyperlinks>
    <hyperlink ref="T3" r:id="rId1" xr:uid="{7A8A9E98-1024-4C94-A420-02507B588194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59DC-A911-48BB-BD5B-3FC15E1A54B9}">
  <dimension ref="A1:T19"/>
  <sheetViews>
    <sheetView workbookViewId="0">
      <selection activeCell="C6" sqref="C6"/>
    </sheetView>
  </sheetViews>
  <sheetFormatPr defaultRowHeight="14.45"/>
  <cols>
    <col min="2" max="2" width="14" customWidth="1"/>
    <col min="3" max="3" width="27" bestFit="1" customWidth="1"/>
    <col min="4" max="4" width="27.140625" customWidth="1"/>
    <col min="5" max="5" width="12" bestFit="1" customWidth="1"/>
    <col min="6" max="6" width="12.85546875" customWidth="1"/>
    <col min="10" max="10" width="12.28515625" customWidth="1"/>
    <col min="11" max="11" width="13.140625" customWidth="1"/>
  </cols>
  <sheetData>
    <row r="1" spans="1:20" s="161" customFormat="1" ht="43.5">
      <c r="A1" s="131" t="s">
        <v>1</v>
      </c>
      <c r="B1" s="131" t="s">
        <v>149</v>
      </c>
      <c r="C1" s="131" t="s">
        <v>150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156</v>
      </c>
      <c r="I1" s="131" t="s">
        <v>158</v>
      </c>
      <c r="J1" s="131" t="s">
        <v>159</v>
      </c>
      <c r="K1" s="131" t="s">
        <v>160</v>
      </c>
      <c r="L1" s="131" t="s">
        <v>161</v>
      </c>
      <c r="M1" s="131" t="s">
        <v>6266</v>
      </c>
      <c r="N1" s="131" t="s">
        <v>162</v>
      </c>
      <c r="O1" s="131" t="s">
        <v>6130</v>
      </c>
      <c r="P1" s="131" t="s">
        <v>4971</v>
      </c>
      <c r="Q1" s="131" t="s">
        <v>163</v>
      </c>
      <c r="R1" s="131" t="s">
        <v>164</v>
      </c>
      <c r="S1" s="131" t="s">
        <v>5691</v>
      </c>
      <c r="T1" s="131" t="s">
        <v>3886</v>
      </c>
    </row>
    <row r="2" spans="1:20" s="161" customFormat="1">
      <c r="A2" s="161">
        <v>1</v>
      </c>
      <c r="C2" s="161" t="s">
        <v>6475</v>
      </c>
      <c r="J2" s="161" t="s">
        <v>6476</v>
      </c>
      <c r="K2" s="161" t="s">
        <v>6477</v>
      </c>
      <c r="L2" s="161">
        <v>11</v>
      </c>
      <c r="N2" s="219" t="s">
        <v>6478</v>
      </c>
    </row>
    <row r="3" spans="1:20" s="161" customFormat="1" ht="29.1">
      <c r="A3" s="161">
        <v>2</v>
      </c>
      <c r="B3" s="161" t="s">
        <v>6479</v>
      </c>
      <c r="C3" s="147" t="s">
        <v>6480</v>
      </c>
      <c r="J3" s="161" t="s">
        <v>2333</v>
      </c>
      <c r="K3" s="161" t="s">
        <v>2337</v>
      </c>
      <c r="L3" s="161">
        <v>11</v>
      </c>
      <c r="N3" s="219" t="s">
        <v>6478</v>
      </c>
    </row>
    <row r="4" spans="1:20" s="161" customFormat="1"/>
    <row r="5" spans="1:20" s="161" customFormat="1"/>
    <row r="6" spans="1:20" s="161" customFormat="1"/>
    <row r="7" spans="1:20" s="161" customFormat="1"/>
    <row r="8" spans="1:20" s="161" customFormat="1" ht="15"/>
    <row r="9" spans="1:20" s="161" customFormat="1" ht="15"/>
    <row r="10" spans="1:20" s="161" customFormat="1" ht="15"/>
    <row r="11" spans="1:20" s="161" customFormat="1"/>
    <row r="12" spans="1:20" s="161" customFormat="1" ht="15"/>
    <row r="13" spans="1:20" s="161" customFormat="1" ht="15"/>
    <row r="14" spans="1:20" s="161" customFormat="1"/>
    <row r="15" spans="1:20" s="161" customFormat="1"/>
    <row r="16" spans="1:20" s="161" customFormat="1"/>
    <row r="17" s="161" customFormat="1"/>
    <row r="18" s="161" customFormat="1"/>
    <row r="19" customFormat="1"/>
  </sheetData>
  <dataValidations count="1">
    <dataValidation type="list" allowBlank="1" showInputMessage="1" showErrorMessage="1" sqref="N1" xr:uid="{36C09F81-BDC5-4CDA-AA03-BDB6405D7761}">
      <formula1>$Y$2:$Y$13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BF03-5517-488A-AA71-9D486CAD63F2}">
  <dimension ref="A1:T41"/>
  <sheetViews>
    <sheetView topLeftCell="C1" workbookViewId="0">
      <selection activeCell="M1" sqref="M1"/>
    </sheetView>
  </sheetViews>
  <sheetFormatPr defaultRowHeight="14.45"/>
  <cols>
    <col min="3" max="3" width="21.5703125" style="57" customWidth="1"/>
    <col min="5" max="5" width="12" bestFit="1" customWidth="1"/>
    <col min="10" max="10" width="12.140625" customWidth="1"/>
    <col min="11" max="11" width="13.140625" customWidth="1"/>
    <col min="15" max="15" width="15.42578125" customWidth="1"/>
  </cols>
  <sheetData>
    <row r="1" spans="1:20" s="147" customFormat="1" ht="43.5">
      <c r="A1" s="131" t="s">
        <v>1</v>
      </c>
      <c r="B1" s="131" t="s">
        <v>149</v>
      </c>
      <c r="C1" s="131" t="s">
        <v>150</v>
      </c>
      <c r="D1" s="131" t="s">
        <v>151</v>
      </c>
      <c r="E1" s="131" t="s">
        <v>152</v>
      </c>
      <c r="F1" s="131" t="s">
        <v>153</v>
      </c>
      <c r="G1" s="131" t="s">
        <v>154</v>
      </c>
      <c r="H1" s="131" t="s">
        <v>156</v>
      </c>
      <c r="I1" s="131" t="s">
        <v>158</v>
      </c>
      <c r="J1" s="131" t="s">
        <v>159</v>
      </c>
      <c r="K1" s="131" t="s">
        <v>160</v>
      </c>
      <c r="L1" s="131" t="s">
        <v>161</v>
      </c>
      <c r="M1" s="131" t="s">
        <v>6266</v>
      </c>
      <c r="N1" s="131" t="s">
        <v>162</v>
      </c>
      <c r="O1" s="131" t="s">
        <v>6130</v>
      </c>
      <c r="P1" s="131" t="s">
        <v>4971</v>
      </c>
      <c r="Q1" s="131" t="s">
        <v>163</v>
      </c>
      <c r="R1" s="131" t="s">
        <v>164</v>
      </c>
      <c r="S1" s="131" t="s">
        <v>5691</v>
      </c>
      <c r="T1" s="131" t="s">
        <v>3886</v>
      </c>
    </row>
    <row r="2" spans="1:20" s="147" customFormat="1" ht="29.1">
      <c r="A2" s="147">
        <v>1</v>
      </c>
      <c r="C2" s="147" t="s">
        <v>6481</v>
      </c>
    </row>
    <row r="3" spans="1:20" s="147" customFormat="1" ht="29.1">
      <c r="A3" s="147">
        <v>2</v>
      </c>
      <c r="B3" s="147" t="s">
        <v>6482</v>
      </c>
      <c r="C3" s="147" t="s">
        <v>6483</v>
      </c>
      <c r="E3" s="147">
        <v>8861385644</v>
      </c>
      <c r="J3" s="147" t="s">
        <v>4780</v>
      </c>
      <c r="K3" s="147" t="s">
        <v>4781</v>
      </c>
      <c r="L3" s="147">
        <v>11</v>
      </c>
      <c r="N3" s="147" t="s">
        <v>6484</v>
      </c>
      <c r="O3" s="278" t="s">
        <v>6485</v>
      </c>
    </row>
    <row r="4" spans="1:20" s="147" customFormat="1" ht="43.5">
      <c r="A4" s="147">
        <v>3</v>
      </c>
      <c r="C4" s="147" t="s">
        <v>6486</v>
      </c>
      <c r="E4" s="147" t="s">
        <v>6487</v>
      </c>
      <c r="F4" s="147" t="s">
        <v>6488</v>
      </c>
      <c r="J4" s="316">
        <v>46359</v>
      </c>
      <c r="K4" s="316">
        <v>46693</v>
      </c>
      <c r="L4" s="147">
        <v>11</v>
      </c>
      <c r="M4" s="147">
        <v>7000</v>
      </c>
      <c r="N4" s="147" t="s">
        <v>6489</v>
      </c>
      <c r="O4" s="278" t="s">
        <v>6490</v>
      </c>
    </row>
    <row r="5" spans="1:20" s="147" customFormat="1"/>
    <row r="6" spans="1:20" s="147" customFormat="1"/>
    <row r="7" spans="1:20" s="147" customFormat="1"/>
    <row r="8" spans="1:20" s="147" customFormat="1"/>
    <row r="9" spans="1:20" s="147" customFormat="1"/>
    <row r="10" spans="1:20" s="161" customFormat="1"/>
    <row r="11" spans="1:20" s="161" customFormat="1"/>
    <row r="12" spans="1:20" s="161" customFormat="1"/>
    <row r="13" spans="1:20" s="161" customFormat="1"/>
    <row r="14" spans="1:20" s="161" customFormat="1"/>
    <row r="15" spans="1:20" s="161" customFormat="1"/>
    <row r="16" spans="1:20" s="161" customFormat="1"/>
    <row r="17" spans="3:3" s="161" customFormat="1"/>
    <row r="18" spans="3:3" s="161" customFormat="1"/>
    <row r="19" spans="3:3" s="161" customFormat="1"/>
    <row r="20" spans="3:3" s="161" customFormat="1"/>
    <row r="21" spans="3:3" s="161" customFormat="1"/>
    <row r="22" spans="3:3" s="161" customFormat="1"/>
    <row r="23" spans="3:3" s="161" customFormat="1"/>
    <row r="24" spans="3:3" s="161" customFormat="1"/>
    <row r="25" spans="3:3" s="161" customFormat="1"/>
    <row r="26" spans="3:3" s="161" customFormat="1"/>
    <row r="27" spans="3:3" s="161" customFormat="1"/>
    <row r="28" spans="3:3" s="161" customFormat="1"/>
    <row r="29" spans="3:3" s="161" customFormat="1"/>
    <row r="30" spans="3:3" s="161" customFormat="1"/>
    <row r="31" spans="3:3" s="161" customFormat="1"/>
    <row r="32" spans="3:3" s="161" customFormat="1">
      <c r="C32" s="147"/>
    </row>
    <row r="33" spans="3:3" s="161" customFormat="1">
      <c r="C33" s="147"/>
    </row>
    <row r="34" spans="3:3" s="161" customFormat="1">
      <c r="C34" s="147"/>
    </row>
    <row r="35" spans="3:3" s="161" customFormat="1">
      <c r="C35" s="147"/>
    </row>
    <row r="36" spans="3:3" s="161" customFormat="1">
      <c r="C36" s="147"/>
    </row>
    <row r="37" spans="3:3" s="161" customFormat="1">
      <c r="C37" s="147"/>
    </row>
    <row r="38" spans="3:3" s="161" customFormat="1">
      <c r="C38" s="147"/>
    </row>
    <row r="39" spans="3:3" s="161" customFormat="1">
      <c r="C39" s="147"/>
    </row>
    <row r="40" spans="3:3" s="161" customFormat="1">
      <c r="C40" s="147"/>
    </row>
    <row r="41" spans="3:3" s="161" customFormat="1">
      <c r="C41" s="147"/>
    </row>
  </sheetData>
  <dataValidations count="1">
    <dataValidation type="list" allowBlank="1" showInputMessage="1" showErrorMessage="1" sqref="N1" xr:uid="{BD8FFE86-5DF8-4C05-986F-8884468B21D7}">
      <formula1>$Y$2:$Y$20</formula1>
    </dataValidation>
  </dataValidations>
  <hyperlinks>
    <hyperlink ref="O3" r:id="rId1" xr:uid="{E644C0DB-86AE-4A8B-BAF9-78CFBD979714}"/>
    <hyperlink ref="O4" r:id="rId2" xr:uid="{C56A7BE2-EDA3-43AC-8785-6BBBF117CAD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D40E-E489-414C-80F8-6A66BDF4F225}">
  <dimension ref="A1:T36"/>
  <sheetViews>
    <sheetView workbookViewId="0">
      <selection activeCell="E5" sqref="E5"/>
    </sheetView>
  </sheetViews>
  <sheetFormatPr defaultRowHeight="14.45"/>
  <cols>
    <col min="3" max="3" width="15.28515625" customWidth="1"/>
    <col min="4" max="4" width="20.7109375" customWidth="1"/>
    <col min="5" max="5" width="35.42578125" customWidth="1"/>
    <col min="12" max="12" width="12.140625" customWidth="1"/>
    <col min="13" max="13" width="12.28515625" customWidth="1"/>
    <col min="20" max="20" width="21" customWidth="1"/>
  </cols>
  <sheetData>
    <row r="1" spans="1:20" s="161" customFormat="1" ht="43.5">
      <c r="A1" s="131" t="s">
        <v>147</v>
      </c>
      <c r="B1" s="131" t="s">
        <v>148</v>
      </c>
      <c r="C1" s="131" t="s">
        <v>149</v>
      </c>
      <c r="D1" s="131" t="s">
        <v>150</v>
      </c>
      <c r="E1" s="131" t="s">
        <v>151</v>
      </c>
      <c r="F1" s="131" t="s">
        <v>152</v>
      </c>
      <c r="G1" s="131" t="s">
        <v>153</v>
      </c>
      <c r="H1" s="131" t="s">
        <v>154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/>
      <c r="P1" s="131" t="s">
        <v>162</v>
      </c>
      <c r="Q1" s="131" t="s">
        <v>164</v>
      </c>
      <c r="R1" s="131" t="s">
        <v>5691</v>
      </c>
      <c r="S1" s="131" t="s">
        <v>3886</v>
      </c>
    </row>
    <row r="2" spans="1:20" s="219" customFormat="1" ht="15">
      <c r="A2" s="219">
        <v>1</v>
      </c>
      <c r="D2" s="219" t="s">
        <v>6491</v>
      </c>
      <c r="L2" s="219" t="s">
        <v>2238</v>
      </c>
      <c r="M2" s="219" t="s">
        <v>2239</v>
      </c>
      <c r="N2" s="219">
        <v>11</v>
      </c>
      <c r="P2" s="219" t="s">
        <v>6478</v>
      </c>
      <c r="T2" s="219" t="s">
        <v>6492</v>
      </c>
    </row>
    <row r="3" spans="1:20" s="161" customFormat="1" ht="61.5" customHeight="1">
      <c r="A3" s="161">
        <v>4</v>
      </c>
      <c r="B3" s="161" t="s">
        <v>4037</v>
      </c>
      <c r="C3" s="161" t="s">
        <v>6493</v>
      </c>
      <c r="D3" s="147" t="s">
        <v>6494</v>
      </c>
      <c r="E3" s="147" t="s">
        <v>6495</v>
      </c>
      <c r="F3" s="161" t="s">
        <v>6496</v>
      </c>
      <c r="G3" s="161" t="s">
        <v>6497</v>
      </c>
      <c r="L3" s="161" t="s">
        <v>2566</v>
      </c>
      <c r="M3" s="161" t="s">
        <v>2567</v>
      </c>
      <c r="N3" s="161">
        <v>11</v>
      </c>
      <c r="P3" s="161" t="s">
        <v>6498</v>
      </c>
      <c r="T3" s="161" t="s">
        <v>6499</v>
      </c>
    </row>
    <row r="4" spans="1:20" s="161" customFormat="1" ht="30.75">
      <c r="A4" s="161">
        <v>5</v>
      </c>
      <c r="D4" s="147" t="s">
        <v>6494</v>
      </c>
      <c r="E4" s="161" t="s">
        <v>6500</v>
      </c>
      <c r="L4" s="250">
        <v>46333</v>
      </c>
      <c r="P4" s="161" t="s">
        <v>6056</v>
      </c>
      <c r="T4" s="161" t="s">
        <v>6499</v>
      </c>
    </row>
    <row r="5" spans="1:20" s="161" customFormat="1"/>
    <row r="6" spans="1:20" s="161" customFormat="1"/>
    <row r="7" spans="1:20" s="161" customFormat="1"/>
    <row r="8" spans="1:20" s="161" customFormat="1"/>
    <row r="9" spans="1:20" s="161" customFormat="1"/>
    <row r="10" spans="1:20" s="161" customFormat="1"/>
    <row r="11" spans="1:20" s="161" customFormat="1"/>
    <row r="12" spans="1:20" s="161" customFormat="1"/>
    <row r="13" spans="1:20" s="161" customFormat="1"/>
    <row r="14" spans="1:20" s="161" customFormat="1"/>
    <row r="15" spans="1:20" s="161" customFormat="1"/>
    <row r="16" spans="1:20" s="161" customFormat="1"/>
    <row r="17" s="161" customFormat="1"/>
    <row r="18" s="161" customFormat="1"/>
    <row r="19" s="161" customFormat="1"/>
    <row r="20" s="161" customFormat="1"/>
    <row r="21" s="161" customFormat="1"/>
    <row r="22" s="161" customFormat="1"/>
    <row r="23" s="161" customFormat="1"/>
    <row r="24" s="161" customFormat="1"/>
    <row r="25" s="161" customFormat="1"/>
    <row r="26" s="161" customFormat="1"/>
    <row r="27" s="161" customFormat="1"/>
    <row r="28" s="161" customFormat="1"/>
    <row r="29" s="161" customFormat="1"/>
    <row r="30" s="161" customFormat="1"/>
    <row r="31" s="161" customFormat="1"/>
    <row r="32" s="161" customFormat="1"/>
    <row r="33" s="161" customFormat="1"/>
    <row r="34" s="161" customFormat="1"/>
    <row r="35" s="161" customFormat="1"/>
    <row r="36" ht="15"/>
  </sheetData>
  <dataValidations count="1">
    <dataValidation type="list" allowBlank="1" showInputMessage="1" showErrorMessage="1" sqref="P1" xr:uid="{B54BE607-6BF9-4973-AD75-99F9996D42DE}">
      <formula1>$W$2:$W$8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83C2-BA1F-4E7E-A429-C600066EF301}">
  <dimension ref="A1:S16"/>
  <sheetViews>
    <sheetView workbookViewId="0">
      <selection activeCell="F2" sqref="F2"/>
    </sheetView>
  </sheetViews>
  <sheetFormatPr defaultRowHeight="14.45"/>
  <cols>
    <col min="4" max="4" width="20.85546875" customWidth="1"/>
    <col min="12" max="12" width="11.85546875" customWidth="1"/>
    <col min="13" max="13" width="12" customWidth="1"/>
  </cols>
  <sheetData>
    <row r="1" spans="1:19" s="161" customFormat="1" ht="43.5">
      <c r="A1" s="131" t="s">
        <v>147</v>
      </c>
      <c r="B1" s="131" t="s">
        <v>148</v>
      </c>
      <c r="C1" s="131" t="s">
        <v>149</v>
      </c>
      <c r="D1" s="131" t="s">
        <v>150</v>
      </c>
      <c r="E1" s="131" t="s">
        <v>151</v>
      </c>
      <c r="F1" s="131" t="s">
        <v>152</v>
      </c>
      <c r="G1" s="131" t="s">
        <v>153</v>
      </c>
      <c r="H1" s="131" t="s">
        <v>154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/>
      <c r="P1" s="131" t="s">
        <v>162</v>
      </c>
      <c r="Q1" s="131" t="s">
        <v>164</v>
      </c>
      <c r="R1" s="131" t="s">
        <v>5691</v>
      </c>
      <c r="S1" s="131" t="s">
        <v>3886</v>
      </c>
    </row>
    <row r="2" spans="1:19" s="161" customFormat="1" ht="43.5">
      <c r="A2" s="161">
        <v>1</v>
      </c>
      <c r="C2" s="147" t="s">
        <v>6501</v>
      </c>
      <c r="D2" s="161" t="s">
        <v>6502</v>
      </c>
      <c r="L2" s="250">
        <v>46056</v>
      </c>
      <c r="M2" s="250">
        <v>46389</v>
      </c>
      <c r="N2" s="161">
        <v>11</v>
      </c>
      <c r="P2" s="161" t="s">
        <v>6484</v>
      </c>
      <c r="R2" s="161" t="s">
        <v>6503</v>
      </c>
      <c r="S2" s="161" t="s">
        <v>6504</v>
      </c>
    </row>
    <row r="3" spans="1:19" s="161" customFormat="1"/>
    <row r="4" spans="1:19" s="161" customFormat="1"/>
    <row r="5" spans="1:19" s="161" customFormat="1"/>
    <row r="6" spans="1:19" s="161" customFormat="1"/>
    <row r="7" spans="1:19" s="161" customFormat="1"/>
    <row r="8" spans="1:19" s="161" customFormat="1"/>
    <row r="9" spans="1:19" s="161" customFormat="1"/>
    <row r="10" spans="1:19" s="161" customFormat="1"/>
    <row r="11" spans="1:19" s="161" customFormat="1"/>
    <row r="12" spans="1:19" s="161" customFormat="1"/>
    <row r="13" spans="1:19" s="161" customFormat="1"/>
    <row r="14" spans="1:19" s="161" customFormat="1"/>
    <row r="15" spans="1:19" s="161" customFormat="1"/>
    <row r="16" spans="1:19" s="161" customFormat="1"/>
  </sheetData>
  <dataValidations count="1">
    <dataValidation type="list" allowBlank="1" showInputMessage="1" showErrorMessage="1" sqref="P1" xr:uid="{1B6FD2C0-EDF5-469E-B823-C23C5631A998}">
      <formula1>$W$2:$W$10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FD45-32C5-4E3C-A115-50770E09A010}">
  <dimension ref="A1:S12"/>
  <sheetViews>
    <sheetView workbookViewId="0">
      <selection activeCell="I1" sqref="I1"/>
    </sheetView>
  </sheetViews>
  <sheetFormatPr defaultRowHeight="14.45"/>
  <cols>
    <col min="4" max="4" width="19.5703125" customWidth="1"/>
    <col min="12" max="12" width="12.85546875" customWidth="1"/>
    <col min="13" max="13" width="15.42578125" customWidth="1"/>
  </cols>
  <sheetData>
    <row r="1" spans="1:19" s="161" customFormat="1" ht="43.5">
      <c r="A1" s="131" t="s">
        <v>147</v>
      </c>
      <c r="B1" s="131" t="s">
        <v>148</v>
      </c>
      <c r="C1" s="131" t="s">
        <v>149</v>
      </c>
      <c r="D1" s="131" t="s">
        <v>150</v>
      </c>
      <c r="E1" s="131" t="s">
        <v>151</v>
      </c>
      <c r="F1" s="131" t="s">
        <v>152</v>
      </c>
      <c r="G1" s="131" t="s">
        <v>153</v>
      </c>
      <c r="H1" s="131" t="s">
        <v>154</v>
      </c>
      <c r="I1" s="131" t="s">
        <v>156</v>
      </c>
      <c r="J1" s="131" t="s">
        <v>157</v>
      </c>
      <c r="K1" s="131" t="s">
        <v>158</v>
      </c>
      <c r="L1" s="131" t="s">
        <v>159</v>
      </c>
      <c r="M1" s="131" t="s">
        <v>160</v>
      </c>
      <c r="N1" s="131" t="s">
        <v>161</v>
      </c>
      <c r="O1" s="131"/>
      <c r="P1" s="131" t="s">
        <v>162</v>
      </c>
      <c r="Q1" s="131" t="s">
        <v>164</v>
      </c>
      <c r="R1" s="131" t="s">
        <v>5691</v>
      </c>
      <c r="S1" s="131" t="s">
        <v>3886</v>
      </c>
    </row>
    <row r="2" spans="1:19" s="161" customFormat="1" ht="43.5">
      <c r="A2" s="161">
        <v>1</v>
      </c>
      <c r="D2" s="147" t="s">
        <v>6505</v>
      </c>
      <c r="L2" s="250">
        <v>46056</v>
      </c>
      <c r="M2" s="250">
        <v>46389</v>
      </c>
      <c r="N2" s="161">
        <v>11</v>
      </c>
      <c r="P2" s="161" t="s">
        <v>6489</v>
      </c>
    </row>
    <row r="3" spans="1:19" s="161" customFormat="1"/>
    <row r="4" spans="1:19" s="161" customFormat="1"/>
    <row r="5" spans="1:19" s="161" customFormat="1"/>
    <row r="6" spans="1:19" s="161" customFormat="1"/>
    <row r="7" spans="1:19" s="161" customFormat="1"/>
    <row r="8" spans="1:19" s="161" customFormat="1"/>
    <row r="9" spans="1:19" s="161" customFormat="1"/>
    <row r="10" spans="1:19" s="161" customFormat="1"/>
    <row r="11" spans="1:19" s="161" customFormat="1"/>
    <row r="12" spans="1:19" s="161" customFormat="1"/>
  </sheetData>
  <dataValidations count="1">
    <dataValidation type="list" allowBlank="1" showInputMessage="1" showErrorMessage="1" sqref="P1" xr:uid="{53B7BAD7-A566-4B29-8507-B5C2DC2F32E0}">
      <formula1>$W$2:$W$10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FFEB-ABCD-4825-AD3E-C2D218D77136}">
  <dimension ref="A1"/>
  <sheetViews>
    <sheetView workbookViewId="0">
      <selection activeCell="F13" sqref="F13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Amrutha</dc:creator>
  <cp:keywords/>
  <dc:description/>
  <cp:lastModifiedBy>Booking IN</cp:lastModifiedBy>
  <cp:revision/>
  <dcterms:created xsi:type="dcterms:W3CDTF">2024-07-25T12:00:15Z</dcterms:created>
  <dcterms:modified xsi:type="dcterms:W3CDTF">2026-10-01T10:55:42Z</dcterms:modified>
  <cp:category/>
  <cp:contentStatus/>
</cp:coreProperties>
</file>